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uh\Documents\"/>
    </mc:Choice>
  </mc:AlternateContent>
  <xr:revisionPtr revIDLastSave="0" documentId="8_{5F2D314A-E373-4496-A4C7-A0E9E74922AA}" xr6:coauthVersionLast="47" xr6:coauthVersionMax="47" xr10:uidLastSave="{00000000-0000-0000-0000-000000000000}"/>
  <bookViews>
    <workbookView xWindow="-108" yWindow="-108" windowWidth="23256" windowHeight="12456" xr2:uid="{A1057692-5459-4220-884A-4CE9759E634B}"/>
  </bookViews>
  <sheets>
    <sheet name="Sheet1" sheetId="4" r:id="rId1"/>
    <sheet name="Expense_Tracker_2000_Plus_Data" sheetId="1" r:id="rId2"/>
    <sheet name="Sheet2" sheetId="3" r:id="rId3"/>
  </sheets>
  <calcPr calcId="191029"/>
  <pivotCaches>
    <pivotCache cacheId="5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3" l="1"/>
  <c r="M4" i="3" a="1"/>
  <c r="G4" i="3"/>
  <c r="G4" i="3" a="1"/>
  <c r="C4" i="3"/>
  <c r="C4" i="3" a="1"/>
  <c r="K2201" i="1"/>
  <c r="J2201" i="1"/>
  <c r="I2201" i="1"/>
  <c r="H2201" i="1"/>
  <c r="G2201" i="1"/>
  <c r="K2200" i="1"/>
  <c r="J2200" i="1"/>
  <c r="I2200" i="1"/>
  <c r="H2200" i="1"/>
  <c r="G2200" i="1"/>
  <c r="K2199" i="1"/>
  <c r="J2199" i="1"/>
  <c r="I2199" i="1"/>
  <c r="H2199" i="1"/>
  <c r="G2199" i="1"/>
  <c r="K2198" i="1"/>
  <c r="J2198" i="1"/>
  <c r="I2198" i="1"/>
  <c r="H2198" i="1"/>
  <c r="G2198" i="1"/>
  <c r="K2197" i="1"/>
  <c r="J2197" i="1"/>
  <c r="I2197" i="1"/>
  <c r="H2197" i="1"/>
  <c r="G2197" i="1"/>
  <c r="K2196" i="1"/>
  <c r="J2196" i="1"/>
  <c r="I2196" i="1"/>
  <c r="H2196" i="1"/>
  <c r="G2196" i="1"/>
  <c r="K2195" i="1"/>
  <c r="J2195" i="1"/>
  <c r="I2195" i="1"/>
  <c r="H2195" i="1"/>
  <c r="G2195" i="1"/>
  <c r="K2194" i="1"/>
  <c r="J2194" i="1"/>
  <c r="I2194" i="1"/>
  <c r="H2194" i="1"/>
  <c r="G2194" i="1"/>
  <c r="K2193" i="1"/>
  <c r="J2193" i="1"/>
  <c r="I2193" i="1"/>
  <c r="H2193" i="1"/>
  <c r="G2193" i="1"/>
  <c r="K2192" i="1"/>
  <c r="J2192" i="1"/>
  <c r="I2192" i="1"/>
  <c r="H2192" i="1"/>
  <c r="G2192" i="1"/>
  <c r="K2191" i="1"/>
  <c r="J2191" i="1"/>
  <c r="I2191" i="1"/>
  <c r="H2191" i="1"/>
  <c r="G2191" i="1"/>
  <c r="K2190" i="1"/>
  <c r="J2190" i="1"/>
  <c r="I2190" i="1"/>
  <c r="H2190" i="1"/>
  <c r="G2190" i="1"/>
  <c r="K2189" i="1"/>
  <c r="J2189" i="1"/>
  <c r="I2189" i="1"/>
  <c r="H2189" i="1"/>
  <c r="G2189" i="1"/>
  <c r="K2188" i="1"/>
  <c r="J2188" i="1"/>
  <c r="I2188" i="1"/>
  <c r="H2188" i="1"/>
  <c r="G2188" i="1"/>
  <c r="K2187" i="1"/>
  <c r="J2187" i="1"/>
  <c r="I2187" i="1"/>
  <c r="H2187" i="1"/>
  <c r="G2187" i="1"/>
  <c r="K2186" i="1"/>
  <c r="J2186" i="1"/>
  <c r="I2186" i="1"/>
  <c r="H2186" i="1"/>
  <c r="G2186" i="1"/>
  <c r="K2185" i="1"/>
  <c r="J2185" i="1"/>
  <c r="I2185" i="1"/>
  <c r="H2185" i="1"/>
  <c r="G2185" i="1"/>
  <c r="K2184" i="1"/>
  <c r="J2184" i="1"/>
  <c r="I2184" i="1"/>
  <c r="H2184" i="1"/>
  <c r="G2184" i="1"/>
  <c r="K2183" i="1"/>
  <c r="J2183" i="1"/>
  <c r="I2183" i="1"/>
  <c r="H2183" i="1"/>
  <c r="G2183" i="1"/>
  <c r="K2182" i="1"/>
  <c r="J2182" i="1"/>
  <c r="I2182" i="1"/>
  <c r="H2182" i="1"/>
  <c r="G2182" i="1"/>
  <c r="K2181" i="1"/>
  <c r="J2181" i="1"/>
  <c r="I2181" i="1"/>
  <c r="H2181" i="1"/>
  <c r="G2181" i="1"/>
  <c r="K2180" i="1"/>
  <c r="J2180" i="1"/>
  <c r="I2180" i="1"/>
  <c r="H2180" i="1"/>
  <c r="G2180" i="1"/>
  <c r="K2179" i="1"/>
  <c r="J2179" i="1"/>
  <c r="I2179" i="1"/>
  <c r="H2179" i="1"/>
  <c r="G2179" i="1"/>
  <c r="K2178" i="1"/>
  <c r="J2178" i="1"/>
  <c r="I2178" i="1"/>
  <c r="H2178" i="1"/>
  <c r="G2178" i="1"/>
  <c r="K2177" i="1"/>
  <c r="J2177" i="1"/>
  <c r="I2177" i="1"/>
  <c r="H2177" i="1"/>
  <c r="G2177" i="1"/>
  <c r="K2176" i="1"/>
  <c r="J2176" i="1"/>
  <c r="I2176" i="1"/>
  <c r="H2176" i="1"/>
  <c r="G2176" i="1"/>
  <c r="K2175" i="1"/>
  <c r="J2175" i="1"/>
  <c r="I2175" i="1"/>
  <c r="H2175" i="1"/>
  <c r="G2175" i="1"/>
  <c r="K2174" i="1"/>
  <c r="J2174" i="1"/>
  <c r="I2174" i="1"/>
  <c r="H2174" i="1"/>
  <c r="G2174" i="1"/>
  <c r="K2173" i="1"/>
  <c r="J2173" i="1"/>
  <c r="I2173" i="1"/>
  <c r="H2173" i="1"/>
  <c r="G2173" i="1"/>
  <c r="K2172" i="1"/>
  <c r="J2172" i="1"/>
  <c r="I2172" i="1"/>
  <c r="H2172" i="1"/>
  <c r="G2172" i="1"/>
  <c r="K2171" i="1"/>
  <c r="J2171" i="1"/>
  <c r="I2171" i="1"/>
  <c r="H2171" i="1"/>
  <c r="G2171" i="1"/>
  <c r="K2170" i="1"/>
  <c r="J2170" i="1"/>
  <c r="I2170" i="1"/>
  <c r="H2170" i="1"/>
  <c r="G2170" i="1"/>
  <c r="K2169" i="1"/>
  <c r="J2169" i="1"/>
  <c r="I2169" i="1"/>
  <c r="H2169" i="1"/>
  <c r="G2169" i="1"/>
  <c r="K2168" i="1"/>
  <c r="J2168" i="1"/>
  <c r="I2168" i="1"/>
  <c r="H2168" i="1"/>
  <c r="G2168" i="1"/>
  <c r="K2167" i="1"/>
  <c r="J2167" i="1"/>
  <c r="I2167" i="1"/>
  <c r="H2167" i="1"/>
  <c r="G2167" i="1"/>
  <c r="K2166" i="1"/>
  <c r="J2166" i="1"/>
  <c r="I2166" i="1"/>
  <c r="H2166" i="1"/>
  <c r="G2166" i="1"/>
  <c r="K2165" i="1"/>
  <c r="J2165" i="1"/>
  <c r="I2165" i="1"/>
  <c r="H2165" i="1"/>
  <c r="G2165" i="1"/>
  <c r="K2164" i="1"/>
  <c r="J2164" i="1"/>
  <c r="I2164" i="1"/>
  <c r="H2164" i="1"/>
  <c r="G2164" i="1"/>
  <c r="K2163" i="1"/>
  <c r="J2163" i="1"/>
  <c r="I2163" i="1"/>
  <c r="H2163" i="1"/>
  <c r="G2163" i="1"/>
  <c r="K2162" i="1"/>
  <c r="J2162" i="1"/>
  <c r="I2162" i="1"/>
  <c r="H2162" i="1"/>
  <c r="G2162" i="1"/>
  <c r="K2161" i="1"/>
  <c r="J2161" i="1"/>
  <c r="I2161" i="1"/>
  <c r="H2161" i="1"/>
  <c r="G2161" i="1"/>
  <c r="K2160" i="1"/>
  <c r="J2160" i="1"/>
  <c r="I2160" i="1"/>
  <c r="H2160" i="1"/>
  <c r="G2160" i="1"/>
  <c r="K2159" i="1"/>
  <c r="J2159" i="1"/>
  <c r="I2159" i="1"/>
  <c r="H2159" i="1"/>
  <c r="G2159" i="1"/>
  <c r="K2158" i="1"/>
  <c r="J2158" i="1"/>
  <c r="I2158" i="1"/>
  <c r="H2158" i="1"/>
  <c r="G2158" i="1"/>
  <c r="K2157" i="1"/>
  <c r="J2157" i="1"/>
  <c r="I2157" i="1"/>
  <c r="H2157" i="1"/>
  <c r="G2157" i="1"/>
  <c r="K2156" i="1"/>
  <c r="J2156" i="1"/>
  <c r="I2156" i="1"/>
  <c r="H2156" i="1"/>
  <c r="G2156" i="1"/>
  <c r="K2155" i="1"/>
  <c r="J2155" i="1"/>
  <c r="I2155" i="1"/>
  <c r="H2155" i="1"/>
  <c r="G2155" i="1"/>
  <c r="K2154" i="1"/>
  <c r="J2154" i="1"/>
  <c r="I2154" i="1"/>
  <c r="H2154" i="1"/>
  <c r="G2154" i="1"/>
  <c r="K2153" i="1"/>
  <c r="J2153" i="1"/>
  <c r="I2153" i="1"/>
  <c r="H2153" i="1"/>
  <c r="G2153" i="1"/>
  <c r="K2152" i="1"/>
  <c r="J2152" i="1"/>
  <c r="I2152" i="1"/>
  <c r="H2152" i="1"/>
  <c r="G2152" i="1"/>
  <c r="K2151" i="1"/>
  <c r="J2151" i="1"/>
  <c r="I2151" i="1"/>
  <c r="H2151" i="1"/>
  <c r="G2151" i="1"/>
  <c r="K2150" i="1"/>
  <c r="J2150" i="1"/>
  <c r="I2150" i="1"/>
  <c r="H2150" i="1"/>
  <c r="G2150" i="1"/>
  <c r="K2149" i="1"/>
  <c r="J2149" i="1"/>
  <c r="I2149" i="1"/>
  <c r="H2149" i="1"/>
  <c r="G2149" i="1"/>
  <c r="K2148" i="1"/>
  <c r="J2148" i="1"/>
  <c r="I2148" i="1"/>
  <c r="H2148" i="1"/>
  <c r="G2148" i="1"/>
  <c r="K2147" i="1"/>
  <c r="J2147" i="1"/>
  <c r="I2147" i="1"/>
  <c r="H2147" i="1"/>
  <c r="G2147" i="1"/>
  <c r="K2146" i="1"/>
  <c r="J2146" i="1"/>
  <c r="I2146" i="1"/>
  <c r="H2146" i="1"/>
  <c r="G2146" i="1"/>
  <c r="K2145" i="1"/>
  <c r="J2145" i="1"/>
  <c r="I2145" i="1"/>
  <c r="H2145" i="1"/>
  <c r="G2145" i="1"/>
  <c r="K2144" i="1"/>
  <c r="J2144" i="1"/>
  <c r="I2144" i="1"/>
  <c r="H2144" i="1"/>
  <c r="G2144" i="1"/>
  <c r="K2143" i="1"/>
  <c r="J2143" i="1"/>
  <c r="I2143" i="1"/>
  <c r="H2143" i="1"/>
  <c r="G2143" i="1"/>
  <c r="K2142" i="1"/>
  <c r="J2142" i="1"/>
  <c r="I2142" i="1"/>
  <c r="H2142" i="1"/>
  <c r="G2142" i="1"/>
  <c r="K2141" i="1"/>
  <c r="J2141" i="1"/>
  <c r="I2141" i="1"/>
  <c r="H2141" i="1"/>
  <c r="G2141" i="1"/>
  <c r="K2140" i="1"/>
  <c r="J2140" i="1"/>
  <c r="I2140" i="1"/>
  <c r="H2140" i="1"/>
  <c r="G2140" i="1"/>
  <c r="K2139" i="1"/>
  <c r="J2139" i="1"/>
  <c r="I2139" i="1"/>
  <c r="H2139" i="1"/>
  <c r="G2139" i="1"/>
  <c r="K2138" i="1"/>
  <c r="J2138" i="1"/>
  <c r="I2138" i="1"/>
  <c r="H2138" i="1"/>
  <c r="G2138" i="1"/>
  <c r="K2137" i="1"/>
  <c r="J2137" i="1"/>
  <c r="I2137" i="1"/>
  <c r="H2137" i="1"/>
  <c r="G2137" i="1"/>
  <c r="K2136" i="1"/>
  <c r="J2136" i="1"/>
  <c r="I2136" i="1"/>
  <c r="H2136" i="1"/>
  <c r="G2136" i="1"/>
  <c r="K2135" i="1"/>
  <c r="J2135" i="1"/>
  <c r="I2135" i="1"/>
  <c r="H2135" i="1"/>
  <c r="G2135" i="1"/>
  <c r="K2134" i="1"/>
  <c r="J2134" i="1"/>
  <c r="I2134" i="1"/>
  <c r="H2134" i="1"/>
  <c r="G2134" i="1"/>
  <c r="K2133" i="1"/>
  <c r="J2133" i="1"/>
  <c r="I2133" i="1"/>
  <c r="H2133" i="1"/>
  <c r="G2133" i="1"/>
  <c r="K2132" i="1"/>
  <c r="J2132" i="1"/>
  <c r="I2132" i="1"/>
  <c r="H2132" i="1"/>
  <c r="G2132" i="1"/>
  <c r="K2131" i="1"/>
  <c r="J2131" i="1"/>
  <c r="I2131" i="1"/>
  <c r="H2131" i="1"/>
  <c r="G2131" i="1"/>
  <c r="K2130" i="1"/>
  <c r="J2130" i="1"/>
  <c r="I2130" i="1"/>
  <c r="H2130" i="1"/>
  <c r="G2130" i="1"/>
  <c r="K2129" i="1"/>
  <c r="J2129" i="1"/>
  <c r="I2129" i="1"/>
  <c r="H2129" i="1"/>
  <c r="G2129" i="1"/>
  <c r="K2128" i="1"/>
  <c r="J2128" i="1"/>
  <c r="I2128" i="1"/>
  <c r="H2128" i="1"/>
  <c r="G2128" i="1"/>
  <c r="K2127" i="1"/>
  <c r="J2127" i="1"/>
  <c r="I2127" i="1"/>
  <c r="H2127" i="1"/>
  <c r="G2127" i="1"/>
  <c r="K2126" i="1"/>
  <c r="J2126" i="1"/>
  <c r="I2126" i="1"/>
  <c r="H2126" i="1"/>
  <c r="G2126" i="1"/>
  <c r="K2125" i="1"/>
  <c r="J2125" i="1"/>
  <c r="I2125" i="1"/>
  <c r="H2125" i="1"/>
  <c r="G2125" i="1"/>
  <c r="K2124" i="1"/>
  <c r="J2124" i="1"/>
  <c r="I2124" i="1"/>
  <c r="H2124" i="1"/>
  <c r="G2124" i="1"/>
  <c r="K2123" i="1"/>
  <c r="J2123" i="1"/>
  <c r="I2123" i="1"/>
  <c r="H2123" i="1"/>
  <c r="G2123" i="1"/>
  <c r="K2122" i="1"/>
  <c r="J2122" i="1"/>
  <c r="I2122" i="1"/>
  <c r="H2122" i="1"/>
  <c r="G2122" i="1"/>
  <c r="K2121" i="1"/>
  <c r="J2121" i="1"/>
  <c r="I2121" i="1"/>
  <c r="H2121" i="1"/>
  <c r="G2121" i="1"/>
  <c r="K2120" i="1"/>
  <c r="J2120" i="1"/>
  <c r="I2120" i="1"/>
  <c r="H2120" i="1"/>
  <c r="G2120" i="1"/>
  <c r="K2119" i="1"/>
  <c r="J2119" i="1"/>
  <c r="I2119" i="1"/>
  <c r="H2119" i="1"/>
  <c r="G2119" i="1"/>
  <c r="K2118" i="1"/>
  <c r="J2118" i="1"/>
  <c r="I2118" i="1"/>
  <c r="H2118" i="1"/>
  <c r="G2118" i="1"/>
  <c r="K2117" i="1"/>
  <c r="J2117" i="1"/>
  <c r="I2117" i="1"/>
  <c r="H2117" i="1"/>
  <c r="G2117" i="1"/>
  <c r="K2116" i="1"/>
  <c r="J2116" i="1"/>
  <c r="I2116" i="1"/>
  <c r="H2116" i="1"/>
  <c r="G2116" i="1"/>
  <c r="K2115" i="1"/>
  <c r="J2115" i="1"/>
  <c r="I2115" i="1"/>
  <c r="H2115" i="1"/>
  <c r="G2115" i="1"/>
  <c r="K2114" i="1"/>
  <c r="J2114" i="1"/>
  <c r="I2114" i="1"/>
  <c r="H2114" i="1"/>
  <c r="G2114" i="1"/>
  <c r="K2113" i="1"/>
  <c r="J2113" i="1"/>
  <c r="I2113" i="1"/>
  <c r="H2113" i="1"/>
  <c r="G2113" i="1"/>
  <c r="K2112" i="1"/>
  <c r="J2112" i="1"/>
  <c r="I2112" i="1"/>
  <c r="H2112" i="1"/>
  <c r="G2112" i="1"/>
  <c r="K2111" i="1"/>
  <c r="J2111" i="1"/>
  <c r="I2111" i="1"/>
  <c r="H2111" i="1"/>
  <c r="G2111" i="1"/>
  <c r="K2110" i="1"/>
  <c r="J2110" i="1"/>
  <c r="I2110" i="1"/>
  <c r="H2110" i="1"/>
  <c r="G2110" i="1"/>
  <c r="K2109" i="1"/>
  <c r="J2109" i="1"/>
  <c r="I2109" i="1"/>
  <c r="H2109" i="1"/>
  <c r="G2109" i="1"/>
  <c r="K2108" i="1"/>
  <c r="J2108" i="1"/>
  <c r="I2108" i="1"/>
  <c r="H2108" i="1"/>
  <c r="G2108" i="1"/>
  <c r="K2107" i="1"/>
  <c r="J2107" i="1"/>
  <c r="I2107" i="1"/>
  <c r="H2107" i="1"/>
  <c r="G2107" i="1"/>
  <c r="K2106" i="1"/>
  <c r="J2106" i="1"/>
  <c r="I2106" i="1"/>
  <c r="H2106" i="1"/>
  <c r="G2106" i="1"/>
  <c r="K2105" i="1"/>
  <c r="J2105" i="1"/>
  <c r="I2105" i="1"/>
  <c r="H2105" i="1"/>
  <c r="G2105" i="1"/>
  <c r="K2104" i="1"/>
  <c r="J2104" i="1"/>
  <c r="I2104" i="1"/>
  <c r="H2104" i="1"/>
  <c r="G2104" i="1"/>
  <c r="K2103" i="1"/>
  <c r="J2103" i="1"/>
  <c r="I2103" i="1"/>
  <c r="H2103" i="1"/>
  <c r="G2103" i="1"/>
  <c r="K2102" i="1"/>
  <c r="J2102" i="1"/>
  <c r="I2102" i="1"/>
  <c r="H2102" i="1"/>
  <c r="G2102" i="1"/>
  <c r="K2101" i="1"/>
  <c r="J2101" i="1"/>
  <c r="I2101" i="1"/>
  <c r="H2101" i="1"/>
  <c r="G2101" i="1"/>
  <c r="K2100" i="1"/>
  <c r="J2100" i="1"/>
  <c r="I2100" i="1"/>
  <c r="H2100" i="1"/>
  <c r="G2100" i="1"/>
  <c r="K2099" i="1"/>
  <c r="J2099" i="1"/>
  <c r="I2099" i="1"/>
  <c r="H2099" i="1"/>
  <c r="G2099" i="1"/>
  <c r="K2098" i="1"/>
  <c r="J2098" i="1"/>
  <c r="I2098" i="1"/>
  <c r="H2098" i="1"/>
  <c r="G2098" i="1"/>
  <c r="K2097" i="1"/>
  <c r="J2097" i="1"/>
  <c r="I2097" i="1"/>
  <c r="H2097" i="1"/>
  <c r="G2097" i="1"/>
  <c r="K2096" i="1"/>
  <c r="J2096" i="1"/>
  <c r="I2096" i="1"/>
  <c r="H2096" i="1"/>
  <c r="G2096" i="1"/>
  <c r="K2095" i="1"/>
  <c r="J2095" i="1"/>
  <c r="I2095" i="1"/>
  <c r="H2095" i="1"/>
  <c r="G2095" i="1"/>
  <c r="K2094" i="1"/>
  <c r="J2094" i="1"/>
  <c r="I2094" i="1"/>
  <c r="H2094" i="1"/>
  <c r="G2094" i="1"/>
  <c r="K2093" i="1"/>
  <c r="J2093" i="1"/>
  <c r="I2093" i="1"/>
  <c r="H2093" i="1"/>
  <c r="G2093" i="1"/>
  <c r="K2092" i="1"/>
  <c r="J2092" i="1"/>
  <c r="I2092" i="1"/>
  <c r="H2092" i="1"/>
  <c r="G2092" i="1"/>
  <c r="K2091" i="1"/>
  <c r="J2091" i="1"/>
  <c r="I2091" i="1"/>
  <c r="H2091" i="1"/>
  <c r="G2091" i="1"/>
  <c r="K2090" i="1"/>
  <c r="J2090" i="1"/>
  <c r="I2090" i="1"/>
  <c r="H2090" i="1"/>
  <c r="G2090" i="1"/>
  <c r="K2089" i="1"/>
  <c r="J2089" i="1"/>
  <c r="I2089" i="1"/>
  <c r="H2089" i="1"/>
  <c r="G2089" i="1"/>
  <c r="K2088" i="1"/>
  <c r="J2088" i="1"/>
  <c r="I2088" i="1"/>
  <c r="H2088" i="1"/>
  <c r="G2088" i="1"/>
  <c r="K2087" i="1"/>
  <c r="J2087" i="1"/>
  <c r="I2087" i="1"/>
  <c r="H2087" i="1"/>
  <c r="G2087" i="1"/>
  <c r="K2086" i="1"/>
  <c r="J2086" i="1"/>
  <c r="I2086" i="1"/>
  <c r="H2086" i="1"/>
  <c r="G2086" i="1"/>
  <c r="K2085" i="1"/>
  <c r="J2085" i="1"/>
  <c r="I2085" i="1"/>
  <c r="H2085" i="1"/>
  <c r="G2085" i="1"/>
  <c r="K2084" i="1"/>
  <c r="J2084" i="1"/>
  <c r="I2084" i="1"/>
  <c r="H2084" i="1"/>
  <c r="G2084" i="1"/>
  <c r="K2083" i="1"/>
  <c r="J2083" i="1"/>
  <c r="I2083" i="1"/>
  <c r="H2083" i="1"/>
  <c r="G2083" i="1"/>
  <c r="K2082" i="1"/>
  <c r="J2082" i="1"/>
  <c r="I2082" i="1"/>
  <c r="H2082" i="1"/>
  <c r="G2082" i="1"/>
  <c r="K2081" i="1"/>
  <c r="J2081" i="1"/>
  <c r="I2081" i="1"/>
  <c r="H2081" i="1"/>
  <c r="G2081" i="1"/>
  <c r="K2080" i="1"/>
  <c r="J2080" i="1"/>
  <c r="I2080" i="1"/>
  <c r="H2080" i="1"/>
  <c r="G2080" i="1"/>
  <c r="K2079" i="1"/>
  <c r="J2079" i="1"/>
  <c r="I2079" i="1"/>
  <c r="H2079" i="1"/>
  <c r="G2079" i="1"/>
  <c r="K2078" i="1"/>
  <c r="J2078" i="1"/>
  <c r="I2078" i="1"/>
  <c r="H2078" i="1"/>
  <c r="G2078" i="1"/>
  <c r="K2077" i="1"/>
  <c r="J2077" i="1"/>
  <c r="I2077" i="1"/>
  <c r="H2077" i="1"/>
  <c r="G2077" i="1"/>
  <c r="K2076" i="1"/>
  <c r="J2076" i="1"/>
  <c r="I2076" i="1"/>
  <c r="H2076" i="1"/>
  <c r="G2076" i="1"/>
  <c r="K2075" i="1"/>
  <c r="J2075" i="1"/>
  <c r="I2075" i="1"/>
  <c r="H2075" i="1"/>
  <c r="G2075" i="1"/>
  <c r="K2074" i="1"/>
  <c r="J2074" i="1"/>
  <c r="I2074" i="1"/>
  <c r="H2074" i="1"/>
  <c r="G2074" i="1"/>
  <c r="K2073" i="1"/>
  <c r="J2073" i="1"/>
  <c r="I2073" i="1"/>
  <c r="H2073" i="1"/>
  <c r="G2073" i="1"/>
  <c r="K2072" i="1"/>
  <c r="J2072" i="1"/>
  <c r="I2072" i="1"/>
  <c r="H2072" i="1"/>
  <c r="G2072" i="1"/>
  <c r="K2071" i="1"/>
  <c r="J2071" i="1"/>
  <c r="I2071" i="1"/>
  <c r="H2071" i="1"/>
  <c r="G2071" i="1"/>
  <c r="K2070" i="1"/>
  <c r="J2070" i="1"/>
  <c r="I2070" i="1"/>
  <c r="H2070" i="1"/>
  <c r="G2070" i="1"/>
  <c r="K2069" i="1"/>
  <c r="J2069" i="1"/>
  <c r="I2069" i="1"/>
  <c r="H2069" i="1"/>
  <c r="G2069" i="1"/>
  <c r="K2068" i="1"/>
  <c r="J2068" i="1"/>
  <c r="I2068" i="1"/>
  <c r="H2068" i="1"/>
  <c r="G2068" i="1"/>
  <c r="K2067" i="1"/>
  <c r="J2067" i="1"/>
  <c r="I2067" i="1"/>
  <c r="H2067" i="1"/>
  <c r="G2067" i="1"/>
  <c r="K2066" i="1"/>
  <c r="J2066" i="1"/>
  <c r="I2066" i="1"/>
  <c r="H2066" i="1"/>
  <c r="G2066" i="1"/>
  <c r="K2065" i="1"/>
  <c r="J2065" i="1"/>
  <c r="I2065" i="1"/>
  <c r="H2065" i="1"/>
  <c r="G2065" i="1"/>
  <c r="K2064" i="1"/>
  <c r="J2064" i="1"/>
  <c r="I2064" i="1"/>
  <c r="H2064" i="1"/>
  <c r="G2064" i="1"/>
  <c r="K2063" i="1"/>
  <c r="J2063" i="1"/>
  <c r="I2063" i="1"/>
  <c r="H2063" i="1"/>
  <c r="G2063" i="1"/>
  <c r="K2062" i="1"/>
  <c r="J2062" i="1"/>
  <c r="I2062" i="1"/>
  <c r="H2062" i="1"/>
  <c r="G2062" i="1"/>
  <c r="K2061" i="1"/>
  <c r="J2061" i="1"/>
  <c r="I2061" i="1"/>
  <c r="H2061" i="1"/>
  <c r="G2061" i="1"/>
  <c r="K2060" i="1"/>
  <c r="J2060" i="1"/>
  <c r="I2060" i="1"/>
  <c r="H2060" i="1"/>
  <c r="G2060" i="1"/>
  <c r="K2059" i="1"/>
  <c r="J2059" i="1"/>
  <c r="I2059" i="1"/>
  <c r="H2059" i="1"/>
  <c r="G2059" i="1"/>
  <c r="K2058" i="1"/>
  <c r="J2058" i="1"/>
  <c r="I2058" i="1"/>
  <c r="H2058" i="1"/>
  <c r="G2058" i="1"/>
  <c r="K2057" i="1"/>
  <c r="J2057" i="1"/>
  <c r="I2057" i="1"/>
  <c r="H2057" i="1"/>
  <c r="G2057" i="1"/>
  <c r="K2056" i="1"/>
  <c r="J2056" i="1"/>
  <c r="I2056" i="1"/>
  <c r="H2056" i="1"/>
  <c r="G2056" i="1"/>
  <c r="K2055" i="1"/>
  <c r="J2055" i="1"/>
  <c r="I2055" i="1"/>
  <c r="H2055" i="1"/>
  <c r="G2055" i="1"/>
  <c r="K2054" i="1"/>
  <c r="J2054" i="1"/>
  <c r="I2054" i="1"/>
  <c r="H2054" i="1"/>
  <c r="G2054" i="1"/>
  <c r="K2053" i="1"/>
  <c r="J2053" i="1"/>
  <c r="I2053" i="1"/>
  <c r="H2053" i="1"/>
  <c r="G2053" i="1"/>
  <c r="K2052" i="1"/>
  <c r="J2052" i="1"/>
  <c r="I2052" i="1"/>
  <c r="H2052" i="1"/>
  <c r="G2052" i="1"/>
  <c r="K2051" i="1"/>
  <c r="J2051" i="1"/>
  <c r="I2051" i="1"/>
  <c r="H2051" i="1"/>
  <c r="G2051" i="1"/>
  <c r="K2050" i="1"/>
  <c r="J2050" i="1"/>
  <c r="I2050" i="1"/>
  <c r="H2050" i="1"/>
  <c r="G2050" i="1"/>
  <c r="K2049" i="1"/>
  <c r="J2049" i="1"/>
  <c r="I2049" i="1"/>
  <c r="H2049" i="1"/>
  <c r="G2049" i="1"/>
  <c r="K2048" i="1"/>
  <c r="J2048" i="1"/>
  <c r="I2048" i="1"/>
  <c r="H2048" i="1"/>
  <c r="G2048" i="1"/>
  <c r="K2047" i="1"/>
  <c r="J2047" i="1"/>
  <c r="I2047" i="1"/>
  <c r="H2047" i="1"/>
  <c r="G2047" i="1"/>
  <c r="K2046" i="1"/>
  <c r="J2046" i="1"/>
  <c r="I2046" i="1"/>
  <c r="H2046" i="1"/>
  <c r="G2046" i="1"/>
  <c r="K2045" i="1"/>
  <c r="J2045" i="1"/>
  <c r="I2045" i="1"/>
  <c r="H2045" i="1"/>
  <c r="G2045" i="1"/>
  <c r="K2044" i="1"/>
  <c r="J2044" i="1"/>
  <c r="I2044" i="1"/>
  <c r="H2044" i="1"/>
  <c r="G2044" i="1"/>
  <c r="K2043" i="1"/>
  <c r="J2043" i="1"/>
  <c r="I2043" i="1"/>
  <c r="H2043" i="1"/>
  <c r="G2043" i="1"/>
  <c r="K2042" i="1"/>
  <c r="J2042" i="1"/>
  <c r="I2042" i="1"/>
  <c r="H2042" i="1"/>
  <c r="G2042" i="1"/>
  <c r="K2041" i="1"/>
  <c r="J2041" i="1"/>
  <c r="I2041" i="1"/>
  <c r="H2041" i="1"/>
  <c r="G2041" i="1"/>
  <c r="K2040" i="1"/>
  <c r="J2040" i="1"/>
  <c r="I2040" i="1"/>
  <c r="H2040" i="1"/>
  <c r="G2040" i="1"/>
  <c r="K2039" i="1"/>
  <c r="J2039" i="1"/>
  <c r="I2039" i="1"/>
  <c r="H2039" i="1"/>
  <c r="G2039" i="1"/>
  <c r="K2038" i="1"/>
  <c r="J2038" i="1"/>
  <c r="I2038" i="1"/>
  <c r="H2038" i="1"/>
  <c r="G2038" i="1"/>
  <c r="K2037" i="1"/>
  <c r="J2037" i="1"/>
  <c r="I2037" i="1"/>
  <c r="H2037" i="1"/>
  <c r="G2037" i="1"/>
  <c r="K2036" i="1"/>
  <c r="J2036" i="1"/>
  <c r="I2036" i="1"/>
  <c r="H2036" i="1"/>
  <c r="G2036" i="1"/>
  <c r="K2035" i="1"/>
  <c r="J2035" i="1"/>
  <c r="I2035" i="1"/>
  <c r="H2035" i="1"/>
  <c r="G2035" i="1"/>
  <c r="K2034" i="1"/>
  <c r="J2034" i="1"/>
  <c r="I2034" i="1"/>
  <c r="H2034" i="1"/>
  <c r="G2034" i="1"/>
  <c r="K2033" i="1"/>
  <c r="J2033" i="1"/>
  <c r="I2033" i="1"/>
  <c r="H2033" i="1"/>
  <c r="G2033" i="1"/>
  <c r="K2032" i="1"/>
  <c r="J2032" i="1"/>
  <c r="I2032" i="1"/>
  <c r="H2032" i="1"/>
  <c r="G2032" i="1"/>
  <c r="K2031" i="1"/>
  <c r="J2031" i="1"/>
  <c r="I2031" i="1"/>
  <c r="H2031" i="1"/>
  <c r="G2031" i="1"/>
  <c r="K2030" i="1"/>
  <c r="J2030" i="1"/>
  <c r="I2030" i="1"/>
  <c r="H2030" i="1"/>
  <c r="G2030" i="1"/>
  <c r="K2029" i="1"/>
  <c r="J2029" i="1"/>
  <c r="I2029" i="1"/>
  <c r="H2029" i="1"/>
  <c r="G2029" i="1"/>
  <c r="K2028" i="1"/>
  <c r="J2028" i="1"/>
  <c r="I2028" i="1"/>
  <c r="H2028" i="1"/>
  <c r="G2028" i="1"/>
  <c r="K2027" i="1"/>
  <c r="J2027" i="1"/>
  <c r="I2027" i="1"/>
  <c r="H2027" i="1"/>
  <c r="G2027" i="1"/>
  <c r="K2026" i="1"/>
  <c r="J2026" i="1"/>
  <c r="I2026" i="1"/>
  <c r="H2026" i="1"/>
  <c r="G2026" i="1"/>
  <c r="K2025" i="1"/>
  <c r="J2025" i="1"/>
  <c r="I2025" i="1"/>
  <c r="H2025" i="1"/>
  <c r="G2025" i="1"/>
  <c r="K2024" i="1"/>
  <c r="J2024" i="1"/>
  <c r="I2024" i="1"/>
  <c r="H2024" i="1"/>
  <c r="G2024" i="1"/>
  <c r="K2023" i="1"/>
  <c r="J2023" i="1"/>
  <c r="I2023" i="1"/>
  <c r="H2023" i="1"/>
  <c r="G2023" i="1"/>
  <c r="K2022" i="1"/>
  <c r="J2022" i="1"/>
  <c r="I2022" i="1"/>
  <c r="H2022" i="1"/>
  <c r="G2022" i="1"/>
  <c r="K2021" i="1"/>
  <c r="J2021" i="1"/>
  <c r="I2021" i="1"/>
  <c r="H2021" i="1"/>
  <c r="G2021" i="1"/>
  <c r="K2020" i="1"/>
  <c r="J2020" i="1"/>
  <c r="I2020" i="1"/>
  <c r="H2020" i="1"/>
  <c r="G2020" i="1"/>
  <c r="K2019" i="1"/>
  <c r="J2019" i="1"/>
  <c r="I2019" i="1"/>
  <c r="H2019" i="1"/>
  <c r="G2019" i="1"/>
  <c r="K2018" i="1"/>
  <c r="J2018" i="1"/>
  <c r="I2018" i="1"/>
  <c r="H2018" i="1"/>
  <c r="G2018" i="1"/>
  <c r="K2017" i="1"/>
  <c r="J2017" i="1"/>
  <c r="I2017" i="1"/>
  <c r="H2017" i="1"/>
  <c r="G2017" i="1"/>
  <c r="K2016" i="1"/>
  <c r="J2016" i="1"/>
  <c r="I2016" i="1"/>
  <c r="H2016" i="1"/>
  <c r="G2016" i="1"/>
  <c r="K2015" i="1"/>
  <c r="J2015" i="1"/>
  <c r="I2015" i="1"/>
  <c r="H2015" i="1"/>
  <c r="G2015" i="1"/>
  <c r="K2014" i="1"/>
  <c r="J2014" i="1"/>
  <c r="I2014" i="1"/>
  <c r="H2014" i="1"/>
  <c r="G2014" i="1"/>
  <c r="K2013" i="1"/>
  <c r="J2013" i="1"/>
  <c r="I2013" i="1"/>
  <c r="H2013" i="1"/>
  <c r="G2013" i="1"/>
  <c r="K2012" i="1"/>
  <c r="J2012" i="1"/>
  <c r="I2012" i="1"/>
  <c r="H2012" i="1"/>
  <c r="G2012" i="1"/>
  <c r="K2011" i="1"/>
  <c r="J2011" i="1"/>
  <c r="I2011" i="1"/>
  <c r="H2011" i="1"/>
  <c r="G2011" i="1"/>
  <c r="K2010" i="1"/>
  <c r="J2010" i="1"/>
  <c r="I2010" i="1"/>
  <c r="H2010" i="1"/>
  <c r="G2010" i="1"/>
  <c r="K2009" i="1"/>
  <c r="J2009" i="1"/>
  <c r="I2009" i="1"/>
  <c r="H2009" i="1"/>
  <c r="G2009" i="1"/>
  <c r="K2008" i="1"/>
  <c r="J2008" i="1"/>
  <c r="I2008" i="1"/>
  <c r="H2008" i="1"/>
  <c r="G2008" i="1"/>
  <c r="K2007" i="1"/>
  <c r="J2007" i="1"/>
  <c r="I2007" i="1"/>
  <c r="H2007" i="1"/>
  <c r="G2007" i="1"/>
  <c r="K2006" i="1"/>
  <c r="J2006" i="1"/>
  <c r="I2006" i="1"/>
  <c r="H2006" i="1"/>
  <c r="G2006" i="1"/>
  <c r="K2005" i="1"/>
  <c r="J2005" i="1"/>
  <c r="I2005" i="1"/>
  <c r="H2005" i="1"/>
  <c r="G2005" i="1"/>
  <c r="K2004" i="1"/>
  <c r="J2004" i="1"/>
  <c r="I2004" i="1"/>
  <c r="H2004" i="1"/>
  <c r="G2004" i="1"/>
  <c r="K2003" i="1"/>
  <c r="J2003" i="1"/>
  <c r="I2003" i="1"/>
  <c r="H2003" i="1"/>
  <c r="G2003" i="1"/>
  <c r="K2002" i="1"/>
  <c r="J2002" i="1"/>
  <c r="I2002" i="1"/>
  <c r="H2002" i="1"/>
  <c r="G2002" i="1"/>
  <c r="K2001" i="1"/>
  <c r="J2001" i="1"/>
  <c r="I2001" i="1"/>
  <c r="H2001" i="1"/>
  <c r="G2001" i="1"/>
  <c r="K2000" i="1"/>
  <c r="J2000" i="1"/>
  <c r="I2000" i="1"/>
  <c r="H2000" i="1"/>
  <c r="G2000" i="1"/>
  <c r="K1999" i="1"/>
  <c r="J1999" i="1"/>
  <c r="I1999" i="1"/>
  <c r="H1999" i="1"/>
  <c r="G1999" i="1"/>
  <c r="K1998" i="1"/>
  <c r="J1998" i="1"/>
  <c r="I1998" i="1"/>
  <c r="H1998" i="1"/>
  <c r="G1998" i="1"/>
  <c r="K1997" i="1"/>
  <c r="J1997" i="1"/>
  <c r="I1997" i="1"/>
  <c r="H1997" i="1"/>
  <c r="G1997" i="1"/>
  <c r="K1996" i="1"/>
  <c r="J1996" i="1"/>
  <c r="I1996" i="1"/>
  <c r="H1996" i="1"/>
  <c r="G1996" i="1"/>
  <c r="K1995" i="1"/>
  <c r="J1995" i="1"/>
  <c r="I1995" i="1"/>
  <c r="H1995" i="1"/>
  <c r="G1995" i="1"/>
  <c r="K1994" i="1"/>
  <c r="J1994" i="1"/>
  <c r="I1994" i="1"/>
  <c r="H1994" i="1"/>
  <c r="G1994" i="1"/>
  <c r="K1993" i="1"/>
  <c r="J1993" i="1"/>
  <c r="I1993" i="1"/>
  <c r="H1993" i="1"/>
  <c r="G1993" i="1"/>
  <c r="K1992" i="1"/>
  <c r="J1992" i="1"/>
  <c r="I1992" i="1"/>
  <c r="H1992" i="1"/>
  <c r="G1992" i="1"/>
  <c r="K1991" i="1"/>
  <c r="J1991" i="1"/>
  <c r="I1991" i="1"/>
  <c r="H1991" i="1"/>
  <c r="G1991" i="1"/>
  <c r="K1990" i="1"/>
  <c r="J1990" i="1"/>
  <c r="I1990" i="1"/>
  <c r="H1990" i="1"/>
  <c r="G1990" i="1"/>
  <c r="K1989" i="1"/>
  <c r="J1989" i="1"/>
  <c r="I1989" i="1"/>
  <c r="H1989" i="1"/>
  <c r="G1989" i="1"/>
  <c r="K1988" i="1"/>
  <c r="J1988" i="1"/>
  <c r="I1988" i="1"/>
  <c r="H1988" i="1"/>
  <c r="G1988" i="1"/>
  <c r="K1987" i="1"/>
  <c r="J1987" i="1"/>
  <c r="I1987" i="1"/>
  <c r="H1987" i="1"/>
  <c r="G1987" i="1"/>
  <c r="K1986" i="1"/>
  <c r="J1986" i="1"/>
  <c r="I1986" i="1"/>
  <c r="H1986" i="1"/>
  <c r="G1986" i="1"/>
  <c r="K1985" i="1"/>
  <c r="J1985" i="1"/>
  <c r="I1985" i="1"/>
  <c r="H1985" i="1"/>
  <c r="G1985" i="1"/>
  <c r="K1984" i="1"/>
  <c r="J1984" i="1"/>
  <c r="I1984" i="1"/>
  <c r="H1984" i="1"/>
  <c r="G1984" i="1"/>
  <c r="K1983" i="1"/>
  <c r="J1983" i="1"/>
  <c r="I1983" i="1"/>
  <c r="H1983" i="1"/>
  <c r="G1983" i="1"/>
  <c r="K1982" i="1"/>
  <c r="J1982" i="1"/>
  <c r="I1982" i="1"/>
  <c r="H1982" i="1"/>
  <c r="G1982" i="1"/>
  <c r="K1981" i="1"/>
  <c r="J1981" i="1"/>
  <c r="I1981" i="1"/>
  <c r="H1981" i="1"/>
  <c r="G1981" i="1"/>
  <c r="K1980" i="1"/>
  <c r="J1980" i="1"/>
  <c r="I1980" i="1"/>
  <c r="H1980" i="1"/>
  <c r="G1980" i="1"/>
  <c r="K1979" i="1"/>
  <c r="J1979" i="1"/>
  <c r="I1979" i="1"/>
  <c r="H1979" i="1"/>
  <c r="G1979" i="1"/>
  <c r="K1978" i="1"/>
  <c r="J1978" i="1"/>
  <c r="I1978" i="1"/>
  <c r="H1978" i="1"/>
  <c r="G1978" i="1"/>
  <c r="K1977" i="1"/>
  <c r="J1977" i="1"/>
  <c r="I1977" i="1"/>
  <c r="H1977" i="1"/>
  <c r="G1977" i="1"/>
  <c r="K1976" i="1"/>
  <c r="J1976" i="1"/>
  <c r="I1976" i="1"/>
  <c r="H1976" i="1"/>
  <c r="G1976" i="1"/>
  <c r="K1975" i="1"/>
  <c r="J1975" i="1"/>
  <c r="I1975" i="1"/>
  <c r="H1975" i="1"/>
  <c r="G1975" i="1"/>
  <c r="K1974" i="1"/>
  <c r="J1974" i="1"/>
  <c r="I1974" i="1"/>
  <c r="H1974" i="1"/>
  <c r="G1974" i="1"/>
  <c r="K1973" i="1"/>
  <c r="J1973" i="1"/>
  <c r="I1973" i="1"/>
  <c r="H1973" i="1"/>
  <c r="G1973" i="1"/>
  <c r="K1972" i="1"/>
  <c r="J1972" i="1"/>
  <c r="I1972" i="1"/>
  <c r="H1972" i="1"/>
  <c r="G1972" i="1"/>
  <c r="K1971" i="1"/>
  <c r="J1971" i="1"/>
  <c r="I1971" i="1"/>
  <c r="H1971" i="1"/>
  <c r="G1971" i="1"/>
  <c r="K1970" i="1"/>
  <c r="J1970" i="1"/>
  <c r="I1970" i="1"/>
  <c r="H1970" i="1"/>
  <c r="G1970" i="1"/>
  <c r="K1969" i="1"/>
  <c r="J1969" i="1"/>
  <c r="I1969" i="1"/>
  <c r="H1969" i="1"/>
  <c r="G1969" i="1"/>
  <c r="K1968" i="1"/>
  <c r="J1968" i="1"/>
  <c r="I1968" i="1"/>
  <c r="H1968" i="1"/>
  <c r="G1968" i="1"/>
  <c r="K1967" i="1"/>
  <c r="J1967" i="1"/>
  <c r="I1967" i="1"/>
  <c r="H1967" i="1"/>
  <c r="G1967" i="1"/>
  <c r="K1966" i="1"/>
  <c r="J1966" i="1"/>
  <c r="I1966" i="1"/>
  <c r="H1966" i="1"/>
  <c r="G1966" i="1"/>
  <c r="K1965" i="1"/>
  <c r="J1965" i="1"/>
  <c r="I1965" i="1"/>
  <c r="H1965" i="1"/>
  <c r="G1965" i="1"/>
  <c r="K1964" i="1"/>
  <c r="J1964" i="1"/>
  <c r="I1964" i="1"/>
  <c r="H1964" i="1"/>
  <c r="G1964" i="1"/>
  <c r="K1963" i="1"/>
  <c r="J1963" i="1"/>
  <c r="I1963" i="1"/>
  <c r="H1963" i="1"/>
  <c r="G1963" i="1"/>
  <c r="K1962" i="1"/>
  <c r="J1962" i="1"/>
  <c r="I1962" i="1"/>
  <c r="H1962" i="1"/>
  <c r="G1962" i="1"/>
  <c r="K1961" i="1"/>
  <c r="J1961" i="1"/>
  <c r="I1961" i="1"/>
  <c r="H1961" i="1"/>
  <c r="G1961" i="1"/>
  <c r="K1960" i="1"/>
  <c r="J1960" i="1"/>
  <c r="I1960" i="1"/>
  <c r="H1960" i="1"/>
  <c r="G1960" i="1"/>
  <c r="K1959" i="1"/>
  <c r="J1959" i="1"/>
  <c r="I1959" i="1"/>
  <c r="H1959" i="1"/>
  <c r="G1959" i="1"/>
  <c r="K1958" i="1"/>
  <c r="J1958" i="1"/>
  <c r="I1958" i="1"/>
  <c r="H1958" i="1"/>
  <c r="G1958" i="1"/>
  <c r="K1957" i="1"/>
  <c r="J1957" i="1"/>
  <c r="I1957" i="1"/>
  <c r="H1957" i="1"/>
  <c r="G1957" i="1"/>
  <c r="K1956" i="1"/>
  <c r="J1956" i="1"/>
  <c r="I1956" i="1"/>
  <c r="H1956" i="1"/>
  <c r="G1956" i="1"/>
  <c r="K1955" i="1"/>
  <c r="J1955" i="1"/>
  <c r="I1955" i="1"/>
  <c r="H1955" i="1"/>
  <c r="G1955" i="1"/>
  <c r="K1954" i="1"/>
  <c r="J1954" i="1"/>
  <c r="I1954" i="1"/>
  <c r="H1954" i="1"/>
  <c r="G1954" i="1"/>
  <c r="K1953" i="1"/>
  <c r="J1953" i="1"/>
  <c r="I1953" i="1"/>
  <c r="H1953" i="1"/>
  <c r="G1953" i="1"/>
  <c r="K1952" i="1"/>
  <c r="J1952" i="1"/>
  <c r="I1952" i="1"/>
  <c r="H1952" i="1"/>
  <c r="G1952" i="1"/>
  <c r="K1951" i="1"/>
  <c r="J1951" i="1"/>
  <c r="I1951" i="1"/>
  <c r="H1951" i="1"/>
  <c r="G1951" i="1"/>
  <c r="K1950" i="1"/>
  <c r="J1950" i="1"/>
  <c r="I1950" i="1"/>
  <c r="H1950" i="1"/>
  <c r="G1950" i="1"/>
  <c r="K1949" i="1"/>
  <c r="J1949" i="1"/>
  <c r="I1949" i="1"/>
  <c r="H1949" i="1"/>
  <c r="G1949" i="1"/>
  <c r="K1948" i="1"/>
  <c r="J1948" i="1"/>
  <c r="I1948" i="1"/>
  <c r="H1948" i="1"/>
  <c r="G1948" i="1"/>
  <c r="K1947" i="1"/>
  <c r="J1947" i="1"/>
  <c r="I1947" i="1"/>
  <c r="H1947" i="1"/>
  <c r="G1947" i="1"/>
  <c r="K1946" i="1"/>
  <c r="J1946" i="1"/>
  <c r="I1946" i="1"/>
  <c r="H1946" i="1"/>
  <c r="G1946" i="1"/>
  <c r="K1945" i="1"/>
  <c r="J1945" i="1"/>
  <c r="I1945" i="1"/>
  <c r="H1945" i="1"/>
  <c r="G1945" i="1"/>
  <c r="K1944" i="1"/>
  <c r="J1944" i="1"/>
  <c r="I1944" i="1"/>
  <c r="H1944" i="1"/>
  <c r="G1944" i="1"/>
  <c r="K1943" i="1"/>
  <c r="J1943" i="1"/>
  <c r="I1943" i="1"/>
  <c r="H1943" i="1"/>
  <c r="G1943" i="1"/>
  <c r="K1942" i="1"/>
  <c r="J1942" i="1"/>
  <c r="I1942" i="1"/>
  <c r="H1942" i="1"/>
  <c r="G1942" i="1"/>
  <c r="K1941" i="1"/>
  <c r="J1941" i="1"/>
  <c r="I1941" i="1"/>
  <c r="H1941" i="1"/>
  <c r="G1941" i="1"/>
  <c r="K1940" i="1"/>
  <c r="J1940" i="1"/>
  <c r="I1940" i="1"/>
  <c r="H1940" i="1"/>
  <c r="G1940" i="1"/>
  <c r="K1939" i="1"/>
  <c r="J1939" i="1"/>
  <c r="I1939" i="1"/>
  <c r="H1939" i="1"/>
  <c r="G1939" i="1"/>
  <c r="K1938" i="1"/>
  <c r="J1938" i="1"/>
  <c r="I1938" i="1"/>
  <c r="H1938" i="1"/>
  <c r="G1938" i="1"/>
  <c r="K1937" i="1"/>
  <c r="J1937" i="1"/>
  <c r="I1937" i="1"/>
  <c r="H1937" i="1"/>
  <c r="G1937" i="1"/>
  <c r="K1936" i="1"/>
  <c r="J1936" i="1"/>
  <c r="I1936" i="1"/>
  <c r="H1936" i="1"/>
  <c r="G1936" i="1"/>
  <c r="K1935" i="1"/>
  <c r="J1935" i="1"/>
  <c r="I1935" i="1"/>
  <c r="H1935" i="1"/>
  <c r="G1935" i="1"/>
  <c r="K1934" i="1"/>
  <c r="J1934" i="1"/>
  <c r="I1934" i="1"/>
  <c r="H1934" i="1"/>
  <c r="G1934" i="1"/>
  <c r="K1933" i="1"/>
  <c r="J1933" i="1"/>
  <c r="I1933" i="1"/>
  <c r="H1933" i="1"/>
  <c r="G1933" i="1"/>
  <c r="K1932" i="1"/>
  <c r="J1932" i="1"/>
  <c r="I1932" i="1"/>
  <c r="H1932" i="1"/>
  <c r="G1932" i="1"/>
  <c r="K1931" i="1"/>
  <c r="J1931" i="1"/>
  <c r="I1931" i="1"/>
  <c r="H1931" i="1"/>
  <c r="G1931" i="1"/>
  <c r="K1930" i="1"/>
  <c r="J1930" i="1"/>
  <c r="I1930" i="1"/>
  <c r="H1930" i="1"/>
  <c r="G1930" i="1"/>
  <c r="K1929" i="1"/>
  <c r="J1929" i="1"/>
  <c r="I1929" i="1"/>
  <c r="H1929" i="1"/>
  <c r="G1929" i="1"/>
  <c r="K1928" i="1"/>
  <c r="J1928" i="1"/>
  <c r="I1928" i="1"/>
  <c r="H1928" i="1"/>
  <c r="G1928" i="1"/>
  <c r="K1927" i="1"/>
  <c r="J1927" i="1"/>
  <c r="I1927" i="1"/>
  <c r="H1927" i="1"/>
  <c r="G1927" i="1"/>
  <c r="K1926" i="1"/>
  <c r="J1926" i="1"/>
  <c r="I1926" i="1"/>
  <c r="H1926" i="1"/>
  <c r="G1926" i="1"/>
  <c r="K1925" i="1"/>
  <c r="J1925" i="1"/>
  <c r="I1925" i="1"/>
  <c r="H1925" i="1"/>
  <c r="G1925" i="1"/>
  <c r="K1924" i="1"/>
  <c r="J1924" i="1"/>
  <c r="I1924" i="1"/>
  <c r="H1924" i="1"/>
  <c r="G1924" i="1"/>
  <c r="K1923" i="1"/>
  <c r="J1923" i="1"/>
  <c r="I1923" i="1"/>
  <c r="H1923" i="1"/>
  <c r="G1923" i="1"/>
  <c r="K1922" i="1"/>
  <c r="J1922" i="1"/>
  <c r="I1922" i="1"/>
  <c r="H1922" i="1"/>
  <c r="G1922" i="1"/>
  <c r="K1921" i="1"/>
  <c r="J1921" i="1"/>
  <c r="I1921" i="1"/>
  <c r="H1921" i="1"/>
  <c r="G1921" i="1"/>
  <c r="K1920" i="1"/>
  <c r="J1920" i="1"/>
  <c r="I1920" i="1"/>
  <c r="H1920" i="1"/>
  <c r="G1920" i="1"/>
  <c r="K1919" i="1"/>
  <c r="J1919" i="1"/>
  <c r="I1919" i="1"/>
  <c r="H1919" i="1"/>
  <c r="G1919" i="1"/>
  <c r="K1918" i="1"/>
  <c r="J1918" i="1"/>
  <c r="I1918" i="1"/>
  <c r="H1918" i="1"/>
  <c r="G1918" i="1"/>
  <c r="K1917" i="1"/>
  <c r="J1917" i="1"/>
  <c r="I1917" i="1"/>
  <c r="H1917" i="1"/>
  <c r="G1917" i="1"/>
  <c r="K1916" i="1"/>
  <c r="J1916" i="1"/>
  <c r="I1916" i="1"/>
  <c r="H1916" i="1"/>
  <c r="G1916" i="1"/>
  <c r="K1915" i="1"/>
  <c r="J1915" i="1"/>
  <c r="I1915" i="1"/>
  <c r="H1915" i="1"/>
  <c r="G1915" i="1"/>
  <c r="K1914" i="1"/>
  <c r="J1914" i="1"/>
  <c r="I1914" i="1"/>
  <c r="H1914" i="1"/>
  <c r="G1914" i="1"/>
  <c r="K1913" i="1"/>
  <c r="J1913" i="1"/>
  <c r="I1913" i="1"/>
  <c r="H1913" i="1"/>
  <c r="G1913" i="1"/>
  <c r="K1912" i="1"/>
  <c r="J1912" i="1"/>
  <c r="I1912" i="1"/>
  <c r="H1912" i="1"/>
  <c r="G1912" i="1"/>
  <c r="K1911" i="1"/>
  <c r="J1911" i="1"/>
  <c r="I1911" i="1"/>
  <c r="H1911" i="1"/>
  <c r="G1911" i="1"/>
  <c r="K1910" i="1"/>
  <c r="J1910" i="1"/>
  <c r="I1910" i="1"/>
  <c r="H1910" i="1"/>
  <c r="G1910" i="1"/>
  <c r="K1909" i="1"/>
  <c r="J1909" i="1"/>
  <c r="I1909" i="1"/>
  <c r="H1909" i="1"/>
  <c r="G1909" i="1"/>
  <c r="K1908" i="1"/>
  <c r="J1908" i="1"/>
  <c r="I1908" i="1"/>
  <c r="H1908" i="1"/>
  <c r="G1908" i="1"/>
  <c r="K1907" i="1"/>
  <c r="J1907" i="1"/>
  <c r="I1907" i="1"/>
  <c r="H1907" i="1"/>
  <c r="G1907" i="1"/>
  <c r="K1906" i="1"/>
  <c r="J1906" i="1"/>
  <c r="I1906" i="1"/>
  <c r="H1906" i="1"/>
  <c r="G1906" i="1"/>
  <c r="K1905" i="1"/>
  <c r="J1905" i="1"/>
  <c r="I1905" i="1"/>
  <c r="H1905" i="1"/>
  <c r="G1905" i="1"/>
  <c r="K1904" i="1"/>
  <c r="J1904" i="1"/>
  <c r="I1904" i="1"/>
  <c r="H1904" i="1"/>
  <c r="G1904" i="1"/>
  <c r="K1903" i="1"/>
  <c r="J1903" i="1"/>
  <c r="I1903" i="1"/>
  <c r="H1903" i="1"/>
  <c r="G1903" i="1"/>
  <c r="K1902" i="1"/>
  <c r="J1902" i="1"/>
  <c r="I1902" i="1"/>
  <c r="H1902" i="1"/>
  <c r="G1902" i="1"/>
  <c r="K1901" i="1"/>
  <c r="J1901" i="1"/>
  <c r="I1901" i="1"/>
  <c r="H1901" i="1"/>
  <c r="G1901" i="1"/>
  <c r="K1900" i="1"/>
  <c r="J1900" i="1"/>
  <c r="I1900" i="1"/>
  <c r="H1900" i="1"/>
  <c r="G1900" i="1"/>
  <c r="K1899" i="1"/>
  <c r="J1899" i="1"/>
  <c r="I1899" i="1"/>
  <c r="H1899" i="1"/>
  <c r="G1899" i="1"/>
  <c r="K1898" i="1"/>
  <c r="J1898" i="1"/>
  <c r="I1898" i="1"/>
  <c r="H1898" i="1"/>
  <c r="G1898" i="1"/>
  <c r="K1897" i="1"/>
  <c r="J1897" i="1"/>
  <c r="I1897" i="1"/>
  <c r="H1897" i="1"/>
  <c r="G1897" i="1"/>
  <c r="K1896" i="1"/>
  <c r="J1896" i="1"/>
  <c r="I1896" i="1"/>
  <c r="H1896" i="1"/>
  <c r="G1896" i="1"/>
  <c r="K1895" i="1"/>
  <c r="J1895" i="1"/>
  <c r="I1895" i="1"/>
  <c r="H1895" i="1"/>
  <c r="G1895" i="1"/>
  <c r="K1894" i="1"/>
  <c r="J1894" i="1"/>
  <c r="I1894" i="1"/>
  <c r="H1894" i="1"/>
  <c r="G1894" i="1"/>
  <c r="K1893" i="1"/>
  <c r="J1893" i="1"/>
  <c r="I1893" i="1"/>
  <c r="H1893" i="1"/>
  <c r="G1893" i="1"/>
  <c r="K1892" i="1"/>
  <c r="J1892" i="1"/>
  <c r="I1892" i="1"/>
  <c r="H1892" i="1"/>
  <c r="G1892" i="1"/>
  <c r="K1891" i="1"/>
  <c r="J1891" i="1"/>
  <c r="I1891" i="1"/>
  <c r="H1891" i="1"/>
  <c r="G1891" i="1"/>
  <c r="K1890" i="1"/>
  <c r="J1890" i="1"/>
  <c r="I1890" i="1"/>
  <c r="H1890" i="1"/>
  <c r="G1890" i="1"/>
  <c r="K1889" i="1"/>
  <c r="J1889" i="1"/>
  <c r="I1889" i="1"/>
  <c r="H1889" i="1"/>
  <c r="G1889" i="1"/>
  <c r="K1888" i="1"/>
  <c r="J1888" i="1"/>
  <c r="I1888" i="1"/>
  <c r="H1888" i="1"/>
  <c r="G1888" i="1"/>
  <c r="K1887" i="1"/>
  <c r="J1887" i="1"/>
  <c r="I1887" i="1"/>
  <c r="H1887" i="1"/>
  <c r="G1887" i="1"/>
  <c r="K1886" i="1"/>
  <c r="J1886" i="1"/>
  <c r="I1886" i="1"/>
  <c r="H1886" i="1"/>
  <c r="G1886" i="1"/>
  <c r="K1885" i="1"/>
  <c r="J1885" i="1"/>
  <c r="I1885" i="1"/>
  <c r="H1885" i="1"/>
  <c r="G1885" i="1"/>
  <c r="K1884" i="1"/>
  <c r="J1884" i="1"/>
  <c r="I1884" i="1"/>
  <c r="H1884" i="1"/>
  <c r="G1884" i="1"/>
  <c r="K1883" i="1"/>
  <c r="J1883" i="1"/>
  <c r="I1883" i="1"/>
  <c r="H1883" i="1"/>
  <c r="G1883" i="1"/>
  <c r="K1882" i="1"/>
  <c r="J1882" i="1"/>
  <c r="I1882" i="1"/>
  <c r="H1882" i="1"/>
  <c r="G1882" i="1"/>
  <c r="K1881" i="1"/>
  <c r="J1881" i="1"/>
  <c r="I1881" i="1"/>
  <c r="H1881" i="1"/>
  <c r="G1881" i="1"/>
  <c r="K1880" i="1"/>
  <c r="J1880" i="1"/>
  <c r="I1880" i="1"/>
  <c r="H1880" i="1"/>
  <c r="G1880" i="1"/>
  <c r="K1879" i="1"/>
  <c r="J1879" i="1"/>
  <c r="I1879" i="1"/>
  <c r="H1879" i="1"/>
  <c r="G1879" i="1"/>
  <c r="K1878" i="1"/>
  <c r="J1878" i="1"/>
  <c r="I1878" i="1"/>
  <c r="H1878" i="1"/>
  <c r="G1878" i="1"/>
  <c r="K1877" i="1"/>
  <c r="J1877" i="1"/>
  <c r="I1877" i="1"/>
  <c r="H1877" i="1"/>
  <c r="G1877" i="1"/>
  <c r="K1876" i="1"/>
  <c r="J1876" i="1"/>
  <c r="I1876" i="1"/>
  <c r="H1876" i="1"/>
  <c r="G1876" i="1"/>
  <c r="K1875" i="1"/>
  <c r="J1875" i="1"/>
  <c r="I1875" i="1"/>
  <c r="H1875" i="1"/>
  <c r="G1875" i="1"/>
  <c r="K1874" i="1"/>
  <c r="J1874" i="1"/>
  <c r="I1874" i="1"/>
  <c r="H1874" i="1"/>
  <c r="G1874" i="1"/>
  <c r="K1873" i="1"/>
  <c r="J1873" i="1"/>
  <c r="I1873" i="1"/>
  <c r="H1873" i="1"/>
  <c r="G1873" i="1"/>
  <c r="K1872" i="1"/>
  <c r="J1872" i="1"/>
  <c r="I1872" i="1"/>
  <c r="H1872" i="1"/>
  <c r="G1872" i="1"/>
  <c r="K1871" i="1"/>
  <c r="J1871" i="1"/>
  <c r="I1871" i="1"/>
  <c r="H1871" i="1"/>
  <c r="G1871" i="1"/>
  <c r="K1870" i="1"/>
  <c r="J1870" i="1"/>
  <c r="I1870" i="1"/>
  <c r="H1870" i="1"/>
  <c r="G1870" i="1"/>
  <c r="K1869" i="1"/>
  <c r="J1869" i="1"/>
  <c r="I1869" i="1"/>
  <c r="H1869" i="1"/>
  <c r="G1869" i="1"/>
  <c r="K1868" i="1"/>
  <c r="J1868" i="1"/>
  <c r="I1868" i="1"/>
  <c r="H1868" i="1"/>
  <c r="G1868" i="1"/>
  <c r="K1867" i="1"/>
  <c r="J1867" i="1"/>
  <c r="I1867" i="1"/>
  <c r="H1867" i="1"/>
  <c r="G1867" i="1"/>
  <c r="K1866" i="1"/>
  <c r="J1866" i="1"/>
  <c r="I1866" i="1"/>
  <c r="H1866" i="1"/>
  <c r="G1866" i="1"/>
  <c r="K1865" i="1"/>
  <c r="J1865" i="1"/>
  <c r="I1865" i="1"/>
  <c r="H1865" i="1"/>
  <c r="G1865" i="1"/>
  <c r="K1864" i="1"/>
  <c r="J1864" i="1"/>
  <c r="I1864" i="1"/>
  <c r="H1864" i="1"/>
  <c r="G1864" i="1"/>
  <c r="K1863" i="1"/>
  <c r="J1863" i="1"/>
  <c r="I1863" i="1"/>
  <c r="H1863" i="1"/>
  <c r="G1863" i="1"/>
  <c r="K1862" i="1"/>
  <c r="J1862" i="1"/>
  <c r="I1862" i="1"/>
  <c r="H1862" i="1"/>
  <c r="G1862" i="1"/>
  <c r="K1861" i="1"/>
  <c r="J1861" i="1"/>
  <c r="I1861" i="1"/>
  <c r="H1861" i="1"/>
  <c r="G1861" i="1"/>
  <c r="K1860" i="1"/>
  <c r="J1860" i="1"/>
  <c r="I1860" i="1"/>
  <c r="H1860" i="1"/>
  <c r="G1860" i="1"/>
  <c r="K1859" i="1"/>
  <c r="J1859" i="1"/>
  <c r="I1859" i="1"/>
  <c r="H1859" i="1"/>
  <c r="G1859" i="1"/>
  <c r="K1858" i="1"/>
  <c r="J1858" i="1"/>
  <c r="I1858" i="1"/>
  <c r="H1858" i="1"/>
  <c r="G1858" i="1"/>
  <c r="K1857" i="1"/>
  <c r="J1857" i="1"/>
  <c r="I1857" i="1"/>
  <c r="H1857" i="1"/>
  <c r="G1857" i="1"/>
  <c r="K1856" i="1"/>
  <c r="J1856" i="1"/>
  <c r="I1856" i="1"/>
  <c r="H1856" i="1"/>
  <c r="G1856" i="1"/>
  <c r="K1855" i="1"/>
  <c r="J1855" i="1"/>
  <c r="I1855" i="1"/>
  <c r="H1855" i="1"/>
  <c r="G1855" i="1"/>
  <c r="K1854" i="1"/>
  <c r="J1854" i="1"/>
  <c r="I1854" i="1"/>
  <c r="H1854" i="1"/>
  <c r="G1854" i="1"/>
  <c r="K1853" i="1"/>
  <c r="J1853" i="1"/>
  <c r="I1853" i="1"/>
  <c r="H1853" i="1"/>
  <c r="G1853" i="1"/>
  <c r="K1852" i="1"/>
  <c r="J1852" i="1"/>
  <c r="I1852" i="1"/>
  <c r="H1852" i="1"/>
  <c r="G1852" i="1"/>
  <c r="K1851" i="1"/>
  <c r="J1851" i="1"/>
  <c r="I1851" i="1"/>
  <c r="H1851" i="1"/>
  <c r="G1851" i="1"/>
  <c r="K1850" i="1"/>
  <c r="J1850" i="1"/>
  <c r="I1850" i="1"/>
  <c r="H1850" i="1"/>
  <c r="G1850" i="1"/>
  <c r="K1849" i="1"/>
  <c r="J1849" i="1"/>
  <c r="I1849" i="1"/>
  <c r="H1849" i="1"/>
  <c r="G1849" i="1"/>
  <c r="K1848" i="1"/>
  <c r="J1848" i="1"/>
  <c r="I1848" i="1"/>
  <c r="H1848" i="1"/>
  <c r="G1848" i="1"/>
  <c r="K1847" i="1"/>
  <c r="J1847" i="1"/>
  <c r="I1847" i="1"/>
  <c r="H1847" i="1"/>
  <c r="G1847" i="1"/>
  <c r="K1846" i="1"/>
  <c r="J1846" i="1"/>
  <c r="I1846" i="1"/>
  <c r="H1846" i="1"/>
  <c r="G1846" i="1"/>
  <c r="K1845" i="1"/>
  <c r="J1845" i="1"/>
  <c r="I1845" i="1"/>
  <c r="H1845" i="1"/>
  <c r="G1845" i="1"/>
  <c r="K1844" i="1"/>
  <c r="J1844" i="1"/>
  <c r="I1844" i="1"/>
  <c r="H1844" i="1"/>
  <c r="G1844" i="1"/>
  <c r="K1843" i="1"/>
  <c r="J1843" i="1"/>
  <c r="I1843" i="1"/>
  <c r="H1843" i="1"/>
  <c r="G1843" i="1"/>
  <c r="K1842" i="1"/>
  <c r="J1842" i="1"/>
  <c r="I1842" i="1"/>
  <c r="H1842" i="1"/>
  <c r="G1842" i="1"/>
  <c r="K1841" i="1"/>
  <c r="J1841" i="1"/>
  <c r="I1841" i="1"/>
  <c r="H1841" i="1"/>
  <c r="G1841" i="1"/>
  <c r="K1840" i="1"/>
  <c r="J1840" i="1"/>
  <c r="I1840" i="1"/>
  <c r="H1840" i="1"/>
  <c r="G1840" i="1"/>
  <c r="K1839" i="1"/>
  <c r="J1839" i="1"/>
  <c r="I1839" i="1"/>
  <c r="H1839" i="1"/>
  <c r="G1839" i="1"/>
  <c r="K1838" i="1"/>
  <c r="J1838" i="1"/>
  <c r="I1838" i="1"/>
  <c r="H1838" i="1"/>
  <c r="G1838" i="1"/>
  <c r="K1837" i="1"/>
  <c r="J1837" i="1"/>
  <c r="I1837" i="1"/>
  <c r="H1837" i="1"/>
  <c r="G1837" i="1"/>
  <c r="K1836" i="1"/>
  <c r="J1836" i="1"/>
  <c r="I1836" i="1"/>
  <c r="H1836" i="1"/>
  <c r="G1836" i="1"/>
  <c r="K1835" i="1"/>
  <c r="J1835" i="1"/>
  <c r="I1835" i="1"/>
  <c r="H1835" i="1"/>
  <c r="G1835" i="1"/>
  <c r="K1834" i="1"/>
  <c r="J1834" i="1"/>
  <c r="I1834" i="1"/>
  <c r="H1834" i="1"/>
  <c r="G1834" i="1"/>
  <c r="K1833" i="1"/>
  <c r="J1833" i="1"/>
  <c r="I1833" i="1"/>
  <c r="H1833" i="1"/>
  <c r="G1833" i="1"/>
  <c r="K1832" i="1"/>
  <c r="J1832" i="1"/>
  <c r="I1832" i="1"/>
  <c r="H1832" i="1"/>
  <c r="G1832" i="1"/>
  <c r="K1831" i="1"/>
  <c r="J1831" i="1"/>
  <c r="I1831" i="1"/>
  <c r="H1831" i="1"/>
  <c r="G1831" i="1"/>
  <c r="K1830" i="1"/>
  <c r="J1830" i="1"/>
  <c r="I1830" i="1"/>
  <c r="H1830" i="1"/>
  <c r="G1830" i="1"/>
  <c r="K1829" i="1"/>
  <c r="J1829" i="1"/>
  <c r="I1829" i="1"/>
  <c r="H1829" i="1"/>
  <c r="G1829" i="1"/>
  <c r="K1828" i="1"/>
  <c r="J1828" i="1"/>
  <c r="I1828" i="1"/>
  <c r="H1828" i="1"/>
  <c r="G1828" i="1"/>
  <c r="K1827" i="1"/>
  <c r="J1827" i="1"/>
  <c r="I1827" i="1"/>
  <c r="H1827" i="1"/>
  <c r="G1827" i="1"/>
  <c r="K1826" i="1"/>
  <c r="J1826" i="1"/>
  <c r="I1826" i="1"/>
  <c r="H1826" i="1"/>
  <c r="G1826" i="1"/>
  <c r="K1825" i="1"/>
  <c r="J1825" i="1"/>
  <c r="I1825" i="1"/>
  <c r="H1825" i="1"/>
  <c r="G1825" i="1"/>
  <c r="K1824" i="1"/>
  <c r="J1824" i="1"/>
  <c r="I1824" i="1"/>
  <c r="H1824" i="1"/>
  <c r="G1824" i="1"/>
  <c r="K1823" i="1"/>
  <c r="J1823" i="1"/>
  <c r="I1823" i="1"/>
  <c r="H1823" i="1"/>
  <c r="G1823" i="1"/>
  <c r="K1822" i="1"/>
  <c r="J1822" i="1"/>
  <c r="I1822" i="1"/>
  <c r="H1822" i="1"/>
  <c r="G1822" i="1"/>
  <c r="K1821" i="1"/>
  <c r="J1821" i="1"/>
  <c r="I1821" i="1"/>
  <c r="H1821" i="1"/>
  <c r="G1821" i="1"/>
  <c r="K1820" i="1"/>
  <c r="J1820" i="1"/>
  <c r="I1820" i="1"/>
  <c r="H1820" i="1"/>
  <c r="G1820" i="1"/>
  <c r="K1819" i="1"/>
  <c r="J1819" i="1"/>
  <c r="I1819" i="1"/>
  <c r="H1819" i="1"/>
  <c r="G1819" i="1"/>
  <c r="K1818" i="1"/>
  <c r="J1818" i="1"/>
  <c r="I1818" i="1"/>
  <c r="H1818" i="1"/>
  <c r="G1818" i="1"/>
  <c r="K1817" i="1"/>
  <c r="J1817" i="1"/>
  <c r="I1817" i="1"/>
  <c r="H1817" i="1"/>
  <c r="G1817" i="1"/>
  <c r="K1816" i="1"/>
  <c r="J1816" i="1"/>
  <c r="I1816" i="1"/>
  <c r="H1816" i="1"/>
  <c r="G1816" i="1"/>
  <c r="K1815" i="1"/>
  <c r="J1815" i="1"/>
  <c r="I1815" i="1"/>
  <c r="H1815" i="1"/>
  <c r="G1815" i="1"/>
  <c r="K1814" i="1"/>
  <c r="J1814" i="1"/>
  <c r="I1814" i="1"/>
  <c r="H1814" i="1"/>
  <c r="G1814" i="1"/>
  <c r="K1813" i="1"/>
  <c r="J1813" i="1"/>
  <c r="I1813" i="1"/>
  <c r="H1813" i="1"/>
  <c r="G1813" i="1"/>
  <c r="K1812" i="1"/>
  <c r="J1812" i="1"/>
  <c r="I1812" i="1"/>
  <c r="H1812" i="1"/>
  <c r="G1812" i="1"/>
  <c r="K1811" i="1"/>
  <c r="J1811" i="1"/>
  <c r="I1811" i="1"/>
  <c r="H1811" i="1"/>
  <c r="G1811" i="1"/>
  <c r="K1810" i="1"/>
  <c r="J1810" i="1"/>
  <c r="I1810" i="1"/>
  <c r="H1810" i="1"/>
  <c r="G1810" i="1"/>
  <c r="K1809" i="1"/>
  <c r="J1809" i="1"/>
  <c r="I1809" i="1"/>
  <c r="H1809" i="1"/>
  <c r="G1809" i="1"/>
  <c r="K1808" i="1"/>
  <c r="J1808" i="1"/>
  <c r="I1808" i="1"/>
  <c r="H1808" i="1"/>
  <c r="G1808" i="1"/>
  <c r="K1807" i="1"/>
  <c r="J1807" i="1"/>
  <c r="I1807" i="1"/>
  <c r="H1807" i="1"/>
  <c r="G1807" i="1"/>
  <c r="K1806" i="1"/>
  <c r="J1806" i="1"/>
  <c r="I1806" i="1"/>
  <c r="H1806" i="1"/>
  <c r="G1806" i="1"/>
  <c r="K1805" i="1"/>
  <c r="J1805" i="1"/>
  <c r="I1805" i="1"/>
  <c r="H1805" i="1"/>
  <c r="G1805" i="1"/>
  <c r="K1804" i="1"/>
  <c r="J1804" i="1"/>
  <c r="I1804" i="1"/>
  <c r="H1804" i="1"/>
  <c r="G1804" i="1"/>
  <c r="K1803" i="1"/>
  <c r="J1803" i="1"/>
  <c r="I1803" i="1"/>
  <c r="H1803" i="1"/>
  <c r="G1803" i="1"/>
  <c r="K1802" i="1"/>
  <c r="J1802" i="1"/>
  <c r="I1802" i="1"/>
  <c r="H1802" i="1"/>
  <c r="G1802" i="1"/>
  <c r="K1801" i="1"/>
  <c r="J1801" i="1"/>
  <c r="I1801" i="1"/>
  <c r="H1801" i="1"/>
  <c r="G1801" i="1"/>
  <c r="K1800" i="1"/>
  <c r="J1800" i="1"/>
  <c r="I1800" i="1"/>
  <c r="H1800" i="1"/>
  <c r="G1800" i="1"/>
  <c r="K1799" i="1"/>
  <c r="J1799" i="1"/>
  <c r="I1799" i="1"/>
  <c r="H1799" i="1"/>
  <c r="G1799" i="1"/>
  <c r="K1798" i="1"/>
  <c r="J1798" i="1"/>
  <c r="I1798" i="1"/>
  <c r="H1798" i="1"/>
  <c r="G1798" i="1"/>
  <c r="K1797" i="1"/>
  <c r="J1797" i="1"/>
  <c r="I1797" i="1"/>
  <c r="H1797" i="1"/>
  <c r="G1797" i="1"/>
  <c r="K1796" i="1"/>
  <c r="J1796" i="1"/>
  <c r="I1796" i="1"/>
  <c r="H1796" i="1"/>
  <c r="G1796" i="1"/>
  <c r="K1795" i="1"/>
  <c r="J1795" i="1"/>
  <c r="I1795" i="1"/>
  <c r="H1795" i="1"/>
  <c r="G1795" i="1"/>
  <c r="K1794" i="1"/>
  <c r="J1794" i="1"/>
  <c r="I1794" i="1"/>
  <c r="H1794" i="1"/>
  <c r="G1794" i="1"/>
  <c r="K1793" i="1"/>
  <c r="J1793" i="1"/>
  <c r="I1793" i="1"/>
  <c r="H1793" i="1"/>
  <c r="G1793" i="1"/>
  <c r="K1792" i="1"/>
  <c r="J1792" i="1"/>
  <c r="I1792" i="1"/>
  <c r="H1792" i="1"/>
  <c r="G1792" i="1"/>
  <c r="K1791" i="1"/>
  <c r="J1791" i="1"/>
  <c r="I1791" i="1"/>
  <c r="H1791" i="1"/>
  <c r="G1791" i="1"/>
  <c r="K1790" i="1"/>
  <c r="J1790" i="1"/>
  <c r="I1790" i="1"/>
  <c r="H1790" i="1"/>
  <c r="G1790" i="1"/>
  <c r="K1789" i="1"/>
  <c r="J1789" i="1"/>
  <c r="I1789" i="1"/>
  <c r="H1789" i="1"/>
  <c r="G1789" i="1"/>
  <c r="K1788" i="1"/>
  <c r="J1788" i="1"/>
  <c r="I1788" i="1"/>
  <c r="H1788" i="1"/>
  <c r="G1788" i="1"/>
  <c r="K1787" i="1"/>
  <c r="J1787" i="1"/>
  <c r="I1787" i="1"/>
  <c r="H1787" i="1"/>
  <c r="G1787" i="1"/>
  <c r="K1786" i="1"/>
  <c r="J1786" i="1"/>
  <c r="I1786" i="1"/>
  <c r="H1786" i="1"/>
  <c r="G1786" i="1"/>
  <c r="K1785" i="1"/>
  <c r="J1785" i="1"/>
  <c r="I1785" i="1"/>
  <c r="H1785" i="1"/>
  <c r="G1785" i="1"/>
  <c r="K1784" i="1"/>
  <c r="J1784" i="1"/>
  <c r="I1784" i="1"/>
  <c r="H1784" i="1"/>
  <c r="G1784" i="1"/>
  <c r="K1783" i="1"/>
  <c r="J1783" i="1"/>
  <c r="I1783" i="1"/>
  <c r="H1783" i="1"/>
  <c r="G1783" i="1"/>
  <c r="K1782" i="1"/>
  <c r="J1782" i="1"/>
  <c r="I1782" i="1"/>
  <c r="H1782" i="1"/>
  <c r="G1782" i="1"/>
  <c r="K1781" i="1"/>
  <c r="J1781" i="1"/>
  <c r="I1781" i="1"/>
  <c r="H1781" i="1"/>
  <c r="G1781" i="1"/>
  <c r="K1780" i="1"/>
  <c r="J1780" i="1"/>
  <c r="I1780" i="1"/>
  <c r="H1780" i="1"/>
  <c r="G1780" i="1"/>
  <c r="K1779" i="1"/>
  <c r="J1779" i="1"/>
  <c r="I1779" i="1"/>
  <c r="H1779" i="1"/>
  <c r="G1779" i="1"/>
  <c r="K1778" i="1"/>
  <c r="J1778" i="1"/>
  <c r="I1778" i="1"/>
  <c r="H1778" i="1"/>
  <c r="G1778" i="1"/>
  <c r="K1777" i="1"/>
  <c r="J1777" i="1"/>
  <c r="I1777" i="1"/>
  <c r="H1777" i="1"/>
  <c r="G1777" i="1"/>
  <c r="K1776" i="1"/>
  <c r="J1776" i="1"/>
  <c r="I1776" i="1"/>
  <c r="H1776" i="1"/>
  <c r="G1776" i="1"/>
  <c r="K1775" i="1"/>
  <c r="J1775" i="1"/>
  <c r="I1775" i="1"/>
  <c r="H1775" i="1"/>
  <c r="G1775" i="1"/>
  <c r="K1774" i="1"/>
  <c r="J1774" i="1"/>
  <c r="I1774" i="1"/>
  <c r="H1774" i="1"/>
  <c r="G1774" i="1"/>
  <c r="K1773" i="1"/>
  <c r="J1773" i="1"/>
  <c r="I1773" i="1"/>
  <c r="H1773" i="1"/>
  <c r="G1773" i="1"/>
  <c r="K1772" i="1"/>
  <c r="J1772" i="1"/>
  <c r="I1772" i="1"/>
  <c r="H1772" i="1"/>
  <c r="G1772" i="1"/>
  <c r="K1771" i="1"/>
  <c r="J1771" i="1"/>
  <c r="I1771" i="1"/>
  <c r="H1771" i="1"/>
  <c r="G1771" i="1"/>
  <c r="K1770" i="1"/>
  <c r="J1770" i="1"/>
  <c r="I1770" i="1"/>
  <c r="H1770" i="1"/>
  <c r="G1770" i="1"/>
  <c r="K1769" i="1"/>
  <c r="J1769" i="1"/>
  <c r="I1769" i="1"/>
  <c r="H1769" i="1"/>
  <c r="G1769" i="1"/>
  <c r="K1768" i="1"/>
  <c r="J1768" i="1"/>
  <c r="I1768" i="1"/>
  <c r="H1768" i="1"/>
  <c r="G1768" i="1"/>
  <c r="K1767" i="1"/>
  <c r="J1767" i="1"/>
  <c r="I1767" i="1"/>
  <c r="H1767" i="1"/>
  <c r="G1767" i="1"/>
  <c r="K1766" i="1"/>
  <c r="J1766" i="1"/>
  <c r="I1766" i="1"/>
  <c r="H1766" i="1"/>
  <c r="G1766" i="1"/>
  <c r="K1765" i="1"/>
  <c r="J1765" i="1"/>
  <c r="I1765" i="1"/>
  <c r="H1765" i="1"/>
  <c r="G1765" i="1"/>
  <c r="K1764" i="1"/>
  <c r="J1764" i="1"/>
  <c r="I1764" i="1"/>
  <c r="H1764" i="1"/>
  <c r="G1764" i="1"/>
  <c r="K1763" i="1"/>
  <c r="J1763" i="1"/>
  <c r="I1763" i="1"/>
  <c r="H1763" i="1"/>
  <c r="G1763" i="1"/>
  <c r="K1762" i="1"/>
  <c r="J1762" i="1"/>
  <c r="I1762" i="1"/>
  <c r="H1762" i="1"/>
  <c r="G1762" i="1"/>
  <c r="K1761" i="1"/>
  <c r="J1761" i="1"/>
  <c r="I1761" i="1"/>
  <c r="H1761" i="1"/>
  <c r="G1761" i="1"/>
  <c r="K1760" i="1"/>
  <c r="J1760" i="1"/>
  <c r="I1760" i="1"/>
  <c r="H1760" i="1"/>
  <c r="G1760" i="1"/>
  <c r="K1759" i="1"/>
  <c r="J1759" i="1"/>
  <c r="I1759" i="1"/>
  <c r="H1759" i="1"/>
  <c r="G1759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1" i="1"/>
  <c r="J1751" i="1"/>
  <c r="I1751" i="1"/>
  <c r="H1751" i="1"/>
  <c r="G1751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7" i="1"/>
  <c r="J1747" i="1"/>
  <c r="I1747" i="1"/>
  <c r="H1747" i="1"/>
  <c r="G1747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2" i="1"/>
  <c r="J1742" i="1"/>
  <c r="I1742" i="1"/>
  <c r="H1742" i="1"/>
  <c r="G1742" i="1"/>
  <c r="K1741" i="1"/>
  <c r="J1741" i="1"/>
  <c r="I1741" i="1"/>
  <c r="H1741" i="1"/>
  <c r="G1741" i="1"/>
  <c r="K1740" i="1"/>
  <c r="J1740" i="1"/>
  <c r="I1740" i="1"/>
  <c r="H1740" i="1"/>
  <c r="G1740" i="1"/>
  <c r="K1739" i="1"/>
  <c r="J1739" i="1"/>
  <c r="I1739" i="1"/>
  <c r="H1739" i="1"/>
  <c r="G1739" i="1"/>
  <c r="K1738" i="1"/>
  <c r="J1738" i="1"/>
  <c r="I1738" i="1"/>
  <c r="H1738" i="1"/>
  <c r="G1738" i="1"/>
  <c r="K1737" i="1"/>
  <c r="J1737" i="1"/>
  <c r="I1737" i="1"/>
  <c r="H1737" i="1"/>
  <c r="G1737" i="1"/>
  <c r="K1736" i="1"/>
  <c r="J1736" i="1"/>
  <c r="I1736" i="1"/>
  <c r="H1736" i="1"/>
  <c r="G1736" i="1"/>
  <c r="K1735" i="1"/>
  <c r="J1735" i="1"/>
  <c r="I1735" i="1"/>
  <c r="H1735" i="1"/>
  <c r="G1735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31" i="1"/>
  <c r="J1731" i="1"/>
  <c r="I1731" i="1"/>
  <c r="H1731" i="1"/>
  <c r="G1731" i="1"/>
  <c r="K1730" i="1"/>
  <c r="J1730" i="1"/>
  <c r="I1730" i="1"/>
  <c r="H1730" i="1"/>
  <c r="G1730" i="1"/>
  <c r="K1729" i="1"/>
  <c r="J1729" i="1"/>
  <c r="I1729" i="1"/>
  <c r="H1729" i="1"/>
  <c r="G1729" i="1"/>
  <c r="K1728" i="1"/>
  <c r="J1728" i="1"/>
  <c r="I1728" i="1"/>
  <c r="H1728" i="1"/>
  <c r="G1728" i="1"/>
  <c r="K1727" i="1"/>
  <c r="J1727" i="1"/>
  <c r="I1727" i="1"/>
  <c r="H1727" i="1"/>
  <c r="G1727" i="1"/>
  <c r="K1726" i="1"/>
  <c r="J1726" i="1"/>
  <c r="I1726" i="1"/>
  <c r="H1726" i="1"/>
  <c r="G1726" i="1"/>
  <c r="K1725" i="1"/>
  <c r="J1725" i="1"/>
  <c r="I1725" i="1"/>
  <c r="H1725" i="1"/>
  <c r="G1725" i="1"/>
  <c r="K1724" i="1"/>
  <c r="J1724" i="1"/>
  <c r="I1724" i="1"/>
  <c r="H1724" i="1"/>
  <c r="G1724" i="1"/>
  <c r="K1723" i="1"/>
  <c r="J1723" i="1"/>
  <c r="I1723" i="1"/>
  <c r="H1723" i="1"/>
  <c r="G1723" i="1"/>
  <c r="K1722" i="1"/>
  <c r="J1722" i="1"/>
  <c r="I1722" i="1"/>
  <c r="H1722" i="1"/>
  <c r="G1722" i="1"/>
  <c r="K1721" i="1"/>
  <c r="J1721" i="1"/>
  <c r="I1721" i="1"/>
  <c r="H1721" i="1"/>
  <c r="G1721" i="1"/>
  <c r="K1720" i="1"/>
  <c r="J1720" i="1"/>
  <c r="I1720" i="1"/>
  <c r="H1720" i="1"/>
  <c r="G1720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4" i="1"/>
  <c r="J1714" i="1"/>
  <c r="I1714" i="1"/>
  <c r="H1714" i="1"/>
  <c r="G1714" i="1"/>
  <c r="K1713" i="1"/>
  <c r="J1713" i="1"/>
  <c r="I1713" i="1"/>
  <c r="H1713" i="1"/>
  <c r="G1713" i="1"/>
  <c r="K1712" i="1"/>
  <c r="J1712" i="1"/>
  <c r="I1712" i="1"/>
  <c r="H1712" i="1"/>
  <c r="G1712" i="1"/>
  <c r="K1711" i="1"/>
  <c r="J1711" i="1"/>
  <c r="I1711" i="1"/>
  <c r="H1711" i="1"/>
  <c r="G1711" i="1"/>
  <c r="K1710" i="1"/>
  <c r="J1710" i="1"/>
  <c r="I1710" i="1"/>
  <c r="H1710" i="1"/>
  <c r="G1710" i="1"/>
  <c r="K1709" i="1"/>
  <c r="J1709" i="1"/>
  <c r="I1709" i="1"/>
  <c r="H1709" i="1"/>
  <c r="G1709" i="1"/>
  <c r="K1708" i="1"/>
  <c r="J1708" i="1"/>
  <c r="I1708" i="1"/>
  <c r="H1708" i="1"/>
  <c r="G1708" i="1"/>
  <c r="K1707" i="1"/>
  <c r="J1707" i="1"/>
  <c r="I1707" i="1"/>
  <c r="H1707" i="1"/>
  <c r="G1707" i="1"/>
  <c r="K1706" i="1"/>
  <c r="J1706" i="1"/>
  <c r="I1706" i="1"/>
  <c r="H1706" i="1"/>
  <c r="G1706" i="1"/>
  <c r="K1705" i="1"/>
  <c r="J1705" i="1"/>
  <c r="I1705" i="1"/>
  <c r="H1705" i="1"/>
  <c r="G1705" i="1"/>
  <c r="K1704" i="1"/>
  <c r="J1704" i="1"/>
  <c r="I1704" i="1"/>
  <c r="H1704" i="1"/>
  <c r="G1704" i="1"/>
  <c r="K1703" i="1"/>
  <c r="J1703" i="1"/>
  <c r="I1703" i="1"/>
  <c r="H1703" i="1"/>
  <c r="G1703" i="1"/>
  <c r="K1702" i="1"/>
  <c r="J1702" i="1"/>
  <c r="I1702" i="1"/>
  <c r="H1702" i="1"/>
  <c r="G1702" i="1"/>
  <c r="K1701" i="1"/>
  <c r="J1701" i="1"/>
  <c r="I1701" i="1"/>
  <c r="H1701" i="1"/>
  <c r="G1701" i="1"/>
  <c r="K1700" i="1"/>
  <c r="J1700" i="1"/>
  <c r="I1700" i="1"/>
  <c r="H1700" i="1"/>
  <c r="G1700" i="1"/>
  <c r="K1699" i="1"/>
  <c r="J1699" i="1"/>
  <c r="I1699" i="1"/>
  <c r="H1699" i="1"/>
  <c r="G1699" i="1"/>
  <c r="K1698" i="1"/>
  <c r="J1698" i="1"/>
  <c r="I1698" i="1"/>
  <c r="H1698" i="1"/>
  <c r="G1698" i="1"/>
  <c r="K1697" i="1"/>
  <c r="J1697" i="1"/>
  <c r="I1697" i="1"/>
  <c r="H1697" i="1"/>
  <c r="G1697" i="1"/>
  <c r="K1696" i="1"/>
  <c r="J1696" i="1"/>
  <c r="I1696" i="1"/>
  <c r="H1696" i="1"/>
  <c r="G1696" i="1"/>
  <c r="K1695" i="1"/>
  <c r="J1695" i="1"/>
  <c r="I1695" i="1"/>
  <c r="H1695" i="1"/>
  <c r="G1695" i="1"/>
  <c r="K1694" i="1"/>
  <c r="J1694" i="1"/>
  <c r="I1694" i="1"/>
  <c r="H1694" i="1"/>
  <c r="G1694" i="1"/>
  <c r="K1693" i="1"/>
  <c r="J1693" i="1"/>
  <c r="I1693" i="1"/>
  <c r="H1693" i="1"/>
  <c r="G1693" i="1"/>
  <c r="K1692" i="1"/>
  <c r="J1692" i="1"/>
  <c r="I1692" i="1"/>
  <c r="H1692" i="1"/>
  <c r="G1692" i="1"/>
  <c r="K1691" i="1"/>
  <c r="J1691" i="1"/>
  <c r="I1691" i="1"/>
  <c r="H1691" i="1"/>
  <c r="G1691" i="1"/>
  <c r="K1690" i="1"/>
  <c r="J1690" i="1"/>
  <c r="I1690" i="1"/>
  <c r="H1690" i="1"/>
  <c r="G1690" i="1"/>
  <c r="K1689" i="1"/>
  <c r="J1689" i="1"/>
  <c r="I1689" i="1"/>
  <c r="H1689" i="1"/>
  <c r="G1689" i="1"/>
  <c r="K1688" i="1"/>
  <c r="J1688" i="1"/>
  <c r="I1688" i="1"/>
  <c r="H1688" i="1"/>
  <c r="G1688" i="1"/>
  <c r="K1687" i="1"/>
  <c r="J1687" i="1"/>
  <c r="I1687" i="1"/>
  <c r="H1687" i="1"/>
  <c r="G1687" i="1"/>
  <c r="K1686" i="1"/>
  <c r="J1686" i="1"/>
  <c r="I1686" i="1"/>
  <c r="H1686" i="1"/>
  <c r="G1686" i="1"/>
  <c r="K1685" i="1"/>
  <c r="J1685" i="1"/>
  <c r="I1685" i="1"/>
  <c r="H1685" i="1"/>
  <c r="G1685" i="1"/>
  <c r="K1684" i="1"/>
  <c r="J1684" i="1"/>
  <c r="I1684" i="1"/>
  <c r="H1684" i="1"/>
  <c r="G1684" i="1"/>
  <c r="K1683" i="1"/>
  <c r="J1683" i="1"/>
  <c r="I1683" i="1"/>
  <c r="H1683" i="1"/>
  <c r="G1683" i="1"/>
  <c r="K1682" i="1"/>
  <c r="J1682" i="1"/>
  <c r="I1682" i="1"/>
  <c r="H1682" i="1"/>
  <c r="G1682" i="1"/>
  <c r="K1681" i="1"/>
  <c r="J1681" i="1"/>
  <c r="I1681" i="1"/>
  <c r="H1681" i="1"/>
  <c r="G1681" i="1"/>
  <c r="K1680" i="1"/>
  <c r="J1680" i="1"/>
  <c r="I1680" i="1"/>
  <c r="H1680" i="1"/>
  <c r="G1680" i="1"/>
  <c r="K1679" i="1"/>
  <c r="J1679" i="1"/>
  <c r="I1679" i="1"/>
  <c r="H1679" i="1"/>
  <c r="G1679" i="1"/>
  <c r="K1678" i="1"/>
  <c r="J1678" i="1"/>
  <c r="I1678" i="1"/>
  <c r="H1678" i="1"/>
  <c r="G1678" i="1"/>
  <c r="K1677" i="1"/>
  <c r="J1677" i="1"/>
  <c r="I1677" i="1"/>
  <c r="H1677" i="1"/>
  <c r="G1677" i="1"/>
  <c r="K1676" i="1"/>
  <c r="J1676" i="1"/>
  <c r="I1676" i="1"/>
  <c r="H1676" i="1"/>
  <c r="G1676" i="1"/>
  <c r="K1675" i="1"/>
  <c r="J1675" i="1"/>
  <c r="I1675" i="1"/>
  <c r="H1675" i="1"/>
  <c r="G1675" i="1"/>
  <c r="K1674" i="1"/>
  <c r="J1674" i="1"/>
  <c r="I1674" i="1"/>
  <c r="H1674" i="1"/>
  <c r="G1674" i="1"/>
  <c r="K1673" i="1"/>
  <c r="J1673" i="1"/>
  <c r="I1673" i="1"/>
  <c r="H1673" i="1"/>
  <c r="G1673" i="1"/>
  <c r="K1672" i="1"/>
  <c r="J1672" i="1"/>
  <c r="I1672" i="1"/>
  <c r="H1672" i="1"/>
  <c r="G1672" i="1"/>
  <c r="K1671" i="1"/>
  <c r="J1671" i="1"/>
  <c r="I1671" i="1"/>
  <c r="H1671" i="1"/>
  <c r="G1671" i="1"/>
  <c r="K1670" i="1"/>
  <c r="J1670" i="1"/>
  <c r="I1670" i="1"/>
  <c r="H1670" i="1"/>
  <c r="G1670" i="1"/>
  <c r="K1669" i="1"/>
  <c r="J1669" i="1"/>
  <c r="I1669" i="1"/>
  <c r="H1669" i="1"/>
  <c r="G1669" i="1"/>
  <c r="K1668" i="1"/>
  <c r="J1668" i="1"/>
  <c r="I1668" i="1"/>
  <c r="H1668" i="1"/>
  <c r="G1668" i="1"/>
  <c r="K1667" i="1"/>
  <c r="J1667" i="1"/>
  <c r="I1667" i="1"/>
  <c r="H1667" i="1"/>
  <c r="G1667" i="1"/>
  <c r="K1666" i="1"/>
  <c r="J1666" i="1"/>
  <c r="I1666" i="1"/>
  <c r="H1666" i="1"/>
  <c r="G1666" i="1"/>
  <c r="K1665" i="1"/>
  <c r="J1665" i="1"/>
  <c r="I1665" i="1"/>
  <c r="H1665" i="1"/>
  <c r="G1665" i="1"/>
  <c r="K1664" i="1"/>
  <c r="J1664" i="1"/>
  <c r="I1664" i="1"/>
  <c r="H1664" i="1"/>
  <c r="G1664" i="1"/>
  <c r="K1663" i="1"/>
  <c r="J1663" i="1"/>
  <c r="I1663" i="1"/>
  <c r="H1663" i="1"/>
  <c r="G1663" i="1"/>
  <c r="K1662" i="1"/>
  <c r="J1662" i="1"/>
  <c r="I1662" i="1"/>
  <c r="H1662" i="1"/>
  <c r="G1662" i="1"/>
  <c r="K1661" i="1"/>
  <c r="J1661" i="1"/>
  <c r="I1661" i="1"/>
  <c r="H1661" i="1"/>
  <c r="G1661" i="1"/>
  <c r="K1660" i="1"/>
  <c r="J1660" i="1"/>
  <c r="I1660" i="1"/>
  <c r="H1660" i="1"/>
  <c r="G1660" i="1"/>
  <c r="K1659" i="1"/>
  <c r="J1659" i="1"/>
  <c r="I1659" i="1"/>
  <c r="H1659" i="1"/>
  <c r="G1659" i="1"/>
  <c r="K1658" i="1"/>
  <c r="J1658" i="1"/>
  <c r="I1658" i="1"/>
  <c r="H1658" i="1"/>
  <c r="G1658" i="1"/>
  <c r="K1657" i="1"/>
  <c r="J1657" i="1"/>
  <c r="I1657" i="1"/>
  <c r="H1657" i="1"/>
  <c r="G1657" i="1"/>
  <c r="K1656" i="1"/>
  <c r="J1656" i="1"/>
  <c r="I1656" i="1"/>
  <c r="H1656" i="1"/>
  <c r="G1656" i="1"/>
  <c r="K1655" i="1"/>
  <c r="J1655" i="1"/>
  <c r="I1655" i="1"/>
  <c r="H1655" i="1"/>
  <c r="G1655" i="1"/>
  <c r="K1654" i="1"/>
  <c r="J1654" i="1"/>
  <c r="I1654" i="1"/>
  <c r="H1654" i="1"/>
  <c r="G1654" i="1"/>
  <c r="K1653" i="1"/>
  <c r="J1653" i="1"/>
  <c r="I1653" i="1"/>
  <c r="H1653" i="1"/>
  <c r="G1653" i="1"/>
  <c r="K1652" i="1"/>
  <c r="J1652" i="1"/>
  <c r="I1652" i="1"/>
  <c r="H1652" i="1"/>
  <c r="G1652" i="1"/>
  <c r="K1651" i="1"/>
  <c r="J1651" i="1"/>
  <c r="I1651" i="1"/>
  <c r="H1651" i="1"/>
  <c r="G1651" i="1"/>
  <c r="K1650" i="1"/>
  <c r="J1650" i="1"/>
  <c r="I1650" i="1"/>
  <c r="H1650" i="1"/>
  <c r="G1650" i="1"/>
  <c r="K1649" i="1"/>
  <c r="J1649" i="1"/>
  <c r="I1649" i="1"/>
  <c r="H1649" i="1"/>
  <c r="G1649" i="1"/>
  <c r="K1648" i="1"/>
  <c r="J1648" i="1"/>
  <c r="I1648" i="1"/>
  <c r="H1648" i="1"/>
  <c r="G1648" i="1"/>
  <c r="K1647" i="1"/>
  <c r="J1647" i="1"/>
  <c r="I1647" i="1"/>
  <c r="H1647" i="1"/>
  <c r="G1647" i="1"/>
  <c r="K1646" i="1"/>
  <c r="J1646" i="1"/>
  <c r="I1646" i="1"/>
  <c r="H1646" i="1"/>
  <c r="G1646" i="1"/>
  <c r="K1645" i="1"/>
  <c r="J1645" i="1"/>
  <c r="I1645" i="1"/>
  <c r="H1645" i="1"/>
  <c r="G1645" i="1"/>
  <c r="K1644" i="1"/>
  <c r="J1644" i="1"/>
  <c r="I1644" i="1"/>
  <c r="H1644" i="1"/>
  <c r="G1644" i="1"/>
  <c r="K1643" i="1"/>
  <c r="J1643" i="1"/>
  <c r="I1643" i="1"/>
  <c r="H1643" i="1"/>
  <c r="G1643" i="1"/>
  <c r="K1642" i="1"/>
  <c r="J1642" i="1"/>
  <c r="I1642" i="1"/>
  <c r="H1642" i="1"/>
  <c r="G1642" i="1"/>
  <c r="K1641" i="1"/>
  <c r="J1641" i="1"/>
  <c r="I1641" i="1"/>
  <c r="H1641" i="1"/>
  <c r="G1641" i="1"/>
  <c r="K1640" i="1"/>
  <c r="J1640" i="1"/>
  <c r="I1640" i="1"/>
  <c r="H1640" i="1"/>
  <c r="G1640" i="1"/>
  <c r="K1639" i="1"/>
  <c r="J1639" i="1"/>
  <c r="I1639" i="1"/>
  <c r="H1639" i="1"/>
  <c r="G1639" i="1"/>
  <c r="K1638" i="1"/>
  <c r="J1638" i="1"/>
  <c r="I1638" i="1"/>
  <c r="H1638" i="1"/>
  <c r="G1638" i="1"/>
  <c r="K1637" i="1"/>
  <c r="J1637" i="1"/>
  <c r="I1637" i="1"/>
  <c r="H1637" i="1"/>
  <c r="G1637" i="1"/>
  <c r="K1636" i="1"/>
  <c r="J1636" i="1"/>
  <c r="I1636" i="1"/>
  <c r="H1636" i="1"/>
  <c r="G1636" i="1"/>
  <c r="K1635" i="1"/>
  <c r="J1635" i="1"/>
  <c r="I1635" i="1"/>
  <c r="H1635" i="1"/>
  <c r="G1635" i="1"/>
  <c r="K1634" i="1"/>
  <c r="J1634" i="1"/>
  <c r="I1634" i="1"/>
  <c r="H1634" i="1"/>
  <c r="G1634" i="1"/>
  <c r="K1633" i="1"/>
  <c r="J1633" i="1"/>
  <c r="I1633" i="1"/>
  <c r="H1633" i="1"/>
  <c r="G1633" i="1"/>
  <c r="K1632" i="1"/>
  <c r="J1632" i="1"/>
  <c r="I1632" i="1"/>
  <c r="H1632" i="1"/>
  <c r="G1632" i="1"/>
  <c r="K1631" i="1"/>
  <c r="J1631" i="1"/>
  <c r="I1631" i="1"/>
  <c r="H1631" i="1"/>
  <c r="G1631" i="1"/>
  <c r="K1630" i="1"/>
  <c r="J1630" i="1"/>
  <c r="I1630" i="1"/>
  <c r="H1630" i="1"/>
  <c r="G1630" i="1"/>
  <c r="K1629" i="1"/>
  <c r="J1629" i="1"/>
  <c r="I1629" i="1"/>
  <c r="H1629" i="1"/>
  <c r="G1629" i="1"/>
  <c r="K1628" i="1"/>
  <c r="J1628" i="1"/>
  <c r="I1628" i="1"/>
  <c r="H1628" i="1"/>
  <c r="G1628" i="1"/>
  <c r="K1627" i="1"/>
  <c r="J1627" i="1"/>
  <c r="I1627" i="1"/>
  <c r="H1627" i="1"/>
  <c r="G1627" i="1"/>
  <c r="K1626" i="1"/>
  <c r="J1626" i="1"/>
  <c r="I1626" i="1"/>
  <c r="H1626" i="1"/>
  <c r="G1626" i="1"/>
  <c r="K1625" i="1"/>
  <c r="J1625" i="1"/>
  <c r="I1625" i="1"/>
  <c r="H1625" i="1"/>
  <c r="G1625" i="1"/>
  <c r="K1624" i="1"/>
  <c r="J1624" i="1"/>
  <c r="I1624" i="1"/>
  <c r="H1624" i="1"/>
  <c r="G1624" i="1"/>
  <c r="K1623" i="1"/>
  <c r="J1623" i="1"/>
  <c r="I1623" i="1"/>
  <c r="H1623" i="1"/>
  <c r="G1623" i="1"/>
  <c r="K1622" i="1"/>
  <c r="J1622" i="1"/>
  <c r="I1622" i="1"/>
  <c r="H1622" i="1"/>
  <c r="G1622" i="1"/>
  <c r="K1621" i="1"/>
  <c r="J1621" i="1"/>
  <c r="I1621" i="1"/>
  <c r="H1621" i="1"/>
  <c r="G1621" i="1"/>
  <c r="K1620" i="1"/>
  <c r="J1620" i="1"/>
  <c r="I1620" i="1"/>
  <c r="H1620" i="1"/>
  <c r="G1620" i="1"/>
  <c r="K1619" i="1"/>
  <c r="J1619" i="1"/>
  <c r="I1619" i="1"/>
  <c r="H1619" i="1"/>
  <c r="G1619" i="1"/>
  <c r="K1618" i="1"/>
  <c r="J1618" i="1"/>
  <c r="I1618" i="1"/>
  <c r="H1618" i="1"/>
  <c r="G1618" i="1"/>
  <c r="K1617" i="1"/>
  <c r="J1617" i="1"/>
  <c r="I1617" i="1"/>
  <c r="H1617" i="1"/>
  <c r="G1617" i="1"/>
  <c r="K1616" i="1"/>
  <c r="J1616" i="1"/>
  <c r="I1616" i="1"/>
  <c r="H1616" i="1"/>
  <c r="G1616" i="1"/>
  <c r="K1615" i="1"/>
  <c r="J1615" i="1"/>
  <c r="I1615" i="1"/>
  <c r="H1615" i="1"/>
  <c r="G1615" i="1"/>
  <c r="K1614" i="1"/>
  <c r="J1614" i="1"/>
  <c r="I1614" i="1"/>
  <c r="H1614" i="1"/>
  <c r="G1614" i="1"/>
  <c r="K1613" i="1"/>
  <c r="J1613" i="1"/>
  <c r="I1613" i="1"/>
  <c r="H1613" i="1"/>
  <c r="G1613" i="1"/>
  <c r="K1612" i="1"/>
  <c r="J1612" i="1"/>
  <c r="I1612" i="1"/>
  <c r="H1612" i="1"/>
  <c r="G1612" i="1"/>
  <c r="K1611" i="1"/>
  <c r="J1611" i="1"/>
  <c r="I1611" i="1"/>
  <c r="H1611" i="1"/>
  <c r="G1611" i="1"/>
  <c r="K1610" i="1"/>
  <c r="J1610" i="1"/>
  <c r="I1610" i="1"/>
  <c r="H1610" i="1"/>
  <c r="G1610" i="1"/>
  <c r="K1609" i="1"/>
  <c r="J1609" i="1"/>
  <c r="I1609" i="1"/>
  <c r="H1609" i="1"/>
  <c r="G1609" i="1"/>
  <c r="K1608" i="1"/>
  <c r="J1608" i="1"/>
  <c r="I1608" i="1"/>
  <c r="H1608" i="1"/>
  <c r="G1608" i="1"/>
  <c r="K1607" i="1"/>
  <c r="J1607" i="1"/>
  <c r="I1607" i="1"/>
  <c r="H1607" i="1"/>
  <c r="G1607" i="1"/>
  <c r="K1606" i="1"/>
  <c r="J1606" i="1"/>
  <c r="I1606" i="1"/>
  <c r="H1606" i="1"/>
  <c r="G1606" i="1"/>
  <c r="K1605" i="1"/>
  <c r="J1605" i="1"/>
  <c r="I1605" i="1"/>
  <c r="H1605" i="1"/>
  <c r="G1605" i="1"/>
  <c r="K1604" i="1"/>
  <c r="J1604" i="1"/>
  <c r="I1604" i="1"/>
  <c r="H1604" i="1"/>
  <c r="G1604" i="1"/>
  <c r="K1603" i="1"/>
  <c r="J1603" i="1"/>
  <c r="I1603" i="1"/>
  <c r="H1603" i="1"/>
  <c r="G1603" i="1"/>
  <c r="K1602" i="1"/>
  <c r="J1602" i="1"/>
  <c r="I1602" i="1"/>
  <c r="H1602" i="1"/>
  <c r="G1602" i="1"/>
  <c r="K1601" i="1"/>
  <c r="J1601" i="1"/>
  <c r="I1601" i="1"/>
  <c r="H1601" i="1"/>
  <c r="G1601" i="1"/>
  <c r="K1600" i="1"/>
  <c r="J1600" i="1"/>
  <c r="I1600" i="1"/>
  <c r="H1600" i="1"/>
  <c r="G1600" i="1"/>
  <c r="K1599" i="1"/>
  <c r="J1599" i="1"/>
  <c r="I1599" i="1"/>
  <c r="H1599" i="1"/>
  <c r="G1599" i="1"/>
  <c r="K1598" i="1"/>
  <c r="J1598" i="1"/>
  <c r="I1598" i="1"/>
  <c r="H1598" i="1"/>
  <c r="G1598" i="1"/>
  <c r="K1597" i="1"/>
  <c r="J1597" i="1"/>
  <c r="I1597" i="1"/>
  <c r="H1597" i="1"/>
  <c r="G1597" i="1"/>
  <c r="K1596" i="1"/>
  <c r="J1596" i="1"/>
  <c r="I1596" i="1"/>
  <c r="H1596" i="1"/>
  <c r="G1596" i="1"/>
  <c r="K1595" i="1"/>
  <c r="J1595" i="1"/>
  <c r="I1595" i="1"/>
  <c r="H1595" i="1"/>
  <c r="G1595" i="1"/>
  <c r="K1594" i="1"/>
  <c r="J1594" i="1"/>
  <c r="I1594" i="1"/>
  <c r="H1594" i="1"/>
  <c r="G1594" i="1"/>
  <c r="K1593" i="1"/>
  <c r="J1593" i="1"/>
  <c r="I1593" i="1"/>
  <c r="H1593" i="1"/>
  <c r="G1593" i="1"/>
  <c r="K1592" i="1"/>
  <c r="J1592" i="1"/>
  <c r="I1592" i="1"/>
  <c r="H1592" i="1"/>
  <c r="G1592" i="1"/>
  <c r="K1591" i="1"/>
  <c r="J1591" i="1"/>
  <c r="I1591" i="1"/>
  <c r="H1591" i="1"/>
  <c r="G1591" i="1"/>
  <c r="K1590" i="1"/>
  <c r="J1590" i="1"/>
  <c r="I1590" i="1"/>
  <c r="H1590" i="1"/>
  <c r="G1590" i="1"/>
  <c r="K1589" i="1"/>
  <c r="J1589" i="1"/>
  <c r="I1589" i="1"/>
  <c r="H1589" i="1"/>
  <c r="G1589" i="1"/>
  <c r="K1588" i="1"/>
  <c r="J1588" i="1"/>
  <c r="I1588" i="1"/>
  <c r="H1588" i="1"/>
  <c r="G1588" i="1"/>
  <c r="K1587" i="1"/>
  <c r="J1587" i="1"/>
  <c r="I1587" i="1"/>
  <c r="H1587" i="1"/>
  <c r="G1587" i="1"/>
  <c r="K1586" i="1"/>
  <c r="J1586" i="1"/>
  <c r="I1586" i="1"/>
  <c r="H1586" i="1"/>
  <c r="G1586" i="1"/>
  <c r="K1585" i="1"/>
  <c r="J1585" i="1"/>
  <c r="I1585" i="1"/>
  <c r="H1585" i="1"/>
  <c r="G1585" i="1"/>
  <c r="K1584" i="1"/>
  <c r="J1584" i="1"/>
  <c r="I1584" i="1"/>
  <c r="H1584" i="1"/>
  <c r="G1584" i="1"/>
  <c r="K1583" i="1"/>
  <c r="J1583" i="1"/>
  <c r="I1583" i="1"/>
  <c r="H1583" i="1"/>
  <c r="G1583" i="1"/>
  <c r="K1582" i="1"/>
  <c r="J1582" i="1"/>
  <c r="I1582" i="1"/>
  <c r="H1582" i="1"/>
  <c r="G1582" i="1"/>
  <c r="K1581" i="1"/>
  <c r="J1581" i="1"/>
  <c r="I1581" i="1"/>
  <c r="H1581" i="1"/>
  <c r="G1581" i="1"/>
  <c r="K1580" i="1"/>
  <c r="J1580" i="1"/>
  <c r="I1580" i="1"/>
  <c r="H1580" i="1"/>
  <c r="G1580" i="1"/>
  <c r="K1579" i="1"/>
  <c r="J1579" i="1"/>
  <c r="I1579" i="1"/>
  <c r="H1579" i="1"/>
  <c r="G1579" i="1"/>
  <c r="K1578" i="1"/>
  <c r="J1578" i="1"/>
  <c r="I1578" i="1"/>
  <c r="H1578" i="1"/>
  <c r="G1578" i="1"/>
  <c r="K1577" i="1"/>
  <c r="J1577" i="1"/>
  <c r="I1577" i="1"/>
  <c r="H1577" i="1"/>
  <c r="G1577" i="1"/>
  <c r="K1576" i="1"/>
  <c r="J1576" i="1"/>
  <c r="I1576" i="1"/>
  <c r="H1576" i="1"/>
  <c r="G1576" i="1"/>
  <c r="K1575" i="1"/>
  <c r="J1575" i="1"/>
  <c r="I1575" i="1"/>
  <c r="H1575" i="1"/>
  <c r="G1575" i="1"/>
  <c r="K1574" i="1"/>
  <c r="J1574" i="1"/>
  <c r="I1574" i="1"/>
  <c r="H1574" i="1"/>
  <c r="G1574" i="1"/>
  <c r="K1573" i="1"/>
  <c r="J1573" i="1"/>
  <c r="I1573" i="1"/>
  <c r="H1573" i="1"/>
  <c r="G1573" i="1"/>
  <c r="K1572" i="1"/>
  <c r="J1572" i="1"/>
  <c r="I1572" i="1"/>
  <c r="H1572" i="1"/>
  <c r="G1572" i="1"/>
  <c r="K1571" i="1"/>
  <c r="J1571" i="1"/>
  <c r="I1571" i="1"/>
  <c r="H1571" i="1"/>
  <c r="G1571" i="1"/>
  <c r="K1570" i="1"/>
  <c r="J1570" i="1"/>
  <c r="I1570" i="1"/>
  <c r="H1570" i="1"/>
  <c r="G1570" i="1"/>
  <c r="K1569" i="1"/>
  <c r="J1569" i="1"/>
  <c r="I1569" i="1"/>
  <c r="H1569" i="1"/>
  <c r="G1569" i="1"/>
  <c r="K1568" i="1"/>
  <c r="J1568" i="1"/>
  <c r="I1568" i="1"/>
  <c r="H1568" i="1"/>
  <c r="G1568" i="1"/>
  <c r="K1567" i="1"/>
  <c r="J1567" i="1"/>
  <c r="I1567" i="1"/>
  <c r="H1567" i="1"/>
  <c r="G1567" i="1"/>
  <c r="K1566" i="1"/>
  <c r="J1566" i="1"/>
  <c r="I1566" i="1"/>
  <c r="H1566" i="1"/>
  <c r="G1566" i="1"/>
  <c r="K1565" i="1"/>
  <c r="J1565" i="1"/>
  <c r="I1565" i="1"/>
  <c r="H1565" i="1"/>
  <c r="G1565" i="1"/>
  <c r="K1564" i="1"/>
  <c r="J1564" i="1"/>
  <c r="I1564" i="1"/>
  <c r="H1564" i="1"/>
  <c r="G1564" i="1"/>
  <c r="K1563" i="1"/>
  <c r="J1563" i="1"/>
  <c r="I1563" i="1"/>
  <c r="H1563" i="1"/>
  <c r="G1563" i="1"/>
  <c r="K1562" i="1"/>
  <c r="J1562" i="1"/>
  <c r="I1562" i="1"/>
  <c r="H1562" i="1"/>
  <c r="G1562" i="1"/>
  <c r="K1561" i="1"/>
  <c r="J1561" i="1"/>
  <c r="I1561" i="1"/>
  <c r="H1561" i="1"/>
  <c r="G1561" i="1"/>
  <c r="K1560" i="1"/>
  <c r="J1560" i="1"/>
  <c r="I1560" i="1"/>
  <c r="H1560" i="1"/>
  <c r="G1560" i="1"/>
  <c r="K1559" i="1"/>
  <c r="J1559" i="1"/>
  <c r="I1559" i="1"/>
  <c r="H1559" i="1"/>
  <c r="G1559" i="1"/>
  <c r="K1558" i="1"/>
  <c r="J1558" i="1"/>
  <c r="I1558" i="1"/>
  <c r="H1558" i="1"/>
  <c r="G1558" i="1"/>
  <c r="K1557" i="1"/>
  <c r="J1557" i="1"/>
  <c r="I1557" i="1"/>
  <c r="H1557" i="1"/>
  <c r="G1557" i="1"/>
  <c r="K1556" i="1"/>
  <c r="J1556" i="1"/>
  <c r="I1556" i="1"/>
  <c r="H1556" i="1"/>
  <c r="G1556" i="1"/>
  <c r="K1555" i="1"/>
  <c r="J1555" i="1"/>
  <c r="I1555" i="1"/>
  <c r="H1555" i="1"/>
  <c r="G1555" i="1"/>
  <c r="K1554" i="1"/>
  <c r="J1554" i="1"/>
  <c r="I1554" i="1"/>
  <c r="H1554" i="1"/>
  <c r="G1554" i="1"/>
  <c r="K1553" i="1"/>
  <c r="J1553" i="1"/>
  <c r="I1553" i="1"/>
  <c r="H1553" i="1"/>
  <c r="G1553" i="1"/>
  <c r="K1552" i="1"/>
  <c r="J1552" i="1"/>
  <c r="I1552" i="1"/>
  <c r="H1552" i="1"/>
  <c r="G1552" i="1"/>
  <c r="K1551" i="1"/>
  <c r="J1551" i="1"/>
  <c r="I1551" i="1"/>
  <c r="H1551" i="1"/>
  <c r="G1551" i="1"/>
  <c r="K1550" i="1"/>
  <c r="J1550" i="1"/>
  <c r="I1550" i="1"/>
  <c r="H1550" i="1"/>
  <c r="G1550" i="1"/>
  <c r="K1549" i="1"/>
  <c r="J1549" i="1"/>
  <c r="I1549" i="1"/>
  <c r="H1549" i="1"/>
  <c r="G1549" i="1"/>
  <c r="K1548" i="1"/>
  <c r="J1548" i="1"/>
  <c r="I1548" i="1"/>
  <c r="H1548" i="1"/>
  <c r="G1548" i="1"/>
  <c r="K1547" i="1"/>
  <c r="J1547" i="1"/>
  <c r="I1547" i="1"/>
  <c r="H1547" i="1"/>
  <c r="G1547" i="1"/>
  <c r="K1546" i="1"/>
  <c r="J1546" i="1"/>
  <c r="I1546" i="1"/>
  <c r="H1546" i="1"/>
  <c r="G1546" i="1"/>
  <c r="K1545" i="1"/>
  <c r="J1545" i="1"/>
  <c r="I1545" i="1"/>
  <c r="H1545" i="1"/>
  <c r="G1545" i="1"/>
  <c r="K1544" i="1"/>
  <c r="J1544" i="1"/>
  <c r="I1544" i="1"/>
  <c r="H1544" i="1"/>
  <c r="G1544" i="1"/>
  <c r="K1543" i="1"/>
  <c r="J1543" i="1"/>
  <c r="I1543" i="1"/>
  <c r="H1543" i="1"/>
  <c r="G1543" i="1"/>
  <c r="K1542" i="1"/>
  <c r="J1542" i="1"/>
  <c r="I1542" i="1"/>
  <c r="H1542" i="1"/>
  <c r="G1542" i="1"/>
  <c r="K1541" i="1"/>
  <c r="J1541" i="1"/>
  <c r="I1541" i="1"/>
  <c r="H1541" i="1"/>
  <c r="G1541" i="1"/>
  <c r="K1540" i="1"/>
  <c r="J1540" i="1"/>
  <c r="I1540" i="1"/>
  <c r="H1540" i="1"/>
  <c r="G1540" i="1"/>
  <c r="K1539" i="1"/>
  <c r="J1539" i="1"/>
  <c r="I1539" i="1"/>
  <c r="H1539" i="1"/>
  <c r="G1539" i="1"/>
  <c r="K1538" i="1"/>
  <c r="J1538" i="1"/>
  <c r="I1538" i="1"/>
  <c r="H1538" i="1"/>
  <c r="G1538" i="1"/>
  <c r="K1537" i="1"/>
  <c r="J1537" i="1"/>
  <c r="I1537" i="1"/>
  <c r="H1537" i="1"/>
  <c r="G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K1532" i="1"/>
  <c r="J1532" i="1"/>
  <c r="I1532" i="1"/>
  <c r="H1532" i="1"/>
  <c r="G1532" i="1"/>
  <c r="K1531" i="1"/>
  <c r="J1531" i="1"/>
  <c r="I1531" i="1"/>
  <c r="H1531" i="1"/>
  <c r="G1531" i="1"/>
  <c r="K1530" i="1"/>
  <c r="J1530" i="1"/>
  <c r="I1530" i="1"/>
  <c r="H1530" i="1"/>
  <c r="G1530" i="1"/>
  <c r="K1529" i="1"/>
  <c r="J1529" i="1"/>
  <c r="I1529" i="1"/>
  <c r="H1529" i="1"/>
  <c r="G1529" i="1"/>
  <c r="K1528" i="1"/>
  <c r="J1528" i="1"/>
  <c r="I1528" i="1"/>
  <c r="H1528" i="1"/>
  <c r="G1528" i="1"/>
  <c r="K1527" i="1"/>
  <c r="J1527" i="1"/>
  <c r="I1527" i="1"/>
  <c r="H1527" i="1"/>
  <c r="G1527" i="1"/>
  <c r="K1526" i="1"/>
  <c r="J1526" i="1"/>
  <c r="I1526" i="1"/>
  <c r="H1526" i="1"/>
  <c r="G1526" i="1"/>
  <c r="K1525" i="1"/>
  <c r="J1525" i="1"/>
  <c r="I1525" i="1"/>
  <c r="H1525" i="1"/>
  <c r="G1525" i="1"/>
  <c r="K1524" i="1"/>
  <c r="J1524" i="1"/>
  <c r="I1524" i="1"/>
  <c r="H1524" i="1"/>
  <c r="G1524" i="1"/>
  <c r="K1523" i="1"/>
  <c r="J1523" i="1"/>
  <c r="I1523" i="1"/>
  <c r="H1523" i="1"/>
  <c r="G1523" i="1"/>
  <c r="K1522" i="1"/>
  <c r="J1522" i="1"/>
  <c r="I1522" i="1"/>
  <c r="H1522" i="1"/>
  <c r="G1522" i="1"/>
  <c r="K1521" i="1"/>
  <c r="J1521" i="1"/>
  <c r="I1521" i="1"/>
  <c r="H1521" i="1"/>
  <c r="G1521" i="1"/>
  <c r="K1520" i="1"/>
  <c r="J1520" i="1"/>
  <c r="I1520" i="1"/>
  <c r="H1520" i="1"/>
  <c r="G1520" i="1"/>
  <c r="K1519" i="1"/>
  <c r="J1519" i="1"/>
  <c r="I1519" i="1"/>
  <c r="H1519" i="1"/>
  <c r="G1519" i="1"/>
  <c r="K1518" i="1"/>
  <c r="J1518" i="1"/>
  <c r="I1518" i="1"/>
  <c r="H1518" i="1"/>
  <c r="G1518" i="1"/>
  <c r="K1517" i="1"/>
  <c r="J1517" i="1"/>
  <c r="I1517" i="1"/>
  <c r="H1517" i="1"/>
  <c r="G1517" i="1"/>
  <c r="K1516" i="1"/>
  <c r="J1516" i="1"/>
  <c r="I1516" i="1"/>
  <c r="H1516" i="1"/>
  <c r="G1516" i="1"/>
  <c r="K1515" i="1"/>
  <c r="J1515" i="1"/>
  <c r="I1515" i="1"/>
  <c r="H1515" i="1"/>
  <c r="G1515" i="1"/>
  <c r="K1514" i="1"/>
  <c r="J1514" i="1"/>
  <c r="I1514" i="1"/>
  <c r="H1514" i="1"/>
  <c r="G1514" i="1"/>
  <c r="K1513" i="1"/>
  <c r="J1513" i="1"/>
  <c r="I1513" i="1"/>
  <c r="H1513" i="1"/>
  <c r="G1513" i="1"/>
  <c r="K1512" i="1"/>
  <c r="J1512" i="1"/>
  <c r="I1512" i="1"/>
  <c r="H1512" i="1"/>
  <c r="G1512" i="1"/>
  <c r="K1511" i="1"/>
  <c r="J1511" i="1"/>
  <c r="I1511" i="1"/>
  <c r="H1511" i="1"/>
  <c r="G1511" i="1"/>
  <c r="K1510" i="1"/>
  <c r="J1510" i="1"/>
  <c r="I1510" i="1"/>
  <c r="H1510" i="1"/>
  <c r="G1510" i="1"/>
  <c r="K1509" i="1"/>
  <c r="J1509" i="1"/>
  <c r="I1509" i="1"/>
  <c r="H1509" i="1"/>
  <c r="G1509" i="1"/>
  <c r="K1508" i="1"/>
  <c r="J1508" i="1"/>
  <c r="I1508" i="1"/>
  <c r="H1508" i="1"/>
  <c r="G1508" i="1"/>
  <c r="K1507" i="1"/>
  <c r="J1507" i="1"/>
  <c r="I1507" i="1"/>
  <c r="H1507" i="1"/>
  <c r="G1507" i="1"/>
  <c r="K1506" i="1"/>
  <c r="J1506" i="1"/>
  <c r="I1506" i="1"/>
  <c r="H1506" i="1"/>
  <c r="G1506" i="1"/>
  <c r="K1505" i="1"/>
  <c r="J1505" i="1"/>
  <c r="I1505" i="1"/>
  <c r="H1505" i="1"/>
  <c r="G1505" i="1"/>
  <c r="K1504" i="1"/>
  <c r="J1504" i="1"/>
  <c r="I1504" i="1"/>
  <c r="H1504" i="1"/>
  <c r="G1504" i="1"/>
  <c r="K1503" i="1"/>
  <c r="J1503" i="1"/>
  <c r="I1503" i="1"/>
  <c r="H1503" i="1"/>
  <c r="G1503" i="1"/>
  <c r="K1502" i="1"/>
  <c r="J1502" i="1"/>
  <c r="I1502" i="1"/>
  <c r="H1502" i="1"/>
  <c r="G1502" i="1"/>
  <c r="K1501" i="1"/>
  <c r="J1501" i="1"/>
  <c r="I1501" i="1"/>
  <c r="H1501" i="1"/>
  <c r="G1501" i="1"/>
  <c r="K1500" i="1"/>
  <c r="J1500" i="1"/>
  <c r="I1500" i="1"/>
  <c r="H1500" i="1"/>
  <c r="G1500" i="1"/>
  <c r="K1499" i="1"/>
  <c r="J1499" i="1"/>
  <c r="I1499" i="1"/>
  <c r="H1499" i="1"/>
  <c r="G1499" i="1"/>
  <c r="K1498" i="1"/>
  <c r="J1498" i="1"/>
  <c r="I1498" i="1"/>
  <c r="H1498" i="1"/>
  <c r="G1498" i="1"/>
  <c r="K1497" i="1"/>
  <c r="J1497" i="1"/>
  <c r="I1497" i="1"/>
  <c r="H1497" i="1"/>
  <c r="G1497" i="1"/>
  <c r="K1496" i="1"/>
  <c r="J1496" i="1"/>
  <c r="I1496" i="1"/>
  <c r="H1496" i="1"/>
  <c r="G1496" i="1"/>
  <c r="K1495" i="1"/>
  <c r="J1495" i="1"/>
  <c r="I1495" i="1"/>
  <c r="H1495" i="1"/>
  <c r="G1495" i="1"/>
  <c r="K1494" i="1"/>
  <c r="J1494" i="1"/>
  <c r="I1494" i="1"/>
  <c r="H1494" i="1"/>
  <c r="G1494" i="1"/>
  <c r="K1493" i="1"/>
  <c r="J1493" i="1"/>
  <c r="I1493" i="1"/>
  <c r="H1493" i="1"/>
  <c r="G1493" i="1"/>
  <c r="K1492" i="1"/>
  <c r="J1492" i="1"/>
  <c r="I1492" i="1"/>
  <c r="H1492" i="1"/>
  <c r="G1492" i="1"/>
  <c r="K1491" i="1"/>
  <c r="J1491" i="1"/>
  <c r="I1491" i="1"/>
  <c r="H1491" i="1"/>
  <c r="G1491" i="1"/>
  <c r="K1490" i="1"/>
  <c r="J1490" i="1"/>
  <c r="I1490" i="1"/>
  <c r="H1490" i="1"/>
  <c r="G1490" i="1"/>
  <c r="K1489" i="1"/>
  <c r="J1489" i="1"/>
  <c r="I1489" i="1"/>
  <c r="H1489" i="1"/>
  <c r="G1489" i="1"/>
  <c r="K1488" i="1"/>
  <c r="J1488" i="1"/>
  <c r="I1488" i="1"/>
  <c r="H1488" i="1"/>
  <c r="G1488" i="1"/>
  <c r="K1487" i="1"/>
  <c r="J1487" i="1"/>
  <c r="I1487" i="1"/>
  <c r="H1487" i="1"/>
  <c r="G1487" i="1"/>
  <c r="K1486" i="1"/>
  <c r="J1486" i="1"/>
  <c r="I1486" i="1"/>
  <c r="H1486" i="1"/>
  <c r="G1486" i="1"/>
  <c r="K1485" i="1"/>
  <c r="J1485" i="1"/>
  <c r="I1485" i="1"/>
  <c r="H1485" i="1"/>
  <c r="G1485" i="1"/>
  <c r="K1484" i="1"/>
  <c r="J1484" i="1"/>
  <c r="I1484" i="1"/>
  <c r="H1484" i="1"/>
  <c r="G1484" i="1"/>
  <c r="K1483" i="1"/>
  <c r="J1483" i="1"/>
  <c r="I1483" i="1"/>
  <c r="H1483" i="1"/>
  <c r="G1483" i="1"/>
  <c r="K1482" i="1"/>
  <c r="J1482" i="1"/>
  <c r="I1482" i="1"/>
  <c r="H1482" i="1"/>
  <c r="G1482" i="1"/>
  <c r="K1481" i="1"/>
  <c r="J1481" i="1"/>
  <c r="I1481" i="1"/>
  <c r="H1481" i="1"/>
  <c r="G1481" i="1"/>
  <c r="K1480" i="1"/>
  <c r="J1480" i="1"/>
  <c r="I1480" i="1"/>
  <c r="H1480" i="1"/>
  <c r="G1480" i="1"/>
  <c r="K1479" i="1"/>
  <c r="J1479" i="1"/>
  <c r="I1479" i="1"/>
  <c r="H1479" i="1"/>
  <c r="G1479" i="1"/>
  <c r="K1478" i="1"/>
  <c r="J1478" i="1"/>
  <c r="I1478" i="1"/>
  <c r="H1478" i="1"/>
  <c r="G1478" i="1"/>
  <c r="K1477" i="1"/>
  <c r="J1477" i="1"/>
  <c r="I1477" i="1"/>
  <c r="H1477" i="1"/>
  <c r="G1477" i="1"/>
  <c r="K1476" i="1"/>
  <c r="J1476" i="1"/>
  <c r="I1476" i="1"/>
  <c r="H1476" i="1"/>
  <c r="G1476" i="1"/>
  <c r="K1475" i="1"/>
  <c r="J1475" i="1"/>
  <c r="I1475" i="1"/>
  <c r="H1475" i="1"/>
  <c r="G1475" i="1"/>
  <c r="K1474" i="1"/>
  <c r="J1474" i="1"/>
  <c r="I1474" i="1"/>
  <c r="H1474" i="1"/>
  <c r="G1474" i="1"/>
  <c r="K1473" i="1"/>
  <c r="J1473" i="1"/>
  <c r="I1473" i="1"/>
  <c r="H1473" i="1"/>
  <c r="G1473" i="1"/>
  <c r="K1472" i="1"/>
  <c r="J1472" i="1"/>
  <c r="I1472" i="1"/>
  <c r="H1472" i="1"/>
  <c r="G1472" i="1"/>
  <c r="K1471" i="1"/>
  <c r="J1471" i="1"/>
  <c r="I1471" i="1"/>
  <c r="H1471" i="1"/>
  <c r="G1471" i="1"/>
  <c r="K1470" i="1"/>
  <c r="J1470" i="1"/>
  <c r="I1470" i="1"/>
  <c r="H1470" i="1"/>
  <c r="G1470" i="1"/>
  <c r="K1469" i="1"/>
  <c r="J1469" i="1"/>
  <c r="I1469" i="1"/>
  <c r="H1469" i="1"/>
  <c r="G1469" i="1"/>
  <c r="K1468" i="1"/>
  <c r="J1468" i="1"/>
  <c r="I1468" i="1"/>
  <c r="H1468" i="1"/>
  <c r="G1468" i="1"/>
  <c r="K1467" i="1"/>
  <c r="J1467" i="1"/>
  <c r="I1467" i="1"/>
  <c r="H1467" i="1"/>
  <c r="G1467" i="1"/>
  <c r="K1466" i="1"/>
  <c r="J1466" i="1"/>
  <c r="I1466" i="1"/>
  <c r="H1466" i="1"/>
  <c r="G1466" i="1"/>
  <c r="K1465" i="1"/>
  <c r="J1465" i="1"/>
  <c r="I1465" i="1"/>
  <c r="H1465" i="1"/>
  <c r="G1465" i="1"/>
  <c r="K1464" i="1"/>
  <c r="J1464" i="1"/>
  <c r="I1464" i="1"/>
  <c r="H1464" i="1"/>
  <c r="G1464" i="1"/>
  <c r="K1463" i="1"/>
  <c r="J1463" i="1"/>
  <c r="I1463" i="1"/>
  <c r="H1463" i="1"/>
  <c r="G1463" i="1"/>
  <c r="K1462" i="1"/>
  <c r="J1462" i="1"/>
  <c r="I1462" i="1"/>
  <c r="H1462" i="1"/>
  <c r="G1462" i="1"/>
  <c r="K1461" i="1"/>
  <c r="J1461" i="1"/>
  <c r="I1461" i="1"/>
  <c r="H1461" i="1"/>
  <c r="G1461" i="1"/>
  <c r="K1460" i="1"/>
  <c r="J1460" i="1"/>
  <c r="I1460" i="1"/>
  <c r="H1460" i="1"/>
  <c r="G1460" i="1"/>
  <c r="K1459" i="1"/>
  <c r="J1459" i="1"/>
  <c r="I1459" i="1"/>
  <c r="H1459" i="1"/>
  <c r="G1459" i="1"/>
  <c r="K1458" i="1"/>
  <c r="J1458" i="1"/>
  <c r="I1458" i="1"/>
  <c r="H1458" i="1"/>
  <c r="G1458" i="1"/>
  <c r="K1457" i="1"/>
  <c r="J1457" i="1"/>
  <c r="I1457" i="1"/>
  <c r="H1457" i="1"/>
  <c r="G1457" i="1"/>
  <c r="K1456" i="1"/>
  <c r="J1456" i="1"/>
  <c r="I1456" i="1"/>
  <c r="H1456" i="1"/>
  <c r="G1456" i="1"/>
  <c r="K1455" i="1"/>
  <c r="J1455" i="1"/>
  <c r="I1455" i="1"/>
  <c r="H1455" i="1"/>
  <c r="G1455" i="1"/>
  <c r="K1454" i="1"/>
  <c r="J1454" i="1"/>
  <c r="I1454" i="1"/>
  <c r="H1454" i="1"/>
  <c r="G1454" i="1"/>
  <c r="K1453" i="1"/>
  <c r="J1453" i="1"/>
  <c r="I1453" i="1"/>
  <c r="H1453" i="1"/>
  <c r="G1453" i="1"/>
  <c r="K1452" i="1"/>
  <c r="J1452" i="1"/>
  <c r="I1452" i="1"/>
  <c r="H1452" i="1"/>
  <c r="G1452" i="1"/>
  <c r="K1451" i="1"/>
  <c r="J1451" i="1"/>
  <c r="I1451" i="1"/>
  <c r="H1451" i="1"/>
  <c r="G1451" i="1"/>
  <c r="K1450" i="1"/>
  <c r="J1450" i="1"/>
  <c r="I1450" i="1"/>
  <c r="H1450" i="1"/>
  <c r="G1450" i="1"/>
  <c r="K1449" i="1"/>
  <c r="J1449" i="1"/>
  <c r="I1449" i="1"/>
  <c r="H1449" i="1"/>
  <c r="G1449" i="1"/>
  <c r="K1448" i="1"/>
  <c r="J1448" i="1"/>
  <c r="I1448" i="1"/>
  <c r="H1448" i="1"/>
  <c r="G1448" i="1"/>
  <c r="K1447" i="1"/>
  <c r="J1447" i="1"/>
  <c r="I1447" i="1"/>
  <c r="H1447" i="1"/>
  <c r="G1447" i="1"/>
  <c r="K1446" i="1"/>
  <c r="J1446" i="1"/>
  <c r="I1446" i="1"/>
  <c r="H1446" i="1"/>
  <c r="G1446" i="1"/>
  <c r="K1445" i="1"/>
  <c r="J1445" i="1"/>
  <c r="I1445" i="1"/>
  <c r="H1445" i="1"/>
  <c r="G1445" i="1"/>
  <c r="K1444" i="1"/>
  <c r="J1444" i="1"/>
  <c r="I1444" i="1"/>
  <c r="H1444" i="1"/>
  <c r="G1444" i="1"/>
  <c r="K1443" i="1"/>
  <c r="J1443" i="1"/>
  <c r="I1443" i="1"/>
  <c r="H1443" i="1"/>
  <c r="G1443" i="1"/>
  <c r="K1442" i="1"/>
  <c r="J1442" i="1"/>
  <c r="I1442" i="1"/>
  <c r="H1442" i="1"/>
  <c r="G1442" i="1"/>
  <c r="K1441" i="1"/>
  <c r="J1441" i="1"/>
  <c r="I1441" i="1"/>
  <c r="H1441" i="1"/>
  <c r="G1441" i="1"/>
  <c r="K1440" i="1"/>
  <c r="J1440" i="1"/>
  <c r="I1440" i="1"/>
  <c r="H1440" i="1"/>
  <c r="G1440" i="1"/>
  <c r="K1439" i="1"/>
  <c r="J1439" i="1"/>
  <c r="I1439" i="1"/>
  <c r="H1439" i="1"/>
  <c r="G1439" i="1"/>
  <c r="K1438" i="1"/>
  <c r="J1438" i="1"/>
  <c r="I1438" i="1"/>
  <c r="H1438" i="1"/>
  <c r="G1438" i="1"/>
  <c r="K1437" i="1"/>
  <c r="J1437" i="1"/>
  <c r="I1437" i="1"/>
  <c r="H1437" i="1"/>
  <c r="G1437" i="1"/>
  <c r="K1436" i="1"/>
  <c r="J1436" i="1"/>
  <c r="I1436" i="1"/>
  <c r="H1436" i="1"/>
  <c r="G1436" i="1"/>
  <c r="K1435" i="1"/>
  <c r="J1435" i="1"/>
  <c r="I1435" i="1"/>
  <c r="H1435" i="1"/>
  <c r="G1435" i="1"/>
  <c r="K1434" i="1"/>
  <c r="J1434" i="1"/>
  <c r="I1434" i="1"/>
  <c r="H1434" i="1"/>
  <c r="G1434" i="1"/>
  <c r="K1433" i="1"/>
  <c r="J1433" i="1"/>
  <c r="I1433" i="1"/>
  <c r="H1433" i="1"/>
  <c r="G1433" i="1"/>
  <c r="K1432" i="1"/>
  <c r="J1432" i="1"/>
  <c r="I1432" i="1"/>
  <c r="H1432" i="1"/>
  <c r="G1432" i="1"/>
  <c r="K1431" i="1"/>
  <c r="J1431" i="1"/>
  <c r="I1431" i="1"/>
  <c r="H1431" i="1"/>
  <c r="G1431" i="1"/>
  <c r="K1430" i="1"/>
  <c r="J1430" i="1"/>
  <c r="I1430" i="1"/>
  <c r="H1430" i="1"/>
  <c r="G1430" i="1"/>
  <c r="K1429" i="1"/>
  <c r="J1429" i="1"/>
  <c r="I1429" i="1"/>
  <c r="H1429" i="1"/>
  <c r="G1429" i="1"/>
  <c r="K1428" i="1"/>
  <c r="J1428" i="1"/>
  <c r="I1428" i="1"/>
  <c r="H1428" i="1"/>
  <c r="G1428" i="1"/>
  <c r="K1427" i="1"/>
  <c r="J1427" i="1"/>
  <c r="I1427" i="1"/>
  <c r="H1427" i="1"/>
  <c r="G1427" i="1"/>
  <c r="K1426" i="1"/>
  <c r="J1426" i="1"/>
  <c r="I1426" i="1"/>
  <c r="H1426" i="1"/>
  <c r="G1426" i="1"/>
  <c r="K1425" i="1"/>
  <c r="J1425" i="1"/>
  <c r="I1425" i="1"/>
  <c r="H1425" i="1"/>
  <c r="G1425" i="1"/>
  <c r="K1424" i="1"/>
  <c r="J1424" i="1"/>
  <c r="I1424" i="1"/>
  <c r="H1424" i="1"/>
  <c r="G1424" i="1"/>
  <c r="K1423" i="1"/>
  <c r="J1423" i="1"/>
  <c r="I1423" i="1"/>
  <c r="H1423" i="1"/>
  <c r="G1423" i="1"/>
  <c r="K1422" i="1"/>
  <c r="J1422" i="1"/>
  <c r="I1422" i="1"/>
  <c r="H1422" i="1"/>
  <c r="G1422" i="1"/>
  <c r="K1421" i="1"/>
  <c r="J1421" i="1"/>
  <c r="I1421" i="1"/>
  <c r="H1421" i="1"/>
  <c r="G1421" i="1"/>
  <c r="K1420" i="1"/>
  <c r="J1420" i="1"/>
  <c r="I1420" i="1"/>
  <c r="H1420" i="1"/>
  <c r="G1420" i="1"/>
  <c r="K1419" i="1"/>
  <c r="J1419" i="1"/>
  <c r="I1419" i="1"/>
  <c r="H1419" i="1"/>
  <c r="G1419" i="1"/>
  <c r="K1418" i="1"/>
  <c r="J1418" i="1"/>
  <c r="I1418" i="1"/>
  <c r="H1418" i="1"/>
  <c r="G1418" i="1"/>
  <c r="K1417" i="1"/>
  <c r="J1417" i="1"/>
  <c r="I1417" i="1"/>
  <c r="H1417" i="1"/>
  <c r="G1417" i="1"/>
  <c r="K1416" i="1"/>
  <c r="J1416" i="1"/>
  <c r="I1416" i="1"/>
  <c r="H1416" i="1"/>
  <c r="G1416" i="1"/>
  <c r="K1415" i="1"/>
  <c r="J1415" i="1"/>
  <c r="I1415" i="1"/>
  <c r="H1415" i="1"/>
  <c r="G1415" i="1"/>
  <c r="K1414" i="1"/>
  <c r="J1414" i="1"/>
  <c r="I1414" i="1"/>
  <c r="H1414" i="1"/>
  <c r="G1414" i="1"/>
  <c r="K1413" i="1"/>
  <c r="J1413" i="1"/>
  <c r="I1413" i="1"/>
  <c r="H1413" i="1"/>
  <c r="G1413" i="1"/>
  <c r="K1412" i="1"/>
  <c r="J1412" i="1"/>
  <c r="I1412" i="1"/>
  <c r="H1412" i="1"/>
  <c r="G1412" i="1"/>
  <c r="K1411" i="1"/>
  <c r="J1411" i="1"/>
  <c r="I1411" i="1"/>
  <c r="H1411" i="1"/>
  <c r="G1411" i="1"/>
  <c r="K1410" i="1"/>
  <c r="J1410" i="1"/>
  <c r="I1410" i="1"/>
  <c r="H1410" i="1"/>
  <c r="G1410" i="1"/>
  <c r="K1409" i="1"/>
  <c r="J1409" i="1"/>
  <c r="I1409" i="1"/>
  <c r="H1409" i="1"/>
  <c r="G1409" i="1"/>
  <c r="K1408" i="1"/>
  <c r="J1408" i="1"/>
  <c r="I1408" i="1"/>
  <c r="H1408" i="1"/>
  <c r="G1408" i="1"/>
  <c r="K1407" i="1"/>
  <c r="J1407" i="1"/>
  <c r="I1407" i="1"/>
  <c r="H1407" i="1"/>
  <c r="G1407" i="1"/>
  <c r="K1406" i="1"/>
  <c r="J1406" i="1"/>
  <c r="I1406" i="1"/>
  <c r="H1406" i="1"/>
  <c r="G1406" i="1"/>
  <c r="K1405" i="1"/>
  <c r="J1405" i="1"/>
  <c r="I1405" i="1"/>
  <c r="H1405" i="1"/>
  <c r="G1405" i="1"/>
  <c r="K1404" i="1"/>
  <c r="J1404" i="1"/>
  <c r="I1404" i="1"/>
  <c r="H1404" i="1"/>
  <c r="G1404" i="1"/>
  <c r="K1403" i="1"/>
  <c r="J1403" i="1"/>
  <c r="I1403" i="1"/>
  <c r="H1403" i="1"/>
  <c r="G1403" i="1"/>
  <c r="K1402" i="1"/>
  <c r="J1402" i="1"/>
  <c r="I1402" i="1"/>
  <c r="H1402" i="1"/>
  <c r="G1402" i="1"/>
  <c r="K1401" i="1"/>
  <c r="J1401" i="1"/>
  <c r="I1401" i="1"/>
  <c r="H1401" i="1"/>
  <c r="G1401" i="1"/>
  <c r="K1400" i="1"/>
  <c r="J1400" i="1"/>
  <c r="I1400" i="1"/>
  <c r="H1400" i="1"/>
  <c r="G1400" i="1"/>
  <c r="K1399" i="1"/>
  <c r="J1399" i="1"/>
  <c r="I1399" i="1"/>
  <c r="H1399" i="1"/>
  <c r="G1399" i="1"/>
  <c r="K1398" i="1"/>
  <c r="J1398" i="1"/>
  <c r="I1398" i="1"/>
  <c r="H1398" i="1"/>
  <c r="G1398" i="1"/>
  <c r="K1397" i="1"/>
  <c r="J1397" i="1"/>
  <c r="I1397" i="1"/>
  <c r="H1397" i="1"/>
  <c r="G1397" i="1"/>
  <c r="K1396" i="1"/>
  <c r="J1396" i="1"/>
  <c r="I1396" i="1"/>
  <c r="H1396" i="1"/>
  <c r="G1396" i="1"/>
  <c r="K1395" i="1"/>
  <c r="J1395" i="1"/>
  <c r="I1395" i="1"/>
  <c r="H1395" i="1"/>
  <c r="G1395" i="1"/>
  <c r="K1394" i="1"/>
  <c r="J1394" i="1"/>
  <c r="I1394" i="1"/>
  <c r="H1394" i="1"/>
  <c r="G1394" i="1"/>
  <c r="K1393" i="1"/>
  <c r="J1393" i="1"/>
  <c r="I1393" i="1"/>
  <c r="H1393" i="1"/>
  <c r="G1393" i="1"/>
  <c r="K1392" i="1"/>
  <c r="J1392" i="1"/>
  <c r="I1392" i="1"/>
  <c r="H1392" i="1"/>
  <c r="G1392" i="1"/>
  <c r="K1391" i="1"/>
  <c r="J1391" i="1"/>
  <c r="I1391" i="1"/>
  <c r="H1391" i="1"/>
  <c r="G1391" i="1"/>
  <c r="K1390" i="1"/>
  <c r="J1390" i="1"/>
  <c r="I1390" i="1"/>
  <c r="H1390" i="1"/>
  <c r="G1390" i="1"/>
  <c r="K1389" i="1"/>
  <c r="J1389" i="1"/>
  <c r="I1389" i="1"/>
  <c r="H1389" i="1"/>
  <c r="G1389" i="1"/>
  <c r="K1388" i="1"/>
  <c r="J1388" i="1"/>
  <c r="I1388" i="1"/>
  <c r="H1388" i="1"/>
  <c r="G1388" i="1"/>
  <c r="K1387" i="1"/>
  <c r="J1387" i="1"/>
  <c r="I1387" i="1"/>
  <c r="H1387" i="1"/>
  <c r="G1387" i="1"/>
  <c r="K1386" i="1"/>
  <c r="J1386" i="1"/>
  <c r="I1386" i="1"/>
  <c r="H1386" i="1"/>
  <c r="G1386" i="1"/>
  <c r="K1385" i="1"/>
  <c r="J1385" i="1"/>
  <c r="I1385" i="1"/>
  <c r="H1385" i="1"/>
  <c r="G1385" i="1"/>
  <c r="K1384" i="1"/>
  <c r="J1384" i="1"/>
  <c r="I1384" i="1"/>
  <c r="H1384" i="1"/>
  <c r="G1384" i="1"/>
  <c r="K1383" i="1"/>
  <c r="J1383" i="1"/>
  <c r="I1383" i="1"/>
  <c r="H1383" i="1"/>
  <c r="G1383" i="1"/>
  <c r="K1382" i="1"/>
  <c r="J1382" i="1"/>
  <c r="I1382" i="1"/>
  <c r="H1382" i="1"/>
  <c r="G1382" i="1"/>
  <c r="K1381" i="1"/>
  <c r="J1381" i="1"/>
  <c r="I1381" i="1"/>
  <c r="H1381" i="1"/>
  <c r="G1381" i="1"/>
  <c r="K1380" i="1"/>
  <c r="J1380" i="1"/>
  <c r="I1380" i="1"/>
  <c r="H1380" i="1"/>
  <c r="G1380" i="1"/>
  <c r="K1379" i="1"/>
  <c r="J1379" i="1"/>
  <c r="I1379" i="1"/>
  <c r="H1379" i="1"/>
  <c r="G1379" i="1"/>
  <c r="K1378" i="1"/>
  <c r="J1378" i="1"/>
  <c r="I1378" i="1"/>
  <c r="H1378" i="1"/>
  <c r="G1378" i="1"/>
  <c r="K1377" i="1"/>
  <c r="J1377" i="1"/>
  <c r="I1377" i="1"/>
  <c r="H1377" i="1"/>
  <c r="G1377" i="1"/>
  <c r="K1376" i="1"/>
  <c r="J1376" i="1"/>
  <c r="I1376" i="1"/>
  <c r="H1376" i="1"/>
  <c r="G1376" i="1"/>
  <c r="K1375" i="1"/>
  <c r="J1375" i="1"/>
  <c r="I1375" i="1"/>
  <c r="H1375" i="1"/>
  <c r="G1375" i="1"/>
  <c r="K1374" i="1"/>
  <c r="J1374" i="1"/>
  <c r="I1374" i="1"/>
  <c r="H1374" i="1"/>
  <c r="G1374" i="1"/>
  <c r="K1373" i="1"/>
  <c r="J1373" i="1"/>
  <c r="I1373" i="1"/>
  <c r="H1373" i="1"/>
  <c r="G1373" i="1"/>
  <c r="K1372" i="1"/>
  <c r="J1372" i="1"/>
  <c r="I1372" i="1"/>
  <c r="H1372" i="1"/>
  <c r="G1372" i="1"/>
  <c r="K1371" i="1"/>
  <c r="J1371" i="1"/>
  <c r="I1371" i="1"/>
  <c r="H1371" i="1"/>
  <c r="G1371" i="1"/>
  <c r="K1370" i="1"/>
  <c r="J1370" i="1"/>
  <c r="I1370" i="1"/>
  <c r="H1370" i="1"/>
  <c r="G1370" i="1"/>
  <c r="K1369" i="1"/>
  <c r="J1369" i="1"/>
  <c r="I1369" i="1"/>
  <c r="H1369" i="1"/>
  <c r="G1369" i="1"/>
  <c r="K1368" i="1"/>
  <c r="J1368" i="1"/>
  <c r="I1368" i="1"/>
  <c r="H1368" i="1"/>
  <c r="G1368" i="1"/>
  <c r="K1367" i="1"/>
  <c r="J1367" i="1"/>
  <c r="I1367" i="1"/>
  <c r="H1367" i="1"/>
  <c r="G1367" i="1"/>
  <c r="K1366" i="1"/>
  <c r="J1366" i="1"/>
  <c r="I1366" i="1"/>
  <c r="H1366" i="1"/>
  <c r="G1366" i="1"/>
  <c r="K1365" i="1"/>
  <c r="J1365" i="1"/>
  <c r="I1365" i="1"/>
  <c r="H1365" i="1"/>
  <c r="G1365" i="1"/>
  <c r="K1364" i="1"/>
  <c r="J1364" i="1"/>
  <c r="I1364" i="1"/>
  <c r="H1364" i="1"/>
  <c r="G1364" i="1"/>
  <c r="K1363" i="1"/>
  <c r="J1363" i="1"/>
  <c r="I1363" i="1"/>
  <c r="H1363" i="1"/>
  <c r="G1363" i="1"/>
  <c r="K1362" i="1"/>
  <c r="J1362" i="1"/>
  <c r="I1362" i="1"/>
  <c r="H1362" i="1"/>
  <c r="G1362" i="1"/>
  <c r="K1361" i="1"/>
  <c r="J1361" i="1"/>
  <c r="I1361" i="1"/>
  <c r="H1361" i="1"/>
  <c r="G1361" i="1"/>
  <c r="K1360" i="1"/>
  <c r="J1360" i="1"/>
  <c r="I1360" i="1"/>
  <c r="H1360" i="1"/>
  <c r="G1360" i="1"/>
  <c r="K1359" i="1"/>
  <c r="J1359" i="1"/>
  <c r="I1359" i="1"/>
  <c r="H1359" i="1"/>
  <c r="G1359" i="1"/>
  <c r="K1358" i="1"/>
  <c r="J1358" i="1"/>
  <c r="I1358" i="1"/>
  <c r="H1358" i="1"/>
  <c r="G1358" i="1"/>
  <c r="K1357" i="1"/>
  <c r="J1357" i="1"/>
  <c r="I1357" i="1"/>
  <c r="H1357" i="1"/>
  <c r="G1357" i="1"/>
  <c r="K1356" i="1"/>
  <c r="J1356" i="1"/>
  <c r="I1356" i="1"/>
  <c r="H1356" i="1"/>
  <c r="G1356" i="1"/>
  <c r="K1355" i="1"/>
  <c r="J1355" i="1"/>
  <c r="I1355" i="1"/>
  <c r="H1355" i="1"/>
  <c r="G1355" i="1"/>
  <c r="K1354" i="1"/>
  <c r="J1354" i="1"/>
  <c r="I1354" i="1"/>
  <c r="H1354" i="1"/>
  <c r="G1354" i="1"/>
  <c r="K1353" i="1"/>
  <c r="J1353" i="1"/>
  <c r="I1353" i="1"/>
  <c r="H1353" i="1"/>
  <c r="G1353" i="1"/>
  <c r="K1352" i="1"/>
  <c r="J1352" i="1"/>
  <c r="I1352" i="1"/>
  <c r="H1352" i="1"/>
  <c r="G1352" i="1"/>
  <c r="K1351" i="1"/>
  <c r="J1351" i="1"/>
  <c r="I1351" i="1"/>
  <c r="H1351" i="1"/>
  <c r="G1351" i="1"/>
  <c r="K1350" i="1"/>
  <c r="J1350" i="1"/>
  <c r="I1350" i="1"/>
  <c r="H1350" i="1"/>
  <c r="G1350" i="1"/>
  <c r="K1349" i="1"/>
  <c r="J1349" i="1"/>
  <c r="I1349" i="1"/>
  <c r="H1349" i="1"/>
  <c r="G1349" i="1"/>
  <c r="K1348" i="1"/>
  <c r="J1348" i="1"/>
  <c r="I1348" i="1"/>
  <c r="H1348" i="1"/>
  <c r="G1348" i="1"/>
  <c r="K1347" i="1"/>
  <c r="J1347" i="1"/>
  <c r="I1347" i="1"/>
  <c r="H1347" i="1"/>
  <c r="G1347" i="1"/>
  <c r="K1346" i="1"/>
  <c r="J1346" i="1"/>
  <c r="I1346" i="1"/>
  <c r="H1346" i="1"/>
  <c r="G1346" i="1"/>
  <c r="K1345" i="1"/>
  <c r="J1345" i="1"/>
  <c r="I1345" i="1"/>
  <c r="H1345" i="1"/>
  <c r="G1345" i="1"/>
  <c r="K1344" i="1"/>
  <c r="J1344" i="1"/>
  <c r="I1344" i="1"/>
  <c r="H1344" i="1"/>
  <c r="G1344" i="1"/>
  <c r="K1343" i="1"/>
  <c r="J1343" i="1"/>
  <c r="I1343" i="1"/>
  <c r="H1343" i="1"/>
  <c r="G1343" i="1"/>
  <c r="K1342" i="1"/>
  <c r="J1342" i="1"/>
  <c r="I1342" i="1"/>
  <c r="H1342" i="1"/>
  <c r="G1342" i="1"/>
  <c r="K1341" i="1"/>
  <c r="J1341" i="1"/>
  <c r="I1341" i="1"/>
  <c r="H1341" i="1"/>
  <c r="G1341" i="1"/>
  <c r="K1340" i="1"/>
  <c r="J1340" i="1"/>
  <c r="I1340" i="1"/>
  <c r="H1340" i="1"/>
  <c r="G1340" i="1"/>
  <c r="K1339" i="1"/>
  <c r="J1339" i="1"/>
  <c r="I1339" i="1"/>
  <c r="H1339" i="1"/>
  <c r="G1339" i="1"/>
  <c r="K1338" i="1"/>
  <c r="J1338" i="1"/>
  <c r="I1338" i="1"/>
  <c r="H1338" i="1"/>
  <c r="G1338" i="1"/>
  <c r="K1337" i="1"/>
  <c r="J1337" i="1"/>
  <c r="I1337" i="1"/>
  <c r="H1337" i="1"/>
  <c r="G1337" i="1"/>
  <c r="K1336" i="1"/>
  <c r="J1336" i="1"/>
  <c r="I1336" i="1"/>
  <c r="H1336" i="1"/>
  <c r="G1336" i="1"/>
  <c r="K1335" i="1"/>
  <c r="J1335" i="1"/>
  <c r="I1335" i="1"/>
  <c r="H1335" i="1"/>
  <c r="G1335" i="1"/>
  <c r="K1334" i="1"/>
  <c r="J1334" i="1"/>
  <c r="I1334" i="1"/>
  <c r="H1334" i="1"/>
  <c r="G1334" i="1"/>
  <c r="K1333" i="1"/>
  <c r="J1333" i="1"/>
  <c r="I1333" i="1"/>
  <c r="H1333" i="1"/>
  <c r="G1333" i="1"/>
  <c r="K1332" i="1"/>
  <c r="J1332" i="1"/>
  <c r="I1332" i="1"/>
  <c r="H1332" i="1"/>
  <c r="G1332" i="1"/>
  <c r="K1331" i="1"/>
  <c r="J1331" i="1"/>
  <c r="I1331" i="1"/>
  <c r="H1331" i="1"/>
  <c r="G1331" i="1"/>
  <c r="K1330" i="1"/>
  <c r="J1330" i="1"/>
  <c r="I1330" i="1"/>
  <c r="H1330" i="1"/>
  <c r="G1330" i="1"/>
  <c r="K1329" i="1"/>
  <c r="J1329" i="1"/>
  <c r="I1329" i="1"/>
  <c r="H1329" i="1"/>
  <c r="G1329" i="1"/>
  <c r="K1328" i="1"/>
  <c r="J1328" i="1"/>
  <c r="I1328" i="1"/>
  <c r="H1328" i="1"/>
  <c r="G1328" i="1"/>
  <c r="K1327" i="1"/>
  <c r="J1327" i="1"/>
  <c r="I1327" i="1"/>
  <c r="H1327" i="1"/>
  <c r="G1327" i="1"/>
  <c r="K1326" i="1"/>
  <c r="J1326" i="1"/>
  <c r="I1326" i="1"/>
  <c r="H1326" i="1"/>
  <c r="G1326" i="1"/>
  <c r="K1325" i="1"/>
  <c r="J1325" i="1"/>
  <c r="I1325" i="1"/>
  <c r="H1325" i="1"/>
  <c r="G1325" i="1"/>
  <c r="K1324" i="1"/>
  <c r="J1324" i="1"/>
  <c r="I1324" i="1"/>
  <c r="H1324" i="1"/>
  <c r="G1324" i="1"/>
  <c r="K1323" i="1"/>
  <c r="J1323" i="1"/>
  <c r="I1323" i="1"/>
  <c r="H1323" i="1"/>
  <c r="G1323" i="1"/>
  <c r="K1322" i="1"/>
  <c r="J1322" i="1"/>
  <c r="I1322" i="1"/>
  <c r="H1322" i="1"/>
  <c r="G1322" i="1"/>
  <c r="K1321" i="1"/>
  <c r="J1321" i="1"/>
  <c r="I1321" i="1"/>
  <c r="H1321" i="1"/>
  <c r="G1321" i="1"/>
  <c r="K1320" i="1"/>
  <c r="J1320" i="1"/>
  <c r="I1320" i="1"/>
  <c r="H1320" i="1"/>
  <c r="G1320" i="1"/>
  <c r="K1319" i="1"/>
  <c r="J1319" i="1"/>
  <c r="I1319" i="1"/>
  <c r="H1319" i="1"/>
  <c r="G1319" i="1"/>
  <c r="K1318" i="1"/>
  <c r="J1318" i="1"/>
  <c r="I1318" i="1"/>
  <c r="H1318" i="1"/>
  <c r="G1318" i="1"/>
  <c r="K1317" i="1"/>
  <c r="J1317" i="1"/>
  <c r="I1317" i="1"/>
  <c r="H1317" i="1"/>
  <c r="G1317" i="1"/>
  <c r="K1316" i="1"/>
  <c r="J1316" i="1"/>
  <c r="I1316" i="1"/>
  <c r="H1316" i="1"/>
  <c r="G1316" i="1"/>
  <c r="K1315" i="1"/>
  <c r="J1315" i="1"/>
  <c r="I1315" i="1"/>
  <c r="H1315" i="1"/>
  <c r="G1315" i="1"/>
  <c r="K1314" i="1"/>
  <c r="J1314" i="1"/>
  <c r="I1314" i="1"/>
  <c r="H1314" i="1"/>
  <c r="G1314" i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K1308" i="1"/>
  <c r="J1308" i="1"/>
  <c r="I1308" i="1"/>
  <c r="H1308" i="1"/>
  <c r="G1308" i="1"/>
  <c r="K1307" i="1"/>
  <c r="J1307" i="1"/>
  <c r="I1307" i="1"/>
  <c r="H1307" i="1"/>
  <c r="G1307" i="1"/>
  <c r="K1306" i="1"/>
  <c r="J1306" i="1"/>
  <c r="I1306" i="1"/>
  <c r="H1306" i="1"/>
  <c r="G1306" i="1"/>
  <c r="K1305" i="1"/>
  <c r="J1305" i="1"/>
  <c r="I1305" i="1"/>
  <c r="H1305" i="1"/>
  <c r="G1305" i="1"/>
  <c r="K1304" i="1"/>
  <c r="J1304" i="1"/>
  <c r="I1304" i="1"/>
  <c r="H1304" i="1"/>
  <c r="G1304" i="1"/>
  <c r="K1303" i="1"/>
  <c r="J1303" i="1"/>
  <c r="I1303" i="1"/>
  <c r="H1303" i="1"/>
  <c r="G1303" i="1"/>
  <c r="K1302" i="1"/>
  <c r="J1302" i="1"/>
  <c r="I1302" i="1"/>
  <c r="H1302" i="1"/>
  <c r="G1302" i="1"/>
  <c r="K1301" i="1"/>
  <c r="J1301" i="1"/>
  <c r="I1301" i="1"/>
  <c r="H1301" i="1"/>
  <c r="G1301" i="1"/>
  <c r="K1300" i="1"/>
  <c r="J1300" i="1"/>
  <c r="I1300" i="1"/>
  <c r="H1300" i="1"/>
  <c r="G1300" i="1"/>
  <c r="K1299" i="1"/>
  <c r="J1299" i="1"/>
  <c r="I1299" i="1"/>
  <c r="H1299" i="1"/>
  <c r="G1299" i="1"/>
  <c r="K1298" i="1"/>
  <c r="J1298" i="1"/>
  <c r="I1298" i="1"/>
  <c r="H1298" i="1"/>
  <c r="G1298" i="1"/>
  <c r="K1297" i="1"/>
  <c r="J1297" i="1"/>
  <c r="I1297" i="1"/>
  <c r="H1297" i="1"/>
  <c r="G1297" i="1"/>
  <c r="K1296" i="1"/>
  <c r="J1296" i="1"/>
  <c r="I1296" i="1"/>
  <c r="H1296" i="1"/>
  <c r="G1296" i="1"/>
  <c r="K1295" i="1"/>
  <c r="J1295" i="1"/>
  <c r="I1295" i="1"/>
  <c r="H1295" i="1"/>
  <c r="G1295" i="1"/>
  <c r="K1294" i="1"/>
  <c r="J1294" i="1"/>
  <c r="I1294" i="1"/>
  <c r="H1294" i="1"/>
  <c r="G1294" i="1"/>
  <c r="K1293" i="1"/>
  <c r="J1293" i="1"/>
  <c r="I1293" i="1"/>
  <c r="H1293" i="1"/>
  <c r="G1293" i="1"/>
  <c r="K1292" i="1"/>
  <c r="J1292" i="1"/>
  <c r="I1292" i="1"/>
  <c r="H1292" i="1"/>
  <c r="G1292" i="1"/>
  <c r="K1291" i="1"/>
  <c r="J1291" i="1"/>
  <c r="I1291" i="1"/>
  <c r="H1291" i="1"/>
  <c r="G1291" i="1"/>
  <c r="K1290" i="1"/>
  <c r="J1290" i="1"/>
  <c r="I1290" i="1"/>
  <c r="H1290" i="1"/>
  <c r="G1290" i="1"/>
  <c r="K1289" i="1"/>
  <c r="J1289" i="1"/>
  <c r="I1289" i="1"/>
  <c r="H1289" i="1"/>
  <c r="G1289" i="1"/>
  <c r="K1288" i="1"/>
  <c r="J1288" i="1"/>
  <c r="I1288" i="1"/>
  <c r="H1288" i="1"/>
  <c r="G1288" i="1"/>
  <c r="K1287" i="1"/>
  <c r="J1287" i="1"/>
  <c r="I1287" i="1"/>
  <c r="H1287" i="1"/>
  <c r="G1287" i="1"/>
  <c r="K1286" i="1"/>
  <c r="J1286" i="1"/>
  <c r="I1286" i="1"/>
  <c r="H1286" i="1"/>
  <c r="G1286" i="1"/>
  <c r="K1285" i="1"/>
  <c r="J1285" i="1"/>
  <c r="I1285" i="1"/>
  <c r="H1285" i="1"/>
  <c r="G1285" i="1"/>
  <c r="K1284" i="1"/>
  <c r="J1284" i="1"/>
  <c r="I1284" i="1"/>
  <c r="H1284" i="1"/>
  <c r="G1284" i="1"/>
  <c r="K1283" i="1"/>
  <c r="J1283" i="1"/>
  <c r="I1283" i="1"/>
  <c r="H1283" i="1"/>
  <c r="G1283" i="1"/>
  <c r="K1282" i="1"/>
  <c r="J1282" i="1"/>
  <c r="I1282" i="1"/>
  <c r="H1282" i="1"/>
  <c r="G1282" i="1"/>
  <c r="K1281" i="1"/>
  <c r="J1281" i="1"/>
  <c r="I1281" i="1"/>
  <c r="H1281" i="1"/>
  <c r="G1281" i="1"/>
  <c r="K1280" i="1"/>
  <c r="J1280" i="1"/>
  <c r="I1280" i="1"/>
  <c r="H1280" i="1"/>
  <c r="G1280" i="1"/>
  <c r="K1279" i="1"/>
  <c r="J1279" i="1"/>
  <c r="I1279" i="1"/>
  <c r="H1279" i="1"/>
  <c r="G1279" i="1"/>
  <c r="K1278" i="1"/>
  <c r="J1278" i="1"/>
  <c r="I1278" i="1"/>
  <c r="H1278" i="1"/>
  <c r="G1278" i="1"/>
  <c r="K1277" i="1"/>
  <c r="J1277" i="1"/>
  <c r="I1277" i="1"/>
  <c r="H1277" i="1"/>
  <c r="G1277" i="1"/>
  <c r="K1276" i="1"/>
  <c r="J1276" i="1"/>
  <c r="I1276" i="1"/>
  <c r="H1276" i="1"/>
  <c r="G1276" i="1"/>
  <c r="K1275" i="1"/>
  <c r="J1275" i="1"/>
  <c r="I1275" i="1"/>
  <c r="H1275" i="1"/>
  <c r="G1275" i="1"/>
  <c r="K1274" i="1"/>
  <c r="J1274" i="1"/>
  <c r="I1274" i="1"/>
  <c r="H1274" i="1"/>
  <c r="G1274" i="1"/>
  <c r="K1273" i="1"/>
  <c r="J1273" i="1"/>
  <c r="I1273" i="1"/>
  <c r="H1273" i="1"/>
  <c r="G1273" i="1"/>
  <c r="K1272" i="1"/>
  <c r="J1272" i="1"/>
  <c r="I1272" i="1"/>
  <c r="H1272" i="1"/>
  <c r="G1272" i="1"/>
  <c r="K1271" i="1"/>
  <c r="J1271" i="1"/>
  <c r="I1271" i="1"/>
  <c r="H1271" i="1"/>
  <c r="G1271" i="1"/>
  <c r="K1270" i="1"/>
  <c r="J1270" i="1"/>
  <c r="I1270" i="1"/>
  <c r="H1270" i="1"/>
  <c r="G1270" i="1"/>
  <c r="K1269" i="1"/>
  <c r="J1269" i="1"/>
  <c r="I1269" i="1"/>
  <c r="H1269" i="1"/>
  <c r="G1269" i="1"/>
  <c r="K1268" i="1"/>
  <c r="J1268" i="1"/>
  <c r="I1268" i="1"/>
  <c r="H1268" i="1"/>
  <c r="G1268" i="1"/>
  <c r="K1267" i="1"/>
  <c r="J1267" i="1"/>
  <c r="I1267" i="1"/>
  <c r="H1267" i="1"/>
  <c r="G1267" i="1"/>
  <c r="K1266" i="1"/>
  <c r="J1266" i="1"/>
  <c r="I1266" i="1"/>
  <c r="H1266" i="1"/>
  <c r="G1266" i="1"/>
  <c r="K1265" i="1"/>
  <c r="J1265" i="1"/>
  <c r="I1265" i="1"/>
  <c r="H1265" i="1"/>
  <c r="G1265" i="1"/>
  <c r="K1264" i="1"/>
  <c r="J1264" i="1"/>
  <c r="I1264" i="1"/>
  <c r="H1264" i="1"/>
  <c r="G1264" i="1"/>
  <c r="K1263" i="1"/>
  <c r="J1263" i="1"/>
  <c r="I1263" i="1"/>
  <c r="H1263" i="1"/>
  <c r="G1263" i="1"/>
  <c r="K1262" i="1"/>
  <c r="J1262" i="1"/>
  <c r="I1262" i="1"/>
  <c r="H1262" i="1"/>
  <c r="G1262" i="1"/>
  <c r="K1261" i="1"/>
  <c r="J1261" i="1"/>
  <c r="I1261" i="1"/>
  <c r="H1261" i="1"/>
  <c r="G1261" i="1"/>
  <c r="K1260" i="1"/>
  <c r="J1260" i="1"/>
  <c r="I1260" i="1"/>
  <c r="H1260" i="1"/>
  <c r="G1260" i="1"/>
  <c r="K1259" i="1"/>
  <c r="J1259" i="1"/>
  <c r="I1259" i="1"/>
  <c r="H1259" i="1"/>
  <c r="G1259" i="1"/>
  <c r="K1258" i="1"/>
  <c r="J1258" i="1"/>
  <c r="I1258" i="1"/>
  <c r="H1258" i="1"/>
  <c r="G1258" i="1"/>
  <c r="K1257" i="1"/>
  <c r="J1257" i="1"/>
  <c r="I1257" i="1"/>
  <c r="H1257" i="1"/>
  <c r="G1257" i="1"/>
  <c r="K1256" i="1"/>
  <c r="J1256" i="1"/>
  <c r="I1256" i="1"/>
  <c r="H1256" i="1"/>
  <c r="G1256" i="1"/>
  <c r="K1255" i="1"/>
  <c r="J1255" i="1"/>
  <c r="I1255" i="1"/>
  <c r="H1255" i="1"/>
  <c r="G1255" i="1"/>
  <c r="K1254" i="1"/>
  <c r="J1254" i="1"/>
  <c r="I1254" i="1"/>
  <c r="H1254" i="1"/>
  <c r="G1254" i="1"/>
  <c r="K1253" i="1"/>
  <c r="J1253" i="1"/>
  <c r="I1253" i="1"/>
  <c r="H1253" i="1"/>
  <c r="G1253" i="1"/>
  <c r="K1252" i="1"/>
  <c r="J1252" i="1"/>
  <c r="I1252" i="1"/>
  <c r="H1252" i="1"/>
  <c r="G1252" i="1"/>
  <c r="K1251" i="1"/>
  <c r="J1251" i="1"/>
  <c r="I1251" i="1"/>
  <c r="H1251" i="1"/>
  <c r="G1251" i="1"/>
  <c r="K1250" i="1"/>
  <c r="J1250" i="1"/>
  <c r="I1250" i="1"/>
  <c r="H1250" i="1"/>
  <c r="G1250" i="1"/>
  <c r="K1249" i="1"/>
  <c r="J1249" i="1"/>
  <c r="I1249" i="1"/>
  <c r="H1249" i="1"/>
  <c r="G1249" i="1"/>
  <c r="K1248" i="1"/>
  <c r="J1248" i="1"/>
  <c r="I1248" i="1"/>
  <c r="H1248" i="1"/>
  <c r="G1248" i="1"/>
  <c r="K1247" i="1"/>
  <c r="J1247" i="1"/>
  <c r="I1247" i="1"/>
  <c r="H1247" i="1"/>
  <c r="G1247" i="1"/>
  <c r="K1246" i="1"/>
  <c r="J1246" i="1"/>
  <c r="I1246" i="1"/>
  <c r="H1246" i="1"/>
  <c r="G1246" i="1"/>
  <c r="K1245" i="1"/>
  <c r="J1245" i="1"/>
  <c r="I1245" i="1"/>
  <c r="H1245" i="1"/>
  <c r="G1245" i="1"/>
  <c r="K1244" i="1"/>
  <c r="J1244" i="1"/>
  <c r="I1244" i="1"/>
  <c r="H1244" i="1"/>
  <c r="G1244" i="1"/>
  <c r="K1243" i="1"/>
  <c r="J1243" i="1"/>
  <c r="I1243" i="1"/>
  <c r="H1243" i="1"/>
  <c r="G1243" i="1"/>
  <c r="K1242" i="1"/>
  <c r="J1242" i="1"/>
  <c r="I1242" i="1"/>
  <c r="H1242" i="1"/>
  <c r="G1242" i="1"/>
  <c r="K1241" i="1"/>
  <c r="J1241" i="1"/>
  <c r="I1241" i="1"/>
  <c r="H1241" i="1"/>
  <c r="G1241" i="1"/>
  <c r="K1240" i="1"/>
  <c r="J1240" i="1"/>
  <c r="I1240" i="1"/>
  <c r="H1240" i="1"/>
  <c r="G1240" i="1"/>
  <c r="K1239" i="1"/>
  <c r="J1239" i="1"/>
  <c r="I1239" i="1"/>
  <c r="H1239" i="1"/>
  <c r="G1239" i="1"/>
  <c r="K1238" i="1"/>
  <c r="J1238" i="1"/>
  <c r="I1238" i="1"/>
  <c r="H1238" i="1"/>
  <c r="G1238" i="1"/>
  <c r="K1237" i="1"/>
  <c r="J1237" i="1"/>
  <c r="I1237" i="1"/>
  <c r="H1237" i="1"/>
  <c r="G1237" i="1"/>
  <c r="K1236" i="1"/>
  <c r="J1236" i="1"/>
  <c r="I1236" i="1"/>
  <c r="H1236" i="1"/>
  <c r="G1236" i="1"/>
  <c r="K1235" i="1"/>
  <c r="J1235" i="1"/>
  <c r="I1235" i="1"/>
  <c r="H1235" i="1"/>
  <c r="G1235" i="1"/>
  <c r="K1234" i="1"/>
  <c r="J1234" i="1"/>
  <c r="I1234" i="1"/>
  <c r="H1234" i="1"/>
  <c r="G1234" i="1"/>
  <c r="K1233" i="1"/>
  <c r="J1233" i="1"/>
  <c r="I1233" i="1"/>
  <c r="H1233" i="1"/>
  <c r="G1233" i="1"/>
  <c r="K1232" i="1"/>
  <c r="J1232" i="1"/>
  <c r="I1232" i="1"/>
  <c r="H1232" i="1"/>
  <c r="G1232" i="1"/>
  <c r="K1231" i="1"/>
  <c r="J1231" i="1"/>
  <c r="I1231" i="1"/>
  <c r="H1231" i="1"/>
  <c r="G1231" i="1"/>
  <c r="K1230" i="1"/>
  <c r="J1230" i="1"/>
  <c r="I1230" i="1"/>
  <c r="H1230" i="1"/>
  <c r="G1230" i="1"/>
  <c r="K1229" i="1"/>
  <c r="J1229" i="1"/>
  <c r="I1229" i="1"/>
  <c r="H1229" i="1"/>
  <c r="G1229" i="1"/>
  <c r="K1228" i="1"/>
  <c r="J1228" i="1"/>
  <c r="I1228" i="1"/>
  <c r="H1228" i="1"/>
  <c r="G1228" i="1"/>
  <c r="K1227" i="1"/>
  <c r="J1227" i="1"/>
  <c r="I1227" i="1"/>
  <c r="H1227" i="1"/>
  <c r="G1227" i="1"/>
  <c r="K1226" i="1"/>
  <c r="J1226" i="1"/>
  <c r="I1226" i="1"/>
  <c r="H1226" i="1"/>
  <c r="G1226" i="1"/>
  <c r="K1225" i="1"/>
  <c r="J1225" i="1"/>
  <c r="I1225" i="1"/>
  <c r="H1225" i="1"/>
  <c r="G1225" i="1"/>
  <c r="K1224" i="1"/>
  <c r="J1224" i="1"/>
  <c r="I1224" i="1"/>
  <c r="H1224" i="1"/>
  <c r="G1224" i="1"/>
  <c r="K1223" i="1"/>
  <c r="J1223" i="1"/>
  <c r="I1223" i="1"/>
  <c r="H1223" i="1"/>
  <c r="G1223" i="1"/>
  <c r="K1222" i="1"/>
  <c r="J1222" i="1"/>
  <c r="I1222" i="1"/>
  <c r="H1222" i="1"/>
  <c r="G1222" i="1"/>
  <c r="K1221" i="1"/>
  <c r="J1221" i="1"/>
  <c r="I1221" i="1"/>
  <c r="H1221" i="1"/>
  <c r="G1221" i="1"/>
  <c r="K1220" i="1"/>
  <c r="J1220" i="1"/>
  <c r="I1220" i="1"/>
  <c r="H1220" i="1"/>
  <c r="G1220" i="1"/>
  <c r="K1219" i="1"/>
  <c r="J1219" i="1"/>
  <c r="I1219" i="1"/>
  <c r="H1219" i="1"/>
  <c r="G1219" i="1"/>
  <c r="K1218" i="1"/>
  <c r="J1218" i="1"/>
  <c r="I1218" i="1"/>
  <c r="H1218" i="1"/>
  <c r="G1218" i="1"/>
  <c r="K1217" i="1"/>
  <c r="J1217" i="1"/>
  <c r="I1217" i="1"/>
  <c r="H1217" i="1"/>
  <c r="G1217" i="1"/>
  <c r="K1216" i="1"/>
  <c r="J1216" i="1"/>
  <c r="I1216" i="1"/>
  <c r="H1216" i="1"/>
  <c r="G1216" i="1"/>
  <c r="K1215" i="1"/>
  <c r="J1215" i="1"/>
  <c r="I1215" i="1"/>
  <c r="H1215" i="1"/>
  <c r="G1215" i="1"/>
  <c r="K1214" i="1"/>
  <c r="J1214" i="1"/>
  <c r="I1214" i="1"/>
  <c r="H1214" i="1"/>
  <c r="G1214" i="1"/>
  <c r="K1213" i="1"/>
  <c r="J1213" i="1"/>
  <c r="I1213" i="1"/>
  <c r="H1213" i="1"/>
  <c r="G1213" i="1"/>
  <c r="K1212" i="1"/>
  <c r="J1212" i="1"/>
  <c r="I1212" i="1"/>
  <c r="H1212" i="1"/>
  <c r="G1212" i="1"/>
  <c r="K1211" i="1"/>
  <c r="J1211" i="1"/>
  <c r="I1211" i="1"/>
  <c r="H1211" i="1"/>
  <c r="G1211" i="1"/>
  <c r="K1210" i="1"/>
  <c r="J1210" i="1"/>
  <c r="I1210" i="1"/>
  <c r="H1210" i="1"/>
  <c r="G1210" i="1"/>
  <c r="K1209" i="1"/>
  <c r="J1209" i="1"/>
  <c r="I1209" i="1"/>
  <c r="H1209" i="1"/>
  <c r="G1209" i="1"/>
  <c r="K1208" i="1"/>
  <c r="J1208" i="1"/>
  <c r="I1208" i="1"/>
  <c r="H1208" i="1"/>
  <c r="G1208" i="1"/>
  <c r="K1207" i="1"/>
  <c r="J1207" i="1"/>
  <c r="I1207" i="1"/>
  <c r="H1207" i="1"/>
  <c r="G1207" i="1"/>
  <c r="K1206" i="1"/>
  <c r="J1206" i="1"/>
  <c r="I1206" i="1"/>
  <c r="H1206" i="1"/>
  <c r="G1206" i="1"/>
  <c r="K1205" i="1"/>
  <c r="J1205" i="1"/>
  <c r="I1205" i="1"/>
  <c r="H1205" i="1"/>
  <c r="G1205" i="1"/>
  <c r="K1204" i="1"/>
  <c r="J1204" i="1"/>
  <c r="I1204" i="1"/>
  <c r="H1204" i="1"/>
  <c r="G1204" i="1"/>
  <c r="K1203" i="1"/>
  <c r="J1203" i="1"/>
  <c r="I1203" i="1"/>
  <c r="H1203" i="1"/>
  <c r="G1203" i="1"/>
  <c r="K1202" i="1"/>
  <c r="J1202" i="1"/>
  <c r="I1202" i="1"/>
  <c r="H1202" i="1"/>
  <c r="G1202" i="1"/>
  <c r="K1201" i="1"/>
  <c r="J1201" i="1"/>
  <c r="I1201" i="1"/>
  <c r="H1201" i="1"/>
  <c r="G1201" i="1"/>
  <c r="K1200" i="1"/>
  <c r="J1200" i="1"/>
  <c r="I1200" i="1"/>
  <c r="H1200" i="1"/>
  <c r="G1200" i="1"/>
  <c r="K1199" i="1"/>
  <c r="J1199" i="1"/>
  <c r="I1199" i="1"/>
  <c r="H1199" i="1"/>
  <c r="G1199" i="1"/>
  <c r="K1198" i="1"/>
  <c r="J1198" i="1"/>
  <c r="I1198" i="1"/>
  <c r="H1198" i="1"/>
  <c r="G1198" i="1"/>
  <c r="K1197" i="1"/>
  <c r="J1197" i="1"/>
  <c r="I1197" i="1"/>
  <c r="H1197" i="1"/>
  <c r="G1197" i="1"/>
  <c r="K1196" i="1"/>
  <c r="J1196" i="1"/>
  <c r="I1196" i="1"/>
  <c r="H1196" i="1"/>
  <c r="G1196" i="1"/>
  <c r="K1195" i="1"/>
  <c r="J1195" i="1"/>
  <c r="I1195" i="1"/>
  <c r="H1195" i="1"/>
  <c r="G1195" i="1"/>
  <c r="K1194" i="1"/>
  <c r="J1194" i="1"/>
  <c r="I1194" i="1"/>
  <c r="H1194" i="1"/>
  <c r="G1194" i="1"/>
  <c r="K1193" i="1"/>
  <c r="J1193" i="1"/>
  <c r="I1193" i="1"/>
  <c r="H1193" i="1"/>
  <c r="G1193" i="1"/>
  <c r="K1192" i="1"/>
  <c r="J1192" i="1"/>
  <c r="I1192" i="1"/>
  <c r="H1192" i="1"/>
  <c r="G1192" i="1"/>
  <c r="K1191" i="1"/>
  <c r="J1191" i="1"/>
  <c r="I1191" i="1"/>
  <c r="H1191" i="1"/>
  <c r="G1191" i="1"/>
  <c r="K1190" i="1"/>
  <c r="J1190" i="1"/>
  <c r="I1190" i="1"/>
  <c r="H1190" i="1"/>
  <c r="G1190" i="1"/>
  <c r="K1189" i="1"/>
  <c r="J1189" i="1"/>
  <c r="I1189" i="1"/>
  <c r="H1189" i="1"/>
  <c r="G1189" i="1"/>
  <c r="K1188" i="1"/>
  <c r="J1188" i="1"/>
  <c r="I1188" i="1"/>
  <c r="H1188" i="1"/>
  <c r="G1188" i="1"/>
  <c r="K1187" i="1"/>
  <c r="J1187" i="1"/>
  <c r="I1187" i="1"/>
  <c r="H1187" i="1"/>
  <c r="G1187" i="1"/>
  <c r="K1186" i="1"/>
  <c r="J1186" i="1"/>
  <c r="I1186" i="1"/>
  <c r="H1186" i="1"/>
  <c r="G1186" i="1"/>
  <c r="K1185" i="1"/>
  <c r="J1185" i="1"/>
  <c r="I1185" i="1"/>
  <c r="H1185" i="1"/>
  <c r="G1185" i="1"/>
  <c r="K1184" i="1"/>
  <c r="J1184" i="1"/>
  <c r="I1184" i="1"/>
  <c r="H1184" i="1"/>
  <c r="G1184" i="1"/>
  <c r="K1183" i="1"/>
  <c r="J1183" i="1"/>
  <c r="I1183" i="1"/>
  <c r="H1183" i="1"/>
  <c r="G1183" i="1"/>
  <c r="K1182" i="1"/>
  <c r="J1182" i="1"/>
  <c r="I1182" i="1"/>
  <c r="H1182" i="1"/>
  <c r="G1182" i="1"/>
  <c r="K1181" i="1"/>
  <c r="J1181" i="1"/>
  <c r="I1181" i="1"/>
  <c r="H1181" i="1"/>
  <c r="G1181" i="1"/>
  <c r="K1180" i="1"/>
  <c r="J1180" i="1"/>
  <c r="I1180" i="1"/>
  <c r="H1180" i="1"/>
  <c r="G1180" i="1"/>
  <c r="K1179" i="1"/>
  <c r="J1179" i="1"/>
  <c r="I1179" i="1"/>
  <c r="H1179" i="1"/>
  <c r="G1179" i="1"/>
  <c r="K1178" i="1"/>
  <c r="J1178" i="1"/>
  <c r="I1178" i="1"/>
  <c r="H1178" i="1"/>
  <c r="G1178" i="1"/>
  <c r="K1177" i="1"/>
  <c r="J1177" i="1"/>
  <c r="I1177" i="1"/>
  <c r="H1177" i="1"/>
  <c r="G1177" i="1"/>
  <c r="K1176" i="1"/>
  <c r="J1176" i="1"/>
  <c r="I1176" i="1"/>
  <c r="H1176" i="1"/>
  <c r="G1176" i="1"/>
  <c r="K1175" i="1"/>
  <c r="J1175" i="1"/>
  <c r="I1175" i="1"/>
  <c r="H1175" i="1"/>
  <c r="G1175" i="1"/>
  <c r="K1174" i="1"/>
  <c r="J1174" i="1"/>
  <c r="I1174" i="1"/>
  <c r="H1174" i="1"/>
  <c r="G1174" i="1"/>
  <c r="K1173" i="1"/>
  <c r="J1173" i="1"/>
  <c r="I1173" i="1"/>
  <c r="H1173" i="1"/>
  <c r="G1173" i="1"/>
  <c r="K1172" i="1"/>
  <c r="J1172" i="1"/>
  <c r="I1172" i="1"/>
  <c r="H1172" i="1"/>
  <c r="G1172" i="1"/>
  <c r="K1171" i="1"/>
  <c r="J1171" i="1"/>
  <c r="I1171" i="1"/>
  <c r="H1171" i="1"/>
  <c r="G1171" i="1"/>
  <c r="K1170" i="1"/>
  <c r="J1170" i="1"/>
  <c r="I1170" i="1"/>
  <c r="H1170" i="1"/>
  <c r="G1170" i="1"/>
  <c r="K1169" i="1"/>
  <c r="J1169" i="1"/>
  <c r="I1169" i="1"/>
  <c r="H1169" i="1"/>
  <c r="G1169" i="1"/>
  <c r="K1168" i="1"/>
  <c r="J1168" i="1"/>
  <c r="I1168" i="1"/>
  <c r="H1168" i="1"/>
  <c r="G1168" i="1"/>
  <c r="K1167" i="1"/>
  <c r="J1167" i="1"/>
  <c r="I1167" i="1"/>
  <c r="H1167" i="1"/>
  <c r="G1167" i="1"/>
  <c r="K1166" i="1"/>
  <c r="J1166" i="1"/>
  <c r="I1166" i="1"/>
  <c r="H1166" i="1"/>
  <c r="G1166" i="1"/>
  <c r="K1165" i="1"/>
  <c r="J1165" i="1"/>
  <c r="I1165" i="1"/>
  <c r="H1165" i="1"/>
  <c r="G1165" i="1"/>
  <c r="K1164" i="1"/>
  <c r="J1164" i="1"/>
  <c r="I1164" i="1"/>
  <c r="H1164" i="1"/>
  <c r="G1164" i="1"/>
  <c r="K1163" i="1"/>
  <c r="J1163" i="1"/>
  <c r="I1163" i="1"/>
  <c r="H1163" i="1"/>
  <c r="G1163" i="1"/>
  <c r="K1162" i="1"/>
  <c r="J1162" i="1"/>
  <c r="I1162" i="1"/>
  <c r="H1162" i="1"/>
  <c r="G1162" i="1"/>
  <c r="K1161" i="1"/>
  <c r="J1161" i="1"/>
  <c r="I1161" i="1"/>
  <c r="H1161" i="1"/>
  <c r="G1161" i="1"/>
  <c r="K1160" i="1"/>
  <c r="J1160" i="1"/>
  <c r="I1160" i="1"/>
  <c r="H1160" i="1"/>
  <c r="G1160" i="1"/>
  <c r="K1159" i="1"/>
  <c r="J1159" i="1"/>
  <c r="I1159" i="1"/>
  <c r="H1159" i="1"/>
  <c r="G1159" i="1"/>
  <c r="K1158" i="1"/>
  <c r="J1158" i="1"/>
  <c r="I1158" i="1"/>
  <c r="H1158" i="1"/>
  <c r="G1158" i="1"/>
  <c r="K1157" i="1"/>
  <c r="J1157" i="1"/>
  <c r="I1157" i="1"/>
  <c r="H1157" i="1"/>
  <c r="G1157" i="1"/>
  <c r="K1156" i="1"/>
  <c r="J1156" i="1"/>
  <c r="I1156" i="1"/>
  <c r="H1156" i="1"/>
  <c r="G1156" i="1"/>
  <c r="K1155" i="1"/>
  <c r="J1155" i="1"/>
  <c r="I1155" i="1"/>
  <c r="H1155" i="1"/>
  <c r="G1155" i="1"/>
  <c r="K1154" i="1"/>
  <c r="J1154" i="1"/>
  <c r="I1154" i="1"/>
  <c r="H1154" i="1"/>
  <c r="G1154" i="1"/>
  <c r="K1153" i="1"/>
  <c r="J1153" i="1"/>
  <c r="I1153" i="1"/>
  <c r="H1153" i="1"/>
  <c r="G1153" i="1"/>
  <c r="K1152" i="1"/>
  <c r="J1152" i="1"/>
  <c r="I1152" i="1"/>
  <c r="H1152" i="1"/>
  <c r="G1152" i="1"/>
  <c r="K1151" i="1"/>
  <c r="J1151" i="1"/>
  <c r="I1151" i="1"/>
  <c r="H1151" i="1"/>
  <c r="G1151" i="1"/>
  <c r="K1150" i="1"/>
  <c r="J1150" i="1"/>
  <c r="I1150" i="1"/>
  <c r="H1150" i="1"/>
  <c r="G1150" i="1"/>
  <c r="K1149" i="1"/>
  <c r="J1149" i="1"/>
  <c r="I1149" i="1"/>
  <c r="H1149" i="1"/>
  <c r="G1149" i="1"/>
  <c r="K1148" i="1"/>
  <c r="J1148" i="1"/>
  <c r="I1148" i="1"/>
  <c r="H1148" i="1"/>
  <c r="G1148" i="1"/>
  <c r="K1147" i="1"/>
  <c r="J1147" i="1"/>
  <c r="I1147" i="1"/>
  <c r="H1147" i="1"/>
  <c r="G1147" i="1"/>
  <c r="K1146" i="1"/>
  <c r="J1146" i="1"/>
  <c r="I1146" i="1"/>
  <c r="H1146" i="1"/>
  <c r="G1146" i="1"/>
  <c r="K1145" i="1"/>
  <c r="J1145" i="1"/>
  <c r="I1145" i="1"/>
  <c r="H1145" i="1"/>
  <c r="G1145" i="1"/>
  <c r="K1144" i="1"/>
  <c r="J1144" i="1"/>
  <c r="I1144" i="1"/>
  <c r="H1144" i="1"/>
  <c r="G1144" i="1"/>
  <c r="K1143" i="1"/>
  <c r="J1143" i="1"/>
  <c r="I1143" i="1"/>
  <c r="H1143" i="1"/>
  <c r="G1143" i="1"/>
  <c r="K1142" i="1"/>
  <c r="J1142" i="1"/>
  <c r="I1142" i="1"/>
  <c r="H1142" i="1"/>
  <c r="G1142" i="1"/>
  <c r="K1141" i="1"/>
  <c r="J1141" i="1"/>
  <c r="I1141" i="1"/>
  <c r="H1141" i="1"/>
  <c r="G1141" i="1"/>
  <c r="K1140" i="1"/>
  <c r="J1140" i="1"/>
  <c r="I1140" i="1"/>
  <c r="H1140" i="1"/>
  <c r="G1140" i="1"/>
  <c r="K1139" i="1"/>
  <c r="J1139" i="1"/>
  <c r="I1139" i="1"/>
  <c r="H1139" i="1"/>
  <c r="G1139" i="1"/>
  <c r="K1138" i="1"/>
  <c r="J1138" i="1"/>
  <c r="I1138" i="1"/>
  <c r="H1138" i="1"/>
  <c r="G1138" i="1"/>
  <c r="K1137" i="1"/>
  <c r="J1137" i="1"/>
  <c r="I1137" i="1"/>
  <c r="H1137" i="1"/>
  <c r="G1137" i="1"/>
  <c r="K1136" i="1"/>
  <c r="J1136" i="1"/>
  <c r="I1136" i="1"/>
  <c r="H1136" i="1"/>
  <c r="G1136" i="1"/>
  <c r="K1135" i="1"/>
  <c r="J1135" i="1"/>
  <c r="I1135" i="1"/>
  <c r="H1135" i="1"/>
  <c r="G1135" i="1"/>
  <c r="K1134" i="1"/>
  <c r="J1134" i="1"/>
  <c r="I1134" i="1"/>
  <c r="H1134" i="1"/>
  <c r="G1134" i="1"/>
  <c r="K1133" i="1"/>
  <c r="J1133" i="1"/>
  <c r="I1133" i="1"/>
  <c r="H1133" i="1"/>
  <c r="G1133" i="1"/>
  <c r="K1132" i="1"/>
  <c r="J1132" i="1"/>
  <c r="I1132" i="1"/>
  <c r="H1132" i="1"/>
  <c r="G1132" i="1"/>
  <c r="K1131" i="1"/>
  <c r="J1131" i="1"/>
  <c r="I1131" i="1"/>
  <c r="H1131" i="1"/>
  <c r="G1131" i="1"/>
  <c r="K1130" i="1"/>
  <c r="J1130" i="1"/>
  <c r="I1130" i="1"/>
  <c r="H1130" i="1"/>
  <c r="G1130" i="1"/>
  <c r="K1129" i="1"/>
  <c r="J1129" i="1"/>
  <c r="I1129" i="1"/>
  <c r="H1129" i="1"/>
  <c r="G1129" i="1"/>
  <c r="K1128" i="1"/>
  <c r="J1128" i="1"/>
  <c r="I1128" i="1"/>
  <c r="H1128" i="1"/>
  <c r="G1128" i="1"/>
  <c r="K1127" i="1"/>
  <c r="J1127" i="1"/>
  <c r="I1127" i="1"/>
  <c r="H1127" i="1"/>
  <c r="G1127" i="1"/>
  <c r="K1126" i="1"/>
  <c r="J1126" i="1"/>
  <c r="I1126" i="1"/>
  <c r="H1126" i="1"/>
  <c r="G1126" i="1"/>
  <c r="K1125" i="1"/>
  <c r="J1125" i="1"/>
  <c r="I1125" i="1"/>
  <c r="H1125" i="1"/>
  <c r="G1125" i="1"/>
  <c r="K1124" i="1"/>
  <c r="J1124" i="1"/>
  <c r="I1124" i="1"/>
  <c r="H1124" i="1"/>
  <c r="G1124" i="1"/>
  <c r="K1123" i="1"/>
  <c r="J1123" i="1"/>
  <c r="I1123" i="1"/>
  <c r="H1123" i="1"/>
  <c r="G1123" i="1"/>
  <c r="K1122" i="1"/>
  <c r="J1122" i="1"/>
  <c r="I1122" i="1"/>
  <c r="H1122" i="1"/>
  <c r="G1122" i="1"/>
  <c r="K1121" i="1"/>
  <c r="J1121" i="1"/>
  <c r="I1121" i="1"/>
  <c r="H1121" i="1"/>
  <c r="G1121" i="1"/>
  <c r="K1120" i="1"/>
  <c r="J1120" i="1"/>
  <c r="I1120" i="1"/>
  <c r="H1120" i="1"/>
  <c r="G1120" i="1"/>
  <c r="K1119" i="1"/>
  <c r="J1119" i="1"/>
  <c r="I1119" i="1"/>
  <c r="H1119" i="1"/>
  <c r="G1119" i="1"/>
  <c r="K1118" i="1"/>
  <c r="J1118" i="1"/>
  <c r="I1118" i="1"/>
  <c r="H1118" i="1"/>
  <c r="G1118" i="1"/>
  <c r="K1117" i="1"/>
  <c r="J1117" i="1"/>
  <c r="I1117" i="1"/>
  <c r="H1117" i="1"/>
  <c r="G1117" i="1"/>
  <c r="K1116" i="1"/>
  <c r="J1116" i="1"/>
  <c r="I1116" i="1"/>
  <c r="H1116" i="1"/>
  <c r="G1116" i="1"/>
  <c r="K1115" i="1"/>
  <c r="J1115" i="1"/>
  <c r="I1115" i="1"/>
  <c r="H1115" i="1"/>
  <c r="G1115" i="1"/>
  <c r="K1114" i="1"/>
  <c r="J1114" i="1"/>
  <c r="I1114" i="1"/>
  <c r="H1114" i="1"/>
  <c r="G1114" i="1"/>
  <c r="K1113" i="1"/>
  <c r="J1113" i="1"/>
  <c r="I1113" i="1"/>
  <c r="H1113" i="1"/>
  <c r="G1113" i="1"/>
  <c r="K1112" i="1"/>
  <c r="J1112" i="1"/>
  <c r="I1112" i="1"/>
  <c r="H1112" i="1"/>
  <c r="G1112" i="1"/>
  <c r="K1111" i="1"/>
  <c r="J1111" i="1"/>
  <c r="I1111" i="1"/>
  <c r="H1111" i="1"/>
  <c r="G1111" i="1"/>
  <c r="K1110" i="1"/>
  <c r="J1110" i="1"/>
  <c r="I1110" i="1"/>
  <c r="H1110" i="1"/>
  <c r="G1110" i="1"/>
  <c r="K1109" i="1"/>
  <c r="J1109" i="1"/>
  <c r="I1109" i="1"/>
  <c r="H1109" i="1"/>
  <c r="G1109" i="1"/>
  <c r="K1108" i="1"/>
  <c r="J1108" i="1"/>
  <c r="I1108" i="1"/>
  <c r="H1108" i="1"/>
  <c r="G1108" i="1"/>
  <c r="K1107" i="1"/>
  <c r="J1107" i="1"/>
  <c r="I1107" i="1"/>
  <c r="H1107" i="1"/>
  <c r="G1107" i="1"/>
  <c r="K1106" i="1"/>
  <c r="J1106" i="1"/>
  <c r="I1106" i="1"/>
  <c r="H1106" i="1"/>
  <c r="G1106" i="1"/>
  <c r="K1105" i="1"/>
  <c r="J1105" i="1"/>
  <c r="I1105" i="1"/>
  <c r="H1105" i="1"/>
  <c r="G1105" i="1"/>
  <c r="K1104" i="1"/>
  <c r="J1104" i="1"/>
  <c r="I1104" i="1"/>
  <c r="H1104" i="1"/>
  <c r="G1104" i="1"/>
  <c r="K1103" i="1"/>
  <c r="J1103" i="1"/>
  <c r="I1103" i="1"/>
  <c r="H1103" i="1"/>
  <c r="G1103" i="1"/>
  <c r="K1102" i="1"/>
  <c r="J1102" i="1"/>
  <c r="I1102" i="1"/>
  <c r="H1102" i="1"/>
  <c r="G1102" i="1"/>
  <c r="K1101" i="1"/>
  <c r="J1101" i="1"/>
  <c r="I1101" i="1"/>
  <c r="H1101" i="1"/>
  <c r="G1101" i="1"/>
  <c r="K1100" i="1"/>
  <c r="J1100" i="1"/>
  <c r="I1100" i="1"/>
  <c r="H1100" i="1"/>
  <c r="G1100" i="1"/>
  <c r="K1099" i="1"/>
  <c r="J1099" i="1"/>
  <c r="I1099" i="1"/>
  <c r="H1099" i="1"/>
  <c r="G1099" i="1"/>
  <c r="K1098" i="1"/>
  <c r="J1098" i="1"/>
  <c r="I1098" i="1"/>
  <c r="H1098" i="1"/>
  <c r="G1098" i="1"/>
  <c r="K1097" i="1"/>
  <c r="J1097" i="1"/>
  <c r="I1097" i="1"/>
  <c r="H1097" i="1"/>
  <c r="G1097" i="1"/>
  <c r="K1096" i="1"/>
  <c r="J1096" i="1"/>
  <c r="I1096" i="1"/>
  <c r="H1096" i="1"/>
  <c r="G1096" i="1"/>
  <c r="K1095" i="1"/>
  <c r="J1095" i="1"/>
  <c r="I1095" i="1"/>
  <c r="H1095" i="1"/>
  <c r="G1095" i="1"/>
  <c r="K1094" i="1"/>
  <c r="J1094" i="1"/>
  <c r="I1094" i="1"/>
  <c r="H1094" i="1"/>
  <c r="G1094" i="1"/>
  <c r="K1093" i="1"/>
  <c r="J1093" i="1"/>
  <c r="I1093" i="1"/>
  <c r="H1093" i="1"/>
  <c r="G1093" i="1"/>
  <c r="K1092" i="1"/>
  <c r="J1092" i="1"/>
  <c r="I1092" i="1"/>
  <c r="H1092" i="1"/>
  <c r="G1092" i="1"/>
  <c r="K1091" i="1"/>
  <c r="J1091" i="1"/>
  <c r="I1091" i="1"/>
  <c r="H1091" i="1"/>
  <c r="G1091" i="1"/>
  <c r="K1090" i="1"/>
  <c r="J1090" i="1"/>
  <c r="I1090" i="1"/>
  <c r="H1090" i="1"/>
  <c r="G1090" i="1"/>
  <c r="K1089" i="1"/>
  <c r="J1089" i="1"/>
  <c r="I1089" i="1"/>
  <c r="H1089" i="1"/>
  <c r="G1089" i="1"/>
  <c r="K1088" i="1"/>
  <c r="J1088" i="1"/>
  <c r="I1088" i="1"/>
  <c r="H1088" i="1"/>
  <c r="G1088" i="1"/>
  <c r="K1087" i="1"/>
  <c r="J1087" i="1"/>
  <c r="I1087" i="1"/>
  <c r="H1087" i="1"/>
  <c r="G1087" i="1"/>
  <c r="K1086" i="1"/>
  <c r="J1086" i="1"/>
  <c r="I1086" i="1"/>
  <c r="H1086" i="1"/>
  <c r="G1086" i="1"/>
  <c r="K1085" i="1"/>
  <c r="J1085" i="1"/>
  <c r="I1085" i="1"/>
  <c r="H1085" i="1"/>
  <c r="G1085" i="1"/>
  <c r="K1084" i="1"/>
  <c r="J1084" i="1"/>
  <c r="I1084" i="1"/>
  <c r="H1084" i="1"/>
  <c r="G1084" i="1"/>
  <c r="K1083" i="1"/>
  <c r="J1083" i="1"/>
  <c r="I1083" i="1"/>
  <c r="H1083" i="1"/>
  <c r="G1083" i="1"/>
  <c r="K1082" i="1"/>
  <c r="J1082" i="1"/>
  <c r="I1082" i="1"/>
  <c r="H1082" i="1"/>
  <c r="G1082" i="1"/>
  <c r="K1081" i="1"/>
  <c r="J1081" i="1"/>
  <c r="I1081" i="1"/>
  <c r="H1081" i="1"/>
  <c r="G1081" i="1"/>
  <c r="K1080" i="1"/>
  <c r="J1080" i="1"/>
  <c r="I1080" i="1"/>
  <c r="H1080" i="1"/>
  <c r="G1080" i="1"/>
  <c r="K1079" i="1"/>
  <c r="J1079" i="1"/>
  <c r="I1079" i="1"/>
  <c r="H1079" i="1"/>
  <c r="G1079" i="1"/>
  <c r="K1078" i="1"/>
  <c r="J1078" i="1"/>
  <c r="I1078" i="1"/>
  <c r="H1078" i="1"/>
  <c r="G1078" i="1"/>
  <c r="K1077" i="1"/>
  <c r="J1077" i="1"/>
  <c r="I1077" i="1"/>
  <c r="H1077" i="1"/>
  <c r="G1077" i="1"/>
  <c r="K1076" i="1"/>
  <c r="J1076" i="1"/>
  <c r="I1076" i="1"/>
  <c r="H1076" i="1"/>
  <c r="G1076" i="1"/>
  <c r="K1075" i="1"/>
  <c r="J1075" i="1"/>
  <c r="I1075" i="1"/>
  <c r="H1075" i="1"/>
  <c r="G1075" i="1"/>
  <c r="K1074" i="1"/>
  <c r="J1074" i="1"/>
  <c r="I1074" i="1"/>
  <c r="H1074" i="1"/>
  <c r="G1074" i="1"/>
  <c r="K1073" i="1"/>
  <c r="J1073" i="1"/>
  <c r="I1073" i="1"/>
  <c r="H1073" i="1"/>
  <c r="G1073" i="1"/>
  <c r="K1072" i="1"/>
  <c r="J1072" i="1"/>
  <c r="I1072" i="1"/>
  <c r="H1072" i="1"/>
  <c r="G1072" i="1"/>
  <c r="K1071" i="1"/>
  <c r="J1071" i="1"/>
  <c r="I1071" i="1"/>
  <c r="H1071" i="1"/>
  <c r="G1071" i="1"/>
  <c r="K1070" i="1"/>
  <c r="J1070" i="1"/>
  <c r="I1070" i="1"/>
  <c r="H1070" i="1"/>
  <c r="G1070" i="1"/>
  <c r="K1069" i="1"/>
  <c r="J1069" i="1"/>
  <c r="I1069" i="1"/>
  <c r="H1069" i="1"/>
  <c r="G1069" i="1"/>
  <c r="K1068" i="1"/>
  <c r="J1068" i="1"/>
  <c r="I1068" i="1"/>
  <c r="H1068" i="1"/>
  <c r="G1068" i="1"/>
  <c r="K1067" i="1"/>
  <c r="J1067" i="1"/>
  <c r="I1067" i="1"/>
  <c r="H1067" i="1"/>
  <c r="G1067" i="1"/>
  <c r="K1066" i="1"/>
  <c r="J1066" i="1"/>
  <c r="I1066" i="1"/>
  <c r="H1066" i="1"/>
  <c r="G1066" i="1"/>
  <c r="K1065" i="1"/>
  <c r="J1065" i="1"/>
  <c r="I1065" i="1"/>
  <c r="H1065" i="1"/>
  <c r="G1065" i="1"/>
  <c r="K1064" i="1"/>
  <c r="J1064" i="1"/>
  <c r="I1064" i="1"/>
  <c r="H1064" i="1"/>
  <c r="G1064" i="1"/>
  <c r="K1063" i="1"/>
  <c r="J1063" i="1"/>
  <c r="I1063" i="1"/>
  <c r="H1063" i="1"/>
  <c r="G1063" i="1"/>
  <c r="K1062" i="1"/>
  <c r="J1062" i="1"/>
  <c r="I1062" i="1"/>
  <c r="H1062" i="1"/>
  <c r="G1062" i="1"/>
  <c r="K1061" i="1"/>
  <c r="J1061" i="1"/>
  <c r="I1061" i="1"/>
  <c r="H1061" i="1"/>
  <c r="G1061" i="1"/>
  <c r="K1060" i="1"/>
  <c r="J1060" i="1"/>
  <c r="I1060" i="1"/>
  <c r="H1060" i="1"/>
  <c r="G1060" i="1"/>
  <c r="K1059" i="1"/>
  <c r="J1059" i="1"/>
  <c r="I1059" i="1"/>
  <c r="H1059" i="1"/>
  <c r="G1059" i="1"/>
  <c r="K1058" i="1"/>
  <c r="J1058" i="1"/>
  <c r="I1058" i="1"/>
  <c r="H1058" i="1"/>
  <c r="G1058" i="1"/>
  <c r="K1057" i="1"/>
  <c r="J1057" i="1"/>
  <c r="I1057" i="1"/>
  <c r="H1057" i="1"/>
  <c r="G1057" i="1"/>
  <c r="K1056" i="1"/>
  <c r="J1056" i="1"/>
  <c r="I1056" i="1"/>
  <c r="H1056" i="1"/>
  <c r="G1056" i="1"/>
  <c r="K1055" i="1"/>
  <c r="J1055" i="1"/>
  <c r="I1055" i="1"/>
  <c r="H1055" i="1"/>
  <c r="G1055" i="1"/>
  <c r="K1054" i="1"/>
  <c r="J1054" i="1"/>
  <c r="I1054" i="1"/>
  <c r="H1054" i="1"/>
  <c r="G1054" i="1"/>
  <c r="K1053" i="1"/>
  <c r="J1053" i="1"/>
  <c r="I1053" i="1"/>
  <c r="H1053" i="1"/>
  <c r="G1053" i="1"/>
  <c r="K1052" i="1"/>
  <c r="J1052" i="1"/>
  <c r="I1052" i="1"/>
  <c r="H1052" i="1"/>
  <c r="G1052" i="1"/>
  <c r="K1051" i="1"/>
  <c r="J1051" i="1"/>
  <c r="I1051" i="1"/>
  <c r="H1051" i="1"/>
  <c r="G1051" i="1"/>
  <c r="K1050" i="1"/>
  <c r="J1050" i="1"/>
  <c r="I1050" i="1"/>
  <c r="H1050" i="1"/>
  <c r="G1050" i="1"/>
  <c r="K1049" i="1"/>
  <c r="J1049" i="1"/>
  <c r="I1049" i="1"/>
  <c r="H1049" i="1"/>
  <c r="G1049" i="1"/>
  <c r="K1048" i="1"/>
  <c r="J1048" i="1"/>
  <c r="I1048" i="1"/>
  <c r="H1048" i="1"/>
  <c r="G1048" i="1"/>
  <c r="K1047" i="1"/>
  <c r="J1047" i="1"/>
  <c r="I1047" i="1"/>
  <c r="H1047" i="1"/>
  <c r="G1047" i="1"/>
  <c r="K1046" i="1"/>
  <c r="J1046" i="1"/>
  <c r="I1046" i="1"/>
  <c r="H1046" i="1"/>
  <c r="G1046" i="1"/>
  <c r="K1045" i="1"/>
  <c r="J1045" i="1"/>
  <c r="I1045" i="1"/>
  <c r="H1045" i="1"/>
  <c r="G1045" i="1"/>
  <c r="K1044" i="1"/>
  <c r="J1044" i="1"/>
  <c r="I1044" i="1"/>
  <c r="H1044" i="1"/>
  <c r="G1044" i="1"/>
  <c r="K1043" i="1"/>
  <c r="J1043" i="1"/>
  <c r="I1043" i="1"/>
  <c r="H1043" i="1"/>
  <c r="G1043" i="1"/>
  <c r="K1042" i="1"/>
  <c r="J1042" i="1"/>
  <c r="I1042" i="1"/>
  <c r="H1042" i="1"/>
  <c r="G1042" i="1"/>
  <c r="K1041" i="1"/>
  <c r="J1041" i="1"/>
  <c r="I1041" i="1"/>
  <c r="H1041" i="1"/>
  <c r="G1041" i="1"/>
  <c r="K1040" i="1"/>
  <c r="J1040" i="1"/>
  <c r="I1040" i="1"/>
  <c r="H1040" i="1"/>
  <c r="G1040" i="1"/>
  <c r="K1039" i="1"/>
  <c r="J1039" i="1"/>
  <c r="I1039" i="1"/>
  <c r="H1039" i="1"/>
  <c r="G1039" i="1"/>
  <c r="K1038" i="1"/>
  <c r="J1038" i="1"/>
  <c r="I1038" i="1"/>
  <c r="H1038" i="1"/>
  <c r="G1038" i="1"/>
  <c r="K1037" i="1"/>
  <c r="J1037" i="1"/>
  <c r="I1037" i="1"/>
  <c r="H1037" i="1"/>
  <c r="G1037" i="1"/>
  <c r="K1036" i="1"/>
  <c r="J1036" i="1"/>
  <c r="I1036" i="1"/>
  <c r="H1036" i="1"/>
  <c r="G1036" i="1"/>
  <c r="K1035" i="1"/>
  <c r="J1035" i="1"/>
  <c r="I1035" i="1"/>
  <c r="H1035" i="1"/>
  <c r="G1035" i="1"/>
  <c r="K1034" i="1"/>
  <c r="J1034" i="1"/>
  <c r="I1034" i="1"/>
  <c r="H1034" i="1"/>
  <c r="G1034" i="1"/>
  <c r="K1033" i="1"/>
  <c r="J1033" i="1"/>
  <c r="I1033" i="1"/>
  <c r="H1033" i="1"/>
  <c r="G1033" i="1"/>
  <c r="K1032" i="1"/>
  <c r="J1032" i="1"/>
  <c r="I1032" i="1"/>
  <c r="H1032" i="1"/>
  <c r="G1032" i="1"/>
  <c r="K1031" i="1"/>
  <c r="J1031" i="1"/>
  <c r="I1031" i="1"/>
  <c r="H1031" i="1"/>
  <c r="G1031" i="1"/>
  <c r="K1030" i="1"/>
  <c r="J1030" i="1"/>
  <c r="I1030" i="1"/>
  <c r="H1030" i="1"/>
  <c r="G1030" i="1"/>
  <c r="K1029" i="1"/>
  <c r="J1029" i="1"/>
  <c r="I1029" i="1"/>
  <c r="H1029" i="1"/>
  <c r="G1029" i="1"/>
  <c r="K1028" i="1"/>
  <c r="J1028" i="1"/>
  <c r="I1028" i="1"/>
  <c r="H1028" i="1"/>
  <c r="G1028" i="1"/>
  <c r="K1027" i="1"/>
  <c r="J1027" i="1"/>
  <c r="I1027" i="1"/>
  <c r="H1027" i="1"/>
  <c r="G1027" i="1"/>
  <c r="K1026" i="1"/>
  <c r="J1026" i="1"/>
  <c r="I1026" i="1"/>
  <c r="H1026" i="1"/>
  <c r="G1026" i="1"/>
  <c r="K1025" i="1"/>
  <c r="J1025" i="1"/>
  <c r="I1025" i="1"/>
  <c r="H1025" i="1"/>
  <c r="G1025" i="1"/>
  <c r="K1024" i="1"/>
  <c r="J1024" i="1"/>
  <c r="I1024" i="1"/>
  <c r="H1024" i="1"/>
  <c r="G1024" i="1"/>
  <c r="K1023" i="1"/>
  <c r="J1023" i="1"/>
  <c r="I1023" i="1"/>
  <c r="H1023" i="1"/>
  <c r="G1023" i="1"/>
  <c r="K1022" i="1"/>
  <c r="J1022" i="1"/>
  <c r="I1022" i="1"/>
  <c r="H1022" i="1"/>
  <c r="G1022" i="1"/>
  <c r="K1021" i="1"/>
  <c r="J1021" i="1"/>
  <c r="I1021" i="1"/>
  <c r="H1021" i="1"/>
  <c r="G1021" i="1"/>
  <c r="K1020" i="1"/>
  <c r="J1020" i="1"/>
  <c r="I1020" i="1"/>
  <c r="H1020" i="1"/>
  <c r="G1020" i="1"/>
  <c r="K1019" i="1"/>
  <c r="J1019" i="1"/>
  <c r="I1019" i="1"/>
  <c r="H1019" i="1"/>
  <c r="G1019" i="1"/>
  <c r="K1018" i="1"/>
  <c r="J1018" i="1"/>
  <c r="I1018" i="1"/>
  <c r="H1018" i="1"/>
  <c r="G1018" i="1"/>
  <c r="K1017" i="1"/>
  <c r="J1017" i="1"/>
  <c r="I1017" i="1"/>
  <c r="H1017" i="1"/>
  <c r="G1017" i="1"/>
  <c r="K1016" i="1"/>
  <c r="J1016" i="1"/>
  <c r="I1016" i="1"/>
  <c r="H1016" i="1"/>
  <c r="G1016" i="1"/>
  <c r="K1015" i="1"/>
  <c r="J1015" i="1"/>
  <c r="I1015" i="1"/>
  <c r="H1015" i="1"/>
  <c r="G1015" i="1"/>
  <c r="K1014" i="1"/>
  <c r="J1014" i="1"/>
  <c r="I1014" i="1"/>
  <c r="H1014" i="1"/>
  <c r="G1014" i="1"/>
  <c r="K1013" i="1"/>
  <c r="J1013" i="1"/>
  <c r="I1013" i="1"/>
  <c r="H1013" i="1"/>
  <c r="G1013" i="1"/>
  <c r="K1012" i="1"/>
  <c r="J1012" i="1"/>
  <c r="I1012" i="1"/>
  <c r="H1012" i="1"/>
  <c r="G1012" i="1"/>
  <c r="K1011" i="1"/>
  <c r="J1011" i="1"/>
  <c r="I1011" i="1"/>
  <c r="H1011" i="1"/>
  <c r="G1011" i="1"/>
  <c r="K1010" i="1"/>
  <c r="J1010" i="1"/>
  <c r="I1010" i="1"/>
  <c r="H1010" i="1"/>
  <c r="G1010" i="1"/>
  <c r="K1009" i="1"/>
  <c r="J1009" i="1"/>
  <c r="I1009" i="1"/>
  <c r="H1009" i="1"/>
  <c r="G1009" i="1"/>
  <c r="K1008" i="1"/>
  <c r="J1008" i="1"/>
  <c r="I1008" i="1"/>
  <c r="H1008" i="1"/>
  <c r="G1008" i="1"/>
  <c r="K1007" i="1"/>
  <c r="J1007" i="1"/>
  <c r="I1007" i="1"/>
  <c r="H1007" i="1"/>
  <c r="G1007" i="1"/>
  <c r="K1006" i="1"/>
  <c r="J1006" i="1"/>
  <c r="I1006" i="1"/>
  <c r="H1006" i="1"/>
  <c r="G1006" i="1"/>
  <c r="K1005" i="1"/>
  <c r="J1005" i="1"/>
  <c r="I1005" i="1"/>
  <c r="H1005" i="1"/>
  <c r="G1005" i="1"/>
  <c r="K1004" i="1"/>
  <c r="J1004" i="1"/>
  <c r="I1004" i="1"/>
  <c r="H1004" i="1"/>
  <c r="G1004" i="1"/>
  <c r="K1003" i="1"/>
  <c r="J1003" i="1"/>
  <c r="I1003" i="1"/>
  <c r="H1003" i="1"/>
  <c r="G1003" i="1"/>
  <c r="K1002" i="1"/>
  <c r="J1002" i="1"/>
  <c r="I1002" i="1"/>
  <c r="H1002" i="1"/>
  <c r="G1002" i="1"/>
  <c r="K1001" i="1"/>
  <c r="J1001" i="1"/>
  <c r="I1001" i="1"/>
  <c r="H1001" i="1"/>
  <c r="G1001" i="1"/>
  <c r="K1000" i="1"/>
  <c r="J1000" i="1"/>
  <c r="I1000" i="1"/>
  <c r="H1000" i="1"/>
  <c r="G1000" i="1"/>
  <c r="K999" i="1"/>
  <c r="J999" i="1"/>
  <c r="I999" i="1"/>
  <c r="H999" i="1"/>
  <c r="G999" i="1"/>
  <c r="K998" i="1"/>
  <c r="J998" i="1"/>
  <c r="I998" i="1"/>
  <c r="H998" i="1"/>
  <c r="G998" i="1"/>
  <c r="K997" i="1"/>
  <c r="J997" i="1"/>
  <c r="I997" i="1"/>
  <c r="H997" i="1"/>
  <c r="G997" i="1"/>
  <c r="K996" i="1"/>
  <c r="J996" i="1"/>
  <c r="I996" i="1"/>
  <c r="H996" i="1"/>
  <c r="G996" i="1"/>
  <c r="K995" i="1"/>
  <c r="J995" i="1"/>
  <c r="I995" i="1"/>
  <c r="H995" i="1"/>
  <c r="G995" i="1"/>
  <c r="K994" i="1"/>
  <c r="J994" i="1"/>
  <c r="I994" i="1"/>
  <c r="H994" i="1"/>
  <c r="G994" i="1"/>
  <c r="K993" i="1"/>
  <c r="J993" i="1"/>
  <c r="I993" i="1"/>
  <c r="H993" i="1"/>
  <c r="G993" i="1"/>
  <c r="K992" i="1"/>
  <c r="J992" i="1"/>
  <c r="I992" i="1"/>
  <c r="H992" i="1"/>
  <c r="G992" i="1"/>
  <c r="K991" i="1"/>
  <c r="J991" i="1"/>
  <c r="I991" i="1"/>
  <c r="H991" i="1"/>
  <c r="G991" i="1"/>
  <c r="K990" i="1"/>
  <c r="J990" i="1"/>
  <c r="I990" i="1"/>
  <c r="H990" i="1"/>
  <c r="G990" i="1"/>
  <c r="K989" i="1"/>
  <c r="J989" i="1"/>
  <c r="I989" i="1"/>
  <c r="H989" i="1"/>
  <c r="G989" i="1"/>
  <c r="K988" i="1"/>
  <c r="J988" i="1"/>
  <c r="I988" i="1"/>
  <c r="H988" i="1"/>
  <c r="G988" i="1"/>
  <c r="K987" i="1"/>
  <c r="J987" i="1"/>
  <c r="I987" i="1"/>
  <c r="H987" i="1"/>
  <c r="G987" i="1"/>
  <c r="K986" i="1"/>
  <c r="J986" i="1"/>
  <c r="I986" i="1"/>
  <c r="H986" i="1"/>
  <c r="G986" i="1"/>
  <c r="K985" i="1"/>
  <c r="J985" i="1"/>
  <c r="I985" i="1"/>
  <c r="H985" i="1"/>
  <c r="G985" i="1"/>
  <c r="K984" i="1"/>
  <c r="J984" i="1"/>
  <c r="I984" i="1"/>
  <c r="H984" i="1"/>
  <c r="G984" i="1"/>
  <c r="K983" i="1"/>
  <c r="J983" i="1"/>
  <c r="I983" i="1"/>
  <c r="H983" i="1"/>
  <c r="G983" i="1"/>
  <c r="K982" i="1"/>
  <c r="J982" i="1"/>
  <c r="I982" i="1"/>
  <c r="H982" i="1"/>
  <c r="G982" i="1"/>
  <c r="K981" i="1"/>
  <c r="J981" i="1"/>
  <c r="I981" i="1"/>
  <c r="H981" i="1"/>
  <c r="G981" i="1"/>
  <c r="K980" i="1"/>
  <c r="J980" i="1"/>
  <c r="I980" i="1"/>
  <c r="H980" i="1"/>
  <c r="G980" i="1"/>
  <c r="K979" i="1"/>
  <c r="J979" i="1"/>
  <c r="I979" i="1"/>
  <c r="H979" i="1"/>
  <c r="G979" i="1"/>
  <c r="K978" i="1"/>
  <c r="J978" i="1"/>
  <c r="I978" i="1"/>
  <c r="H978" i="1"/>
  <c r="G978" i="1"/>
  <c r="K977" i="1"/>
  <c r="J977" i="1"/>
  <c r="I977" i="1"/>
  <c r="H977" i="1"/>
  <c r="G977" i="1"/>
  <c r="K976" i="1"/>
  <c r="J976" i="1"/>
  <c r="I976" i="1"/>
  <c r="H976" i="1"/>
  <c r="G976" i="1"/>
  <c r="K975" i="1"/>
  <c r="J975" i="1"/>
  <c r="I975" i="1"/>
  <c r="H975" i="1"/>
  <c r="G975" i="1"/>
  <c r="K974" i="1"/>
  <c r="J974" i="1"/>
  <c r="I974" i="1"/>
  <c r="H974" i="1"/>
  <c r="G974" i="1"/>
  <c r="K973" i="1"/>
  <c r="J973" i="1"/>
  <c r="I973" i="1"/>
  <c r="H973" i="1"/>
  <c r="G973" i="1"/>
  <c r="K972" i="1"/>
  <c r="J972" i="1"/>
  <c r="I972" i="1"/>
  <c r="H972" i="1"/>
  <c r="G972" i="1"/>
  <c r="K971" i="1"/>
  <c r="J971" i="1"/>
  <c r="I971" i="1"/>
  <c r="H971" i="1"/>
  <c r="G971" i="1"/>
  <c r="K970" i="1"/>
  <c r="J970" i="1"/>
  <c r="I970" i="1"/>
  <c r="H970" i="1"/>
  <c r="G970" i="1"/>
  <c r="K969" i="1"/>
  <c r="J969" i="1"/>
  <c r="I969" i="1"/>
  <c r="H969" i="1"/>
  <c r="G969" i="1"/>
  <c r="K968" i="1"/>
  <c r="J968" i="1"/>
  <c r="I968" i="1"/>
  <c r="H968" i="1"/>
  <c r="G968" i="1"/>
  <c r="K967" i="1"/>
  <c r="J967" i="1"/>
  <c r="I967" i="1"/>
  <c r="H967" i="1"/>
  <c r="G967" i="1"/>
  <c r="K966" i="1"/>
  <c r="J966" i="1"/>
  <c r="I966" i="1"/>
  <c r="H966" i="1"/>
  <c r="G966" i="1"/>
  <c r="K965" i="1"/>
  <c r="J965" i="1"/>
  <c r="I965" i="1"/>
  <c r="H965" i="1"/>
  <c r="G965" i="1"/>
  <c r="K964" i="1"/>
  <c r="J964" i="1"/>
  <c r="I964" i="1"/>
  <c r="H964" i="1"/>
  <c r="G964" i="1"/>
  <c r="K963" i="1"/>
  <c r="J963" i="1"/>
  <c r="I963" i="1"/>
  <c r="H963" i="1"/>
  <c r="G963" i="1"/>
  <c r="K962" i="1"/>
  <c r="J962" i="1"/>
  <c r="I962" i="1"/>
  <c r="H962" i="1"/>
  <c r="G962" i="1"/>
  <c r="K961" i="1"/>
  <c r="J961" i="1"/>
  <c r="I961" i="1"/>
  <c r="H961" i="1"/>
  <c r="G961" i="1"/>
  <c r="K960" i="1"/>
  <c r="J960" i="1"/>
  <c r="I960" i="1"/>
  <c r="H960" i="1"/>
  <c r="G960" i="1"/>
  <c r="K959" i="1"/>
  <c r="J959" i="1"/>
  <c r="I959" i="1"/>
  <c r="H959" i="1"/>
  <c r="G959" i="1"/>
  <c r="K958" i="1"/>
  <c r="J958" i="1"/>
  <c r="I958" i="1"/>
  <c r="H958" i="1"/>
  <c r="G958" i="1"/>
  <c r="K957" i="1"/>
  <c r="J957" i="1"/>
  <c r="I957" i="1"/>
  <c r="H957" i="1"/>
  <c r="G957" i="1"/>
  <c r="K956" i="1"/>
  <c r="J956" i="1"/>
  <c r="I956" i="1"/>
  <c r="H956" i="1"/>
  <c r="G956" i="1"/>
  <c r="K955" i="1"/>
  <c r="J955" i="1"/>
  <c r="I955" i="1"/>
  <c r="H955" i="1"/>
  <c r="G955" i="1"/>
  <c r="K954" i="1"/>
  <c r="J954" i="1"/>
  <c r="I954" i="1"/>
  <c r="H954" i="1"/>
  <c r="G954" i="1"/>
  <c r="K953" i="1"/>
  <c r="J953" i="1"/>
  <c r="I953" i="1"/>
  <c r="H953" i="1"/>
  <c r="G953" i="1"/>
  <c r="K952" i="1"/>
  <c r="J952" i="1"/>
  <c r="I952" i="1"/>
  <c r="H952" i="1"/>
  <c r="G952" i="1"/>
  <c r="K951" i="1"/>
  <c r="J951" i="1"/>
  <c r="I951" i="1"/>
  <c r="H951" i="1"/>
  <c r="G951" i="1"/>
  <c r="K950" i="1"/>
  <c r="J950" i="1"/>
  <c r="I950" i="1"/>
  <c r="H950" i="1"/>
  <c r="G950" i="1"/>
  <c r="K949" i="1"/>
  <c r="J949" i="1"/>
  <c r="I949" i="1"/>
  <c r="H949" i="1"/>
  <c r="G949" i="1"/>
  <c r="K948" i="1"/>
  <c r="J948" i="1"/>
  <c r="I948" i="1"/>
  <c r="H948" i="1"/>
  <c r="G948" i="1"/>
  <c r="K947" i="1"/>
  <c r="J947" i="1"/>
  <c r="I947" i="1"/>
  <c r="H947" i="1"/>
  <c r="G947" i="1"/>
  <c r="K946" i="1"/>
  <c r="J946" i="1"/>
  <c r="I946" i="1"/>
  <c r="H946" i="1"/>
  <c r="G946" i="1"/>
  <c r="K945" i="1"/>
  <c r="J945" i="1"/>
  <c r="I945" i="1"/>
  <c r="H945" i="1"/>
  <c r="G945" i="1"/>
  <c r="K944" i="1"/>
  <c r="J944" i="1"/>
  <c r="I944" i="1"/>
  <c r="H944" i="1"/>
  <c r="G944" i="1"/>
  <c r="K943" i="1"/>
  <c r="J943" i="1"/>
  <c r="I943" i="1"/>
  <c r="H943" i="1"/>
  <c r="G943" i="1"/>
  <c r="K942" i="1"/>
  <c r="J942" i="1"/>
  <c r="I942" i="1"/>
  <c r="H942" i="1"/>
  <c r="G942" i="1"/>
  <c r="K941" i="1"/>
  <c r="J941" i="1"/>
  <c r="I941" i="1"/>
  <c r="H941" i="1"/>
  <c r="G941" i="1"/>
  <c r="K940" i="1"/>
  <c r="J940" i="1"/>
  <c r="I940" i="1"/>
  <c r="H940" i="1"/>
  <c r="G940" i="1"/>
  <c r="K939" i="1"/>
  <c r="J939" i="1"/>
  <c r="I939" i="1"/>
  <c r="H939" i="1"/>
  <c r="G939" i="1"/>
  <c r="K938" i="1"/>
  <c r="J938" i="1"/>
  <c r="I938" i="1"/>
  <c r="H938" i="1"/>
  <c r="G938" i="1"/>
  <c r="K937" i="1"/>
  <c r="J937" i="1"/>
  <c r="I937" i="1"/>
  <c r="H937" i="1"/>
  <c r="G937" i="1"/>
  <c r="K936" i="1"/>
  <c r="J936" i="1"/>
  <c r="I936" i="1"/>
  <c r="H936" i="1"/>
  <c r="G936" i="1"/>
  <c r="K935" i="1"/>
  <c r="J935" i="1"/>
  <c r="I935" i="1"/>
  <c r="H935" i="1"/>
  <c r="G935" i="1"/>
  <c r="K934" i="1"/>
  <c r="J934" i="1"/>
  <c r="I934" i="1"/>
  <c r="H934" i="1"/>
  <c r="G934" i="1"/>
  <c r="K933" i="1"/>
  <c r="J933" i="1"/>
  <c r="I933" i="1"/>
  <c r="H933" i="1"/>
  <c r="G933" i="1"/>
  <c r="K932" i="1"/>
  <c r="J932" i="1"/>
  <c r="I932" i="1"/>
  <c r="H932" i="1"/>
  <c r="G932" i="1"/>
  <c r="K931" i="1"/>
  <c r="J931" i="1"/>
  <c r="I931" i="1"/>
  <c r="H931" i="1"/>
  <c r="G931" i="1"/>
  <c r="K930" i="1"/>
  <c r="J930" i="1"/>
  <c r="I930" i="1"/>
  <c r="H930" i="1"/>
  <c r="G930" i="1"/>
  <c r="K929" i="1"/>
  <c r="J929" i="1"/>
  <c r="I929" i="1"/>
  <c r="H929" i="1"/>
  <c r="G929" i="1"/>
  <c r="K928" i="1"/>
  <c r="J928" i="1"/>
  <c r="I928" i="1"/>
  <c r="H928" i="1"/>
  <c r="G928" i="1"/>
  <c r="K927" i="1"/>
  <c r="J927" i="1"/>
  <c r="I927" i="1"/>
  <c r="H927" i="1"/>
  <c r="G927" i="1"/>
  <c r="K926" i="1"/>
  <c r="J926" i="1"/>
  <c r="I926" i="1"/>
  <c r="H926" i="1"/>
  <c r="G926" i="1"/>
  <c r="K925" i="1"/>
  <c r="J925" i="1"/>
  <c r="I925" i="1"/>
  <c r="H925" i="1"/>
  <c r="G925" i="1"/>
  <c r="K924" i="1"/>
  <c r="J924" i="1"/>
  <c r="I924" i="1"/>
  <c r="H924" i="1"/>
  <c r="G924" i="1"/>
  <c r="K923" i="1"/>
  <c r="J923" i="1"/>
  <c r="I923" i="1"/>
  <c r="H923" i="1"/>
  <c r="G923" i="1"/>
  <c r="K922" i="1"/>
  <c r="J922" i="1"/>
  <c r="I922" i="1"/>
  <c r="H922" i="1"/>
  <c r="G922" i="1"/>
  <c r="K921" i="1"/>
  <c r="J921" i="1"/>
  <c r="I921" i="1"/>
  <c r="H921" i="1"/>
  <c r="G921" i="1"/>
  <c r="K920" i="1"/>
  <c r="J920" i="1"/>
  <c r="I920" i="1"/>
  <c r="H920" i="1"/>
  <c r="G920" i="1"/>
  <c r="K919" i="1"/>
  <c r="J919" i="1"/>
  <c r="I919" i="1"/>
  <c r="H919" i="1"/>
  <c r="G919" i="1"/>
  <c r="K918" i="1"/>
  <c r="J918" i="1"/>
  <c r="I918" i="1"/>
  <c r="H918" i="1"/>
  <c r="G918" i="1"/>
  <c r="K917" i="1"/>
  <c r="J917" i="1"/>
  <c r="I917" i="1"/>
  <c r="H917" i="1"/>
  <c r="G917" i="1"/>
  <c r="K916" i="1"/>
  <c r="J916" i="1"/>
  <c r="I916" i="1"/>
  <c r="H916" i="1"/>
  <c r="G916" i="1"/>
  <c r="K915" i="1"/>
  <c r="J915" i="1"/>
  <c r="I915" i="1"/>
  <c r="H915" i="1"/>
  <c r="G915" i="1"/>
  <c r="K914" i="1"/>
  <c r="J914" i="1"/>
  <c r="I914" i="1"/>
  <c r="H914" i="1"/>
  <c r="G914" i="1"/>
  <c r="K913" i="1"/>
  <c r="J913" i="1"/>
  <c r="I913" i="1"/>
  <c r="H913" i="1"/>
  <c r="G913" i="1"/>
  <c r="K912" i="1"/>
  <c r="J912" i="1"/>
  <c r="I912" i="1"/>
  <c r="H912" i="1"/>
  <c r="G912" i="1"/>
  <c r="K911" i="1"/>
  <c r="J911" i="1"/>
  <c r="I911" i="1"/>
  <c r="H911" i="1"/>
  <c r="G911" i="1"/>
  <c r="K910" i="1"/>
  <c r="J910" i="1"/>
  <c r="I910" i="1"/>
  <c r="H910" i="1"/>
  <c r="G910" i="1"/>
  <c r="K909" i="1"/>
  <c r="J909" i="1"/>
  <c r="I909" i="1"/>
  <c r="H909" i="1"/>
  <c r="G909" i="1"/>
  <c r="K908" i="1"/>
  <c r="J908" i="1"/>
  <c r="I908" i="1"/>
  <c r="H908" i="1"/>
  <c r="G908" i="1"/>
  <c r="K907" i="1"/>
  <c r="J907" i="1"/>
  <c r="I907" i="1"/>
  <c r="H907" i="1"/>
  <c r="G907" i="1"/>
  <c r="K906" i="1"/>
  <c r="J906" i="1"/>
  <c r="I906" i="1"/>
  <c r="H906" i="1"/>
  <c r="G906" i="1"/>
  <c r="K905" i="1"/>
  <c r="J905" i="1"/>
  <c r="I905" i="1"/>
  <c r="H905" i="1"/>
  <c r="G905" i="1"/>
  <c r="K904" i="1"/>
  <c r="J904" i="1"/>
  <c r="I904" i="1"/>
  <c r="H904" i="1"/>
  <c r="G904" i="1"/>
  <c r="K903" i="1"/>
  <c r="J903" i="1"/>
  <c r="I903" i="1"/>
  <c r="H903" i="1"/>
  <c r="G903" i="1"/>
  <c r="K902" i="1"/>
  <c r="J902" i="1"/>
  <c r="I902" i="1"/>
  <c r="H902" i="1"/>
  <c r="G902" i="1"/>
  <c r="K901" i="1"/>
  <c r="J901" i="1"/>
  <c r="I901" i="1"/>
  <c r="H901" i="1"/>
  <c r="G901" i="1"/>
  <c r="K900" i="1"/>
  <c r="J900" i="1"/>
  <c r="I900" i="1"/>
  <c r="H900" i="1"/>
  <c r="G900" i="1"/>
  <c r="K899" i="1"/>
  <c r="J899" i="1"/>
  <c r="I899" i="1"/>
  <c r="H899" i="1"/>
  <c r="G899" i="1"/>
  <c r="K898" i="1"/>
  <c r="J898" i="1"/>
  <c r="I898" i="1"/>
  <c r="H898" i="1"/>
  <c r="G898" i="1"/>
  <c r="K897" i="1"/>
  <c r="J897" i="1"/>
  <c r="I897" i="1"/>
  <c r="H897" i="1"/>
  <c r="G897" i="1"/>
  <c r="K896" i="1"/>
  <c r="J896" i="1"/>
  <c r="I896" i="1"/>
  <c r="H896" i="1"/>
  <c r="G896" i="1"/>
  <c r="K895" i="1"/>
  <c r="J895" i="1"/>
  <c r="I895" i="1"/>
  <c r="H895" i="1"/>
  <c r="G895" i="1"/>
  <c r="K894" i="1"/>
  <c r="J894" i="1"/>
  <c r="I894" i="1"/>
  <c r="H894" i="1"/>
  <c r="G894" i="1"/>
  <c r="K893" i="1"/>
  <c r="J893" i="1"/>
  <c r="I893" i="1"/>
  <c r="H893" i="1"/>
  <c r="G893" i="1"/>
  <c r="K892" i="1"/>
  <c r="J892" i="1"/>
  <c r="I892" i="1"/>
  <c r="H892" i="1"/>
  <c r="G892" i="1"/>
  <c r="K891" i="1"/>
  <c r="J891" i="1"/>
  <c r="I891" i="1"/>
  <c r="H891" i="1"/>
  <c r="G891" i="1"/>
  <c r="K890" i="1"/>
  <c r="J890" i="1"/>
  <c r="I890" i="1"/>
  <c r="H890" i="1"/>
  <c r="G890" i="1"/>
  <c r="K889" i="1"/>
  <c r="J889" i="1"/>
  <c r="I889" i="1"/>
  <c r="H889" i="1"/>
  <c r="G889" i="1"/>
  <c r="K888" i="1"/>
  <c r="J888" i="1"/>
  <c r="I888" i="1"/>
  <c r="H888" i="1"/>
  <c r="G888" i="1"/>
  <c r="K887" i="1"/>
  <c r="J887" i="1"/>
  <c r="I887" i="1"/>
  <c r="H887" i="1"/>
  <c r="G887" i="1"/>
  <c r="K886" i="1"/>
  <c r="J886" i="1"/>
  <c r="I886" i="1"/>
  <c r="H886" i="1"/>
  <c r="G886" i="1"/>
  <c r="K885" i="1"/>
  <c r="J885" i="1"/>
  <c r="I885" i="1"/>
  <c r="H885" i="1"/>
  <c r="G885" i="1"/>
  <c r="K884" i="1"/>
  <c r="J884" i="1"/>
  <c r="I884" i="1"/>
  <c r="H884" i="1"/>
  <c r="G884" i="1"/>
  <c r="K883" i="1"/>
  <c r="J883" i="1"/>
  <c r="I883" i="1"/>
  <c r="H883" i="1"/>
  <c r="G883" i="1"/>
  <c r="K882" i="1"/>
  <c r="J882" i="1"/>
  <c r="I882" i="1"/>
  <c r="H882" i="1"/>
  <c r="G882" i="1"/>
  <c r="K881" i="1"/>
  <c r="J881" i="1"/>
  <c r="I881" i="1"/>
  <c r="H881" i="1"/>
  <c r="G881" i="1"/>
  <c r="K880" i="1"/>
  <c r="J880" i="1"/>
  <c r="I880" i="1"/>
  <c r="H880" i="1"/>
  <c r="G880" i="1"/>
  <c r="K879" i="1"/>
  <c r="J879" i="1"/>
  <c r="I879" i="1"/>
  <c r="H879" i="1"/>
  <c r="G879" i="1"/>
  <c r="K878" i="1"/>
  <c r="J878" i="1"/>
  <c r="I878" i="1"/>
  <c r="H878" i="1"/>
  <c r="G878" i="1"/>
  <c r="K877" i="1"/>
  <c r="J877" i="1"/>
  <c r="I877" i="1"/>
  <c r="H877" i="1"/>
  <c r="G877" i="1"/>
  <c r="K876" i="1"/>
  <c r="J876" i="1"/>
  <c r="I876" i="1"/>
  <c r="H876" i="1"/>
  <c r="G876" i="1"/>
  <c r="K875" i="1"/>
  <c r="J875" i="1"/>
  <c r="I875" i="1"/>
  <c r="H875" i="1"/>
  <c r="G875" i="1"/>
  <c r="K874" i="1"/>
  <c r="J874" i="1"/>
  <c r="I874" i="1"/>
  <c r="H874" i="1"/>
  <c r="G874" i="1"/>
  <c r="K873" i="1"/>
  <c r="J873" i="1"/>
  <c r="I873" i="1"/>
  <c r="H873" i="1"/>
  <c r="G873" i="1"/>
  <c r="K872" i="1"/>
  <c r="J872" i="1"/>
  <c r="I872" i="1"/>
  <c r="H872" i="1"/>
  <c r="G872" i="1"/>
  <c r="K871" i="1"/>
  <c r="J871" i="1"/>
  <c r="I871" i="1"/>
  <c r="H871" i="1"/>
  <c r="G871" i="1"/>
  <c r="K870" i="1"/>
  <c r="J870" i="1"/>
  <c r="I870" i="1"/>
  <c r="H870" i="1"/>
  <c r="G870" i="1"/>
  <c r="K869" i="1"/>
  <c r="J869" i="1"/>
  <c r="I869" i="1"/>
  <c r="H869" i="1"/>
  <c r="G869" i="1"/>
  <c r="K868" i="1"/>
  <c r="J868" i="1"/>
  <c r="I868" i="1"/>
  <c r="H868" i="1"/>
  <c r="G868" i="1"/>
  <c r="K867" i="1"/>
  <c r="J867" i="1"/>
  <c r="I867" i="1"/>
  <c r="H867" i="1"/>
  <c r="G867" i="1"/>
  <c r="K866" i="1"/>
  <c r="J866" i="1"/>
  <c r="I866" i="1"/>
  <c r="H866" i="1"/>
  <c r="G866" i="1"/>
  <c r="K865" i="1"/>
  <c r="J865" i="1"/>
  <c r="I865" i="1"/>
  <c r="H865" i="1"/>
  <c r="G865" i="1"/>
  <c r="K864" i="1"/>
  <c r="J864" i="1"/>
  <c r="I864" i="1"/>
  <c r="H864" i="1"/>
  <c r="G864" i="1"/>
  <c r="K863" i="1"/>
  <c r="J863" i="1"/>
  <c r="I863" i="1"/>
  <c r="H863" i="1"/>
  <c r="G863" i="1"/>
  <c r="K862" i="1"/>
  <c r="J862" i="1"/>
  <c r="I862" i="1"/>
  <c r="H862" i="1"/>
  <c r="G862" i="1"/>
  <c r="K861" i="1"/>
  <c r="J861" i="1"/>
  <c r="I861" i="1"/>
  <c r="H861" i="1"/>
  <c r="G861" i="1"/>
  <c r="K860" i="1"/>
  <c r="J860" i="1"/>
  <c r="I860" i="1"/>
  <c r="H860" i="1"/>
  <c r="G860" i="1"/>
  <c r="K859" i="1"/>
  <c r="J859" i="1"/>
  <c r="I859" i="1"/>
  <c r="H859" i="1"/>
  <c r="G859" i="1"/>
  <c r="K858" i="1"/>
  <c r="J858" i="1"/>
  <c r="I858" i="1"/>
  <c r="H858" i="1"/>
  <c r="G858" i="1"/>
  <c r="K857" i="1"/>
  <c r="J857" i="1"/>
  <c r="I857" i="1"/>
  <c r="H857" i="1"/>
  <c r="G857" i="1"/>
  <c r="K856" i="1"/>
  <c r="J856" i="1"/>
  <c r="I856" i="1"/>
  <c r="H856" i="1"/>
  <c r="G856" i="1"/>
  <c r="K855" i="1"/>
  <c r="J855" i="1"/>
  <c r="I855" i="1"/>
  <c r="H855" i="1"/>
  <c r="G855" i="1"/>
  <c r="K854" i="1"/>
  <c r="J854" i="1"/>
  <c r="I854" i="1"/>
  <c r="H854" i="1"/>
  <c r="G854" i="1"/>
  <c r="K853" i="1"/>
  <c r="J853" i="1"/>
  <c r="I853" i="1"/>
  <c r="H853" i="1"/>
  <c r="G853" i="1"/>
  <c r="K852" i="1"/>
  <c r="J852" i="1"/>
  <c r="I852" i="1"/>
  <c r="H852" i="1"/>
  <c r="G852" i="1"/>
  <c r="K851" i="1"/>
  <c r="J851" i="1"/>
  <c r="I851" i="1"/>
  <c r="H851" i="1"/>
  <c r="G851" i="1"/>
  <c r="K850" i="1"/>
  <c r="J850" i="1"/>
  <c r="I850" i="1"/>
  <c r="H850" i="1"/>
  <c r="G850" i="1"/>
  <c r="K849" i="1"/>
  <c r="J849" i="1"/>
  <c r="I849" i="1"/>
  <c r="H849" i="1"/>
  <c r="G849" i="1"/>
  <c r="K848" i="1"/>
  <c r="J848" i="1"/>
  <c r="I848" i="1"/>
  <c r="H848" i="1"/>
  <c r="G848" i="1"/>
  <c r="K847" i="1"/>
  <c r="J847" i="1"/>
  <c r="I847" i="1"/>
  <c r="H847" i="1"/>
  <c r="G847" i="1"/>
  <c r="K846" i="1"/>
  <c r="J846" i="1"/>
  <c r="I846" i="1"/>
  <c r="H846" i="1"/>
  <c r="G846" i="1"/>
  <c r="K845" i="1"/>
  <c r="J845" i="1"/>
  <c r="I845" i="1"/>
  <c r="H845" i="1"/>
  <c r="G845" i="1"/>
  <c r="K844" i="1"/>
  <c r="J844" i="1"/>
  <c r="I844" i="1"/>
  <c r="H844" i="1"/>
  <c r="G844" i="1"/>
  <c r="K843" i="1"/>
  <c r="J843" i="1"/>
  <c r="I843" i="1"/>
  <c r="H843" i="1"/>
  <c r="G843" i="1"/>
  <c r="K842" i="1"/>
  <c r="J842" i="1"/>
  <c r="I842" i="1"/>
  <c r="H842" i="1"/>
  <c r="G842" i="1"/>
  <c r="K841" i="1"/>
  <c r="J841" i="1"/>
  <c r="I841" i="1"/>
  <c r="H841" i="1"/>
  <c r="G841" i="1"/>
  <c r="K840" i="1"/>
  <c r="J840" i="1"/>
  <c r="I840" i="1"/>
  <c r="H840" i="1"/>
  <c r="G840" i="1"/>
  <c r="K839" i="1"/>
  <c r="J839" i="1"/>
  <c r="I839" i="1"/>
  <c r="H839" i="1"/>
  <c r="G839" i="1"/>
  <c r="K838" i="1"/>
  <c r="J838" i="1"/>
  <c r="I838" i="1"/>
  <c r="H838" i="1"/>
  <c r="G838" i="1"/>
  <c r="K837" i="1"/>
  <c r="J837" i="1"/>
  <c r="I837" i="1"/>
  <c r="H837" i="1"/>
  <c r="G837" i="1"/>
  <c r="K836" i="1"/>
  <c r="J836" i="1"/>
  <c r="I836" i="1"/>
  <c r="H836" i="1"/>
  <c r="G836" i="1"/>
  <c r="K835" i="1"/>
  <c r="J835" i="1"/>
  <c r="I835" i="1"/>
  <c r="H835" i="1"/>
  <c r="G835" i="1"/>
  <c r="K834" i="1"/>
  <c r="J834" i="1"/>
  <c r="I834" i="1"/>
  <c r="H834" i="1"/>
  <c r="G834" i="1"/>
  <c r="K833" i="1"/>
  <c r="J833" i="1"/>
  <c r="I833" i="1"/>
  <c r="H833" i="1"/>
  <c r="G833" i="1"/>
  <c r="K832" i="1"/>
  <c r="J832" i="1"/>
  <c r="I832" i="1"/>
  <c r="H832" i="1"/>
  <c r="G832" i="1"/>
  <c r="K831" i="1"/>
  <c r="J831" i="1"/>
  <c r="I831" i="1"/>
  <c r="H831" i="1"/>
  <c r="G831" i="1"/>
  <c r="K830" i="1"/>
  <c r="J830" i="1"/>
  <c r="I830" i="1"/>
  <c r="H830" i="1"/>
  <c r="G830" i="1"/>
  <c r="K829" i="1"/>
  <c r="J829" i="1"/>
  <c r="I829" i="1"/>
  <c r="H829" i="1"/>
  <c r="G829" i="1"/>
  <c r="K828" i="1"/>
  <c r="J828" i="1"/>
  <c r="I828" i="1"/>
  <c r="H828" i="1"/>
  <c r="G828" i="1"/>
  <c r="K827" i="1"/>
  <c r="J827" i="1"/>
  <c r="I827" i="1"/>
  <c r="H827" i="1"/>
  <c r="G827" i="1"/>
  <c r="K826" i="1"/>
  <c r="J826" i="1"/>
  <c r="I826" i="1"/>
  <c r="H826" i="1"/>
  <c r="G826" i="1"/>
  <c r="K825" i="1"/>
  <c r="J825" i="1"/>
  <c r="I825" i="1"/>
  <c r="H825" i="1"/>
  <c r="G825" i="1"/>
  <c r="K824" i="1"/>
  <c r="J824" i="1"/>
  <c r="I824" i="1"/>
  <c r="H824" i="1"/>
  <c r="G824" i="1"/>
  <c r="K823" i="1"/>
  <c r="J823" i="1"/>
  <c r="I823" i="1"/>
  <c r="H823" i="1"/>
  <c r="G823" i="1"/>
  <c r="K822" i="1"/>
  <c r="J822" i="1"/>
  <c r="I822" i="1"/>
  <c r="H822" i="1"/>
  <c r="G822" i="1"/>
  <c r="K821" i="1"/>
  <c r="J821" i="1"/>
  <c r="I821" i="1"/>
  <c r="H821" i="1"/>
  <c r="G821" i="1"/>
  <c r="K820" i="1"/>
  <c r="J820" i="1"/>
  <c r="I820" i="1"/>
  <c r="H820" i="1"/>
  <c r="G820" i="1"/>
  <c r="K819" i="1"/>
  <c r="J819" i="1"/>
  <c r="I819" i="1"/>
  <c r="H819" i="1"/>
  <c r="G819" i="1"/>
  <c r="K818" i="1"/>
  <c r="J818" i="1"/>
  <c r="I818" i="1"/>
  <c r="H818" i="1"/>
  <c r="G818" i="1"/>
  <c r="K817" i="1"/>
  <c r="J817" i="1"/>
  <c r="I817" i="1"/>
  <c r="H817" i="1"/>
  <c r="G817" i="1"/>
  <c r="K816" i="1"/>
  <c r="J816" i="1"/>
  <c r="I816" i="1"/>
  <c r="H816" i="1"/>
  <c r="G816" i="1"/>
  <c r="K815" i="1"/>
  <c r="J815" i="1"/>
  <c r="I815" i="1"/>
  <c r="H815" i="1"/>
  <c r="G815" i="1"/>
  <c r="K814" i="1"/>
  <c r="J814" i="1"/>
  <c r="I814" i="1"/>
  <c r="H814" i="1"/>
  <c r="G814" i="1"/>
  <c r="K813" i="1"/>
  <c r="J813" i="1"/>
  <c r="I813" i="1"/>
  <c r="H813" i="1"/>
  <c r="G813" i="1"/>
  <c r="K812" i="1"/>
  <c r="J812" i="1"/>
  <c r="I812" i="1"/>
  <c r="H812" i="1"/>
  <c r="G812" i="1"/>
  <c r="K811" i="1"/>
  <c r="J811" i="1"/>
  <c r="I811" i="1"/>
  <c r="H811" i="1"/>
  <c r="G811" i="1"/>
  <c r="K810" i="1"/>
  <c r="J810" i="1"/>
  <c r="I810" i="1"/>
  <c r="H810" i="1"/>
  <c r="G810" i="1"/>
  <c r="K809" i="1"/>
  <c r="J809" i="1"/>
  <c r="I809" i="1"/>
  <c r="H809" i="1"/>
  <c r="G809" i="1"/>
  <c r="K808" i="1"/>
  <c r="J808" i="1"/>
  <c r="I808" i="1"/>
  <c r="H808" i="1"/>
  <c r="G808" i="1"/>
  <c r="K807" i="1"/>
  <c r="J807" i="1"/>
  <c r="I807" i="1"/>
  <c r="H807" i="1"/>
  <c r="G807" i="1"/>
  <c r="K806" i="1"/>
  <c r="J806" i="1"/>
  <c r="I806" i="1"/>
  <c r="H806" i="1"/>
  <c r="G806" i="1"/>
  <c r="K805" i="1"/>
  <c r="J805" i="1"/>
  <c r="I805" i="1"/>
  <c r="H805" i="1"/>
  <c r="G805" i="1"/>
  <c r="K804" i="1"/>
  <c r="J804" i="1"/>
  <c r="I804" i="1"/>
  <c r="H804" i="1"/>
  <c r="G804" i="1"/>
  <c r="K803" i="1"/>
  <c r="J803" i="1"/>
  <c r="I803" i="1"/>
  <c r="H803" i="1"/>
  <c r="G803" i="1"/>
  <c r="K802" i="1"/>
  <c r="J802" i="1"/>
  <c r="I802" i="1"/>
  <c r="H802" i="1"/>
  <c r="G802" i="1"/>
  <c r="K801" i="1"/>
  <c r="J801" i="1"/>
  <c r="I801" i="1"/>
  <c r="H801" i="1"/>
  <c r="G801" i="1"/>
  <c r="K800" i="1"/>
  <c r="J800" i="1"/>
  <c r="I800" i="1"/>
  <c r="H800" i="1"/>
  <c r="G800" i="1"/>
  <c r="K799" i="1"/>
  <c r="J799" i="1"/>
  <c r="I799" i="1"/>
  <c r="H799" i="1"/>
  <c r="G799" i="1"/>
  <c r="K798" i="1"/>
  <c r="J798" i="1"/>
  <c r="I798" i="1"/>
  <c r="H798" i="1"/>
  <c r="G798" i="1"/>
  <c r="K797" i="1"/>
  <c r="J797" i="1"/>
  <c r="I797" i="1"/>
  <c r="H797" i="1"/>
  <c r="G797" i="1"/>
  <c r="K796" i="1"/>
  <c r="J796" i="1"/>
  <c r="I796" i="1"/>
  <c r="H796" i="1"/>
  <c r="G796" i="1"/>
  <c r="K795" i="1"/>
  <c r="J795" i="1"/>
  <c r="I795" i="1"/>
  <c r="H795" i="1"/>
  <c r="G795" i="1"/>
  <c r="K794" i="1"/>
  <c r="J794" i="1"/>
  <c r="I794" i="1"/>
  <c r="H794" i="1"/>
  <c r="G794" i="1"/>
  <c r="K793" i="1"/>
  <c r="J793" i="1"/>
  <c r="I793" i="1"/>
  <c r="H793" i="1"/>
  <c r="G793" i="1"/>
  <c r="K792" i="1"/>
  <c r="J792" i="1"/>
  <c r="I792" i="1"/>
  <c r="H792" i="1"/>
  <c r="G792" i="1"/>
  <c r="K791" i="1"/>
  <c r="J791" i="1"/>
  <c r="I791" i="1"/>
  <c r="H791" i="1"/>
  <c r="G791" i="1"/>
  <c r="K790" i="1"/>
  <c r="J790" i="1"/>
  <c r="I790" i="1"/>
  <c r="H790" i="1"/>
  <c r="G790" i="1"/>
  <c r="K789" i="1"/>
  <c r="J789" i="1"/>
  <c r="I789" i="1"/>
  <c r="H789" i="1"/>
  <c r="G789" i="1"/>
  <c r="K788" i="1"/>
  <c r="J788" i="1"/>
  <c r="I788" i="1"/>
  <c r="H788" i="1"/>
  <c r="G788" i="1"/>
  <c r="K787" i="1"/>
  <c r="J787" i="1"/>
  <c r="I787" i="1"/>
  <c r="H787" i="1"/>
  <c r="G787" i="1"/>
  <c r="K786" i="1"/>
  <c r="J786" i="1"/>
  <c r="I786" i="1"/>
  <c r="H786" i="1"/>
  <c r="G786" i="1"/>
  <c r="K785" i="1"/>
  <c r="J785" i="1"/>
  <c r="I785" i="1"/>
  <c r="H785" i="1"/>
  <c r="G785" i="1"/>
  <c r="K784" i="1"/>
  <c r="J784" i="1"/>
  <c r="I784" i="1"/>
  <c r="H784" i="1"/>
  <c r="G784" i="1"/>
  <c r="K783" i="1"/>
  <c r="J783" i="1"/>
  <c r="I783" i="1"/>
  <c r="H783" i="1"/>
  <c r="G783" i="1"/>
  <c r="K782" i="1"/>
  <c r="J782" i="1"/>
  <c r="I782" i="1"/>
  <c r="H782" i="1"/>
  <c r="G782" i="1"/>
  <c r="K781" i="1"/>
  <c r="J781" i="1"/>
  <c r="I781" i="1"/>
  <c r="H781" i="1"/>
  <c r="G781" i="1"/>
  <c r="K780" i="1"/>
  <c r="J780" i="1"/>
  <c r="I780" i="1"/>
  <c r="H780" i="1"/>
  <c r="G780" i="1"/>
  <c r="K779" i="1"/>
  <c r="J779" i="1"/>
  <c r="I779" i="1"/>
  <c r="H779" i="1"/>
  <c r="G779" i="1"/>
  <c r="K778" i="1"/>
  <c r="J778" i="1"/>
  <c r="I778" i="1"/>
  <c r="H778" i="1"/>
  <c r="G778" i="1"/>
  <c r="K777" i="1"/>
  <c r="J777" i="1"/>
  <c r="I777" i="1"/>
  <c r="H777" i="1"/>
  <c r="G777" i="1"/>
  <c r="K776" i="1"/>
  <c r="J776" i="1"/>
  <c r="I776" i="1"/>
  <c r="H776" i="1"/>
  <c r="G776" i="1"/>
  <c r="K775" i="1"/>
  <c r="J775" i="1"/>
  <c r="I775" i="1"/>
  <c r="H775" i="1"/>
  <c r="G775" i="1"/>
  <c r="K774" i="1"/>
  <c r="J774" i="1"/>
  <c r="I774" i="1"/>
  <c r="H774" i="1"/>
  <c r="G774" i="1"/>
  <c r="K773" i="1"/>
  <c r="J773" i="1"/>
  <c r="I773" i="1"/>
  <c r="H773" i="1"/>
  <c r="G773" i="1"/>
  <c r="K772" i="1"/>
  <c r="J772" i="1"/>
  <c r="I772" i="1"/>
  <c r="H772" i="1"/>
  <c r="G772" i="1"/>
  <c r="K771" i="1"/>
  <c r="J771" i="1"/>
  <c r="I771" i="1"/>
  <c r="H771" i="1"/>
  <c r="G771" i="1"/>
  <c r="K770" i="1"/>
  <c r="J770" i="1"/>
  <c r="I770" i="1"/>
  <c r="H770" i="1"/>
  <c r="G770" i="1"/>
  <c r="K769" i="1"/>
  <c r="J769" i="1"/>
  <c r="I769" i="1"/>
  <c r="H769" i="1"/>
  <c r="G769" i="1"/>
  <c r="K768" i="1"/>
  <c r="J768" i="1"/>
  <c r="I768" i="1"/>
  <c r="H768" i="1"/>
  <c r="G768" i="1"/>
  <c r="K767" i="1"/>
  <c r="J767" i="1"/>
  <c r="I767" i="1"/>
  <c r="H767" i="1"/>
  <c r="G767" i="1"/>
  <c r="K766" i="1"/>
  <c r="J766" i="1"/>
  <c r="I766" i="1"/>
  <c r="H766" i="1"/>
  <c r="G766" i="1"/>
  <c r="K765" i="1"/>
  <c r="J765" i="1"/>
  <c r="I765" i="1"/>
  <c r="H765" i="1"/>
  <c r="G765" i="1"/>
  <c r="K764" i="1"/>
  <c r="J764" i="1"/>
  <c r="I764" i="1"/>
  <c r="H764" i="1"/>
  <c r="G764" i="1"/>
  <c r="K763" i="1"/>
  <c r="J763" i="1"/>
  <c r="I763" i="1"/>
  <c r="H763" i="1"/>
  <c r="G763" i="1"/>
  <c r="K762" i="1"/>
  <c r="J762" i="1"/>
  <c r="I762" i="1"/>
  <c r="H762" i="1"/>
  <c r="G762" i="1"/>
  <c r="K761" i="1"/>
  <c r="J761" i="1"/>
  <c r="I761" i="1"/>
  <c r="H761" i="1"/>
  <c r="G761" i="1"/>
  <c r="K760" i="1"/>
  <c r="J760" i="1"/>
  <c r="I760" i="1"/>
  <c r="H760" i="1"/>
  <c r="G760" i="1"/>
  <c r="K759" i="1"/>
  <c r="J759" i="1"/>
  <c r="I759" i="1"/>
  <c r="H759" i="1"/>
  <c r="G759" i="1"/>
  <c r="K758" i="1"/>
  <c r="J758" i="1"/>
  <c r="I758" i="1"/>
  <c r="H758" i="1"/>
  <c r="G758" i="1"/>
  <c r="K757" i="1"/>
  <c r="J757" i="1"/>
  <c r="I757" i="1"/>
  <c r="H757" i="1"/>
  <c r="G757" i="1"/>
  <c r="K756" i="1"/>
  <c r="J756" i="1"/>
  <c r="I756" i="1"/>
  <c r="H756" i="1"/>
  <c r="G756" i="1"/>
  <c r="K755" i="1"/>
  <c r="J755" i="1"/>
  <c r="I755" i="1"/>
  <c r="H755" i="1"/>
  <c r="G755" i="1"/>
  <c r="K754" i="1"/>
  <c r="J754" i="1"/>
  <c r="I754" i="1"/>
  <c r="H754" i="1"/>
  <c r="G754" i="1"/>
  <c r="K753" i="1"/>
  <c r="J753" i="1"/>
  <c r="I753" i="1"/>
  <c r="H753" i="1"/>
  <c r="G753" i="1"/>
  <c r="K752" i="1"/>
  <c r="J752" i="1"/>
  <c r="I752" i="1"/>
  <c r="H752" i="1"/>
  <c r="G752" i="1"/>
  <c r="K751" i="1"/>
  <c r="J751" i="1"/>
  <c r="I751" i="1"/>
  <c r="H751" i="1"/>
  <c r="G751" i="1"/>
  <c r="K750" i="1"/>
  <c r="J750" i="1"/>
  <c r="I750" i="1"/>
  <c r="H750" i="1"/>
  <c r="G750" i="1"/>
  <c r="K749" i="1"/>
  <c r="J749" i="1"/>
  <c r="I749" i="1"/>
  <c r="H749" i="1"/>
  <c r="G749" i="1"/>
  <c r="K748" i="1"/>
  <c r="J748" i="1"/>
  <c r="I748" i="1"/>
  <c r="H748" i="1"/>
  <c r="G748" i="1"/>
  <c r="K747" i="1"/>
  <c r="J747" i="1"/>
  <c r="I747" i="1"/>
  <c r="H747" i="1"/>
  <c r="G747" i="1"/>
  <c r="K746" i="1"/>
  <c r="J746" i="1"/>
  <c r="I746" i="1"/>
  <c r="H746" i="1"/>
  <c r="G746" i="1"/>
  <c r="K745" i="1"/>
  <c r="J745" i="1"/>
  <c r="I745" i="1"/>
  <c r="H745" i="1"/>
  <c r="G745" i="1"/>
  <c r="K744" i="1"/>
  <c r="J744" i="1"/>
  <c r="I744" i="1"/>
  <c r="H744" i="1"/>
  <c r="G744" i="1"/>
  <c r="K743" i="1"/>
  <c r="J743" i="1"/>
  <c r="I743" i="1"/>
  <c r="H743" i="1"/>
  <c r="G743" i="1"/>
  <c r="K742" i="1"/>
  <c r="J742" i="1"/>
  <c r="I742" i="1"/>
  <c r="H742" i="1"/>
  <c r="G742" i="1"/>
  <c r="K741" i="1"/>
  <c r="J741" i="1"/>
  <c r="I741" i="1"/>
  <c r="H741" i="1"/>
  <c r="G741" i="1"/>
  <c r="K740" i="1"/>
  <c r="J740" i="1"/>
  <c r="I740" i="1"/>
  <c r="H740" i="1"/>
  <c r="G740" i="1"/>
  <c r="K739" i="1"/>
  <c r="J739" i="1"/>
  <c r="I739" i="1"/>
  <c r="H739" i="1"/>
  <c r="G739" i="1"/>
  <c r="K738" i="1"/>
  <c r="J738" i="1"/>
  <c r="I738" i="1"/>
  <c r="H738" i="1"/>
  <c r="G738" i="1"/>
  <c r="K737" i="1"/>
  <c r="J737" i="1"/>
  <c r="I737" i="1"/>
  <c r="H737" i="1"/>
  <c r="G737" i="1"/>
  <c r="K736" i="1"/>
  <c r="J736" i="1"/>
  <c r="I736" i="1"/>
  <c r="H736" i="1"/>
  <c r="G736" i="1"/>
  <c r="K735" i="1"/>
  <c r="J735" i="1"/>
  <c r="I735" i="1"/>
  <c r="H735" i="1"/>
  <c r="G735" i="1"/>
  <c r="K734" i="1"/>
  <c r="J734" i="1"/>
  <c r="I734" i="1"/>
  <c r="H734" i="1"/>
  <c r="G734" i="1"/>
  <c r="K733" i="1"/>
  <c r="J733" i="1"/>
  <c r="I733" i="1"/>
  <c r="H733" i="1"/>
  <c r="G733" i="1"/>
  <c r="K732" i="1"/>
  <c r="J732" i="1"/>
  <c r="I732" i="1"/>
  <c r="H732" i="1"/>
  <c r="G732" i="1"/>
  <c r="K731" i="1"/>
  <c r="J731" i="1"/>
  <c r="I731" i="1"/>
  <c r="H731" i="1"/>
  <c r="G731" i="1"/>
  <c r="K730" i="1"/>
  <c r="J730" i="1"/>
  <c r="I730" i="1"/>
  <c r="H730" i="1"/>
  <c r="G730" i="1"/>
  <c r="K729" i="1"/>
  <c r="J729" i="1"/>
  <c r="I729" i="1"/>
  <c r="H729" i="1"/>
  <c r="G729" i="1"/>
  <c r="K728" i="1"/>
  <c r="J728" i="1"/>
  <c r="I728" i="1"/>
  <c r="H728" i="1"/>
  <c r="G728" i="1"/>
  <c r="K727" i="1"/>
  <c r="J727" i="1"/>
  <c r="I727" i="1"/>
  <c r="H727" i="1"/>
  <c r="G727" i="1"/>
  <c r="K726" i="1"/>
  <c r="J726" i="1"/>
  <c r="I726" i="1"/>
  <c r="H726" i="1"/>
  <c r="G726" i="1"/>
  <c r="K725" i="1"/>
  <c r="J725" i="1"/>
  <c r="I725" i="1"/>
  <c r="H725" i="1"/>
  <c r="G725" i="1"/>
  <c r="K724" i="1"/>
  <c r="J724" i="1"/>
  <c r="I724" i="1"/>
  <c r="H724" i="1"/>
  <c r="G724" i="1"/>
  <c r="K723" i="1"/>
  <c r="J723" i="1"/>
  <c r="I723" i="1"/>
  <c r="H723" i="1"/>
  <c r="G723" i="1"/>
  <c r="K722" i="1"/>
  <c r="J722" i="1"/>
  <c r="I722" i="1"/>
  <c r="H722" i="1"/>
  <c r="G722" i="1"/>
  <c r="K721" i="1"/>
  <c r="J721" i="1"/>
  <c r="I721" i="1"/>
  <c r="H721" i="1"/>
  <c r="G721" i="1"/>
  <c r="K720" i="1"/>
  <c r="J720" i="1"/>
  <c r="I720" i="1"/>
  <c r="H720" i="1"/>
  <c r="G720" i="1"/>
  <c r="K719" i="1"/>
  <c r="J719" i="1"/>
  <c r="I719" i="1"/>
  <c r="H719" i="1"/>
  <c r="G719" i="1"/>
  <c r="K718" i="1"/>
  <c r="J718" i="1"/>
  <c r="I718" i="1"/>
  <c r="H718" i="1"/>
  <c r="G718" i="1"/>
  <c r="K717" i="1"/>
  <c r="J717" i="1"/>
  <c r="I717" i="1"/>
  <c r="H717" i="1"/>
  <c r="G717" i="1"/>
  <c r="K716" i="1"/>
  <c r="J716" i="1"/>
  <c r="I716" i="1"/>
  <c r="H716" i="1"/>
  <c r="G716" i="1"/>
  <c r="K715" i="1"/>
  <c r="J715" i="1"/>
  <c r="I715" i="1"/>
  <c r="H715" i="1"/>
  <c r="G715" i="1"/>
  <c r="K714" i="1"/>
  <c r="J714" i="1"/>
  <c r="I714" i="1"/>
  <c r="H714" i="1"/>
  <c r="G714" i="1"/>
  <c r="K713" i="1"/>
  <c r="J713" i="1"/>
  <c r="I713" i="1"/>
  <c r="H713" i="1"/>
  <c r="G713" i="1"/>
  <c r="K712" i="1"/>
  <c r="J712" i="1"/>
  <c r="I712" i="1"/>
  <c r="H712" i="1"/>
  <c r="G712" i="1"/>
  <c r="K711" i="1"/>
  <c r="J711" i="1"/>
  <c r="I711" i="1"/>
  <c r="H711" i="1"/>
  <c r="G711" i="1"/>
  <c r="K710" i="1"/>
  <c r="J710" i="1"/>
  <c r="I710" i="1"/>
  <c r="H710" i="1"/>
  <c r="G710" i="1"/>
  <c r="K709" i="1"/>
  <c r="J709" i="1"/>
  <c r="I709" i="1"/>
  <c r="H709" i="1"/>
  <c r="G709" i="1"/>
  <c r="K708" i="1"/>
  <c r="J708" i="1"/>
  <c r="I708" i="1"/>
  <c r="H708" i="1"/>
  <c r="G708" i="1"/>
  <c r="K707" i="1"/>
  <c r="J707" i="1"/>
  <c r="I707" i="1"/>
  <c r="H707" i="1"/>
  <c r="G707" i="1"/>
  <c r="K706" i="1"/>
  <c r="J706" i="1"/>
  <c r="I706" i="1"/>
  <c r="H706" i="1"/>
  <c r="G706" i="1"/>
  <c r="K705" i="1"/>
  <c r="J705" i="1"/>
  <c r="I705" i="1"/>
  <c r="H705" i="1"/>
  <c r="G705" i="1"/>
  <c r="K704" i="1"/>
  <c r="J704" i="1"/>
  <c r="I704" i="1"/>
  <c r="H704" i="1"/>
  <c r="G704" i="1"/>
  <c r="K703" i="1"/>
  <c r="J703" i="1"/>
  <c r="I703" i="1"/>
  <c r="H703" i="1"/>
  <c r="G703" i="1"/>
  <c r="K702" i="1"/>
  <c r="J702" i="1"/>
  <c r="I702" i="1"/>
  <c r="H702" i="1"/>
  <c r="G702" i="1"/>
  <c r="K701" i="1"/>
  <c r="J701" i="1"/>
  <c r="I701" i="1"/>
  <c r="H701" i="1"/>
  <c r="G701" i="1"/>
  <c r="K700" i="1"/>
  <c r="J700" i="1"/>
  <c r="I700" i="1"/>
  <c r="H700" i="1"/>
  <c r="G700" i="1"/>
  <c r="K699" i="1"/>
  <c r="J699" i="1"/>
  <c r="I699" i="1"/>
  <c r="H699" i="1"/>
  <c r="G699" i="1"/>
  <c r="K698" i="1"/>
  <c r="J698" i="1"/>
  <c r="I698" i="1"/>
  <c r="H698" i="1"/>
  <c r="G698" i="1"/>
  <c r="K697" i="1"/>
  <c r="J697" i="1"/>
  <c r="I697" i="1"/>
  <c r="H697" i="1"/>
  <c r="G697" i="1"/>
  <c r="K696" i="1"/>
  <c r="J696" i="1"/>
  <c r="I696" i="1"/>
  <c r="H696" i="1"/>
  <c r="G696" i="1"/>
  <c r="K695" i="1"/>
  <c r="J695" i="1"/>
  <c r="I695" i="1"/>
  <c r="H695" i="1"/>
  <c r="G695" i="1"/>
  <c r="K694" i="1"/>
  <c r="J694" i="1"/>
  <c r="I694" i="1"/>
  <c r="H694" i="1"/>
  <c r="G694" i="1"/>
  <c r="K693" i="1"/>
  <c r="J693" i="1"/>
  <c r="I693" i="1"/>
  <c r="H693" i="1"/>
  <c r="G693" i="1"/>
  <c r="K692" i="1"/>
  <c r="J692" i="1"/>
  <c r="I692" i="1"/>
  <c r="H692" i="1"/>
  <c r="G692" i="1"/>
  <c r="K691" i="1"/>
  <c r="J691" i="1"/>
  <c r="I691" i="1"/>
  <c r="H691" i="1"/>
  <c r="G691" i="1"/>
  <c r="K690" i="1"/>
  <c r="J690" i="1"/>
  <c r="I690" i="1"/>
  <c r="H690" i="1"/>
  <c r="G690" i="1"/>
  <c r="K689" i="1"/>
  <c r="J689" i="1"/>
  <c r="I689" i="1"/>
  <c r="H689" i="1"/>
  <c r="G689" i="1"/>
  <c r="K688" i="1"/>
  <c r="J688" i="1"/>
  <c r="I688" i="1"/>
  <c r="H688" i="1"/>
  <c r="G688" i="1"/>
  <c r="K687" i="1"/>
  <c r="J687" i="1"/>
  <c r="I687" i="1"/>
  <c r="H687" i="1"/>
  <c r="G687" i="1"/>
  <c r="K686" i="1"/>
  <c r="J686" i="1"/>
  <c r="I686" i="1"/>
  <c r="H686" i="1"/>
  <c r="G686" i="1"/>
  <c r="K685" i="1"/>
  <c r="J685" i="1"/>
  <c r="I685" i="1"/>
  <c r="H685" i="1"/>
  <c r="G685" i="1"/>
  <c r="K684" i="1"/>
  <c r="J684" i="1"/>
  <c r="I684" i="1"/>
  <c r="H684" i="1"/>
  <c r="G684" i="1"/>
  <c r="K683" i="1"/>
  <c r="J683" i="1"/>
  <c r="I683" i="1"/>
  <c r="H683" i="1"/>
  <c r="G683" i="1"/>
  <c r="K682" i="1"/>
  <c r="J682" i="1"/>
  <c r="I682" i="1"/>
  <c r="H682" i="1"/>
  <c r="G682" i="1"/>
  <c r="K681" i="1"/>
  <c r="J681" i="1"/>
  <c r="I681" i="1"/>
  <c r="H681" i="1"/>
  <c r="G681" i="1"/>
  <c r="K680" i="1"/>
  <c r="J680" i="1"/>
  <c r="I680" i="1"/>
  <c r="H680" i="1"/>
  <c r="G680" i="1"/>
  <c r="K679" i="1"/>
  <c r="J679" i="1"/>
  <c r="I679" i="1"/>
  <c r="H679" i="1"/>
  <c r="G679" i="1"/>
  <c r="K678" i="1"/>
  <c r="J678" i="1"/>
  <c r="I678" i="1"/>
  <c r="H678" i="1"/>
  <c r="G678" i="1"/>
  <c r="K677" i="1"/>
  <c r="J677" i="1"/>
  <c r="I677" i="1"/>
  <c r="H677" i="1"/>
  <c r="G677" i="1"/>
  <c r="K676" i="1"/>
  <c r="J676" i="1"/>
  <c r="I676" i="1"/>
  <c r="H676" i="1"/>
  <c r="G676" i="1"/>
  <c r="K675" i="1"/>
  <c r="J675" i="1"/>
  <c r="I675" i="1"/>
  <c r="H675" i="1"/>
  <c r="G675" i="1"/>
  <c r="K674" i="1"/>
  <c r="J674" i="1"/>
  <c r="I674" i="1"/>
  <c r="H674" i="1"/>
  <c r="G674" i="1"/>
  <c r="K673" i="1"/>
  <c r="J673" i="1"/>
  <c r="I673" i="1"/>
  <c r="H673" i="1"/>
  <c r="G673" i="1"/>
  <c r="K672" i="1"/>
  <c r="J672" i="1"/>
  <c r="I672" i="1"/>
  <c r="H672" i="1"/>
  <c r="G672" i="1"/>
  <c r="K671" i="1"/>
  <c r="J671" i="1"/>
  <c r="I671" i="1"/>
  <c r="H671" i="1"/>
  <c r="G671" i="1"/>
  <c r="K670" i="1"/>
  <c r="J670" i="1"/>
  <c r="I670" i="1"/>
  <c r="H670" i="1"/>
  <c r="G670" i="1"/>
  <c r="K669" i="1"/>
  <c r="J669" i="1"/>
  <c r="I669" i="1"/>
  <c r="H669" i="1"/>
  <c r="G669" i="1"/>
  <c r="K668" i="1"/>
  <c r="J668" i="1"/>
  <c r="I668" i="1"/>
  <c r="H668" i="1"/>
  <c r="G668" i="1"/>
  <c r="K667" i="1"/>
  <c r="J667" i="1"/>
  <c r="I667" i="1"/>
  <c r="H667" i="1"/>
  <c r="G667" i="1"/>
  <c r="K666" i="1"/>
  <c r="J666" i="1"/>
  <c r="I666" i="1"/>
  <c r="H666" i="1"/>
  <c r="G666" i="1"/>
  <c r="K665" i="1"/>
  <c r="J665" i="1"/>
  <c r="I665" i="1"/>
  <c r="H665" i="1"/>
  <c r="G665" i="1"/>
  <c r="K664" i="1"/>
  <c r="J664" i="1"/>
  <c r="I664" i="1"/>
  <c r="H664" i="1"/>
  <c r="G664" i="1"/>
  <c r="K663" i="1"/>
  <c r="J663" i="1"/>
  <c r="I663" i="1"/>
  <c r="H663" i="1"/>
  <c r="G663" i="1"/>
  <c r="K662" i="1"/>
  <c r="J662" i="1"/>
  <c r="I662" i="1"/>
  <c r="H662" i="1"/>
  <c r="G662" i="1"/>
  <c r="K661" i="1"/>
  <c r="J661" i="1"/>
  <c r="I661" i="1"/>
  <c r="H661" i="1"/>
  <c r="G661" i="1"/>
  <c r="K660" i="1"/>
  <c r="J660" i="1"/>
  <c r="I660" i="1"/>
  <c r="H660" i="1"/>
  <c r="G660" i="1"/>
  <c r="K659" i="1"/>
  <c r="J659" i="1"/>
  <c r="I659" i="1"/>
  <c r="H659" i="1"/>
  <c r="G659" i="1"/>
  <c r="K658" i="1"/>
  <c r="J658" i="1"/>
  <c r="I658" i="1"/>
  <c r="H658" i="1"/>
  <c r="G658" i="1"/>
  <c r="K657" i="1"/>
  <c r="J657" i="1"/>
  <c r="I657" i="1"/>
  <c r="H657" i="1"/>
  <c r="G657" i="1"/>
  <c r="K656" i="1"/>
  <c r="J656" i="1"/>
  <c r="I656" i="1"/>
  <c r="H656" i="1"/>
  <c r="G656" i="1"/>
  <c r="K655" i="1"/>
  <c r="J655" i="1"/>
  <c r="I655" i="1"/>
  <c r="H655" i="1"/>
  <c r="G655" i="1"/>
  <c r="K654" i="1"/>
  <c r="J654" i="1"/>
  <c r="I654" i="1"/>
  <c r="H654" i="1"/>
  <c r="G654" i="1"/>
  <c r="K653" i="1"/>
  <c r="J653" i="1"/>
  <c r="I653" i="1"/>
  <c r="H653" i="1"/>
  <c r="G653" i="1"/>
  <c r="K652" i="1"/>
  <c r="J652" i="1"/>
  <c r="I652" i="1"/>
  <c r="H652" i="1"/>
  <c r="G652" i="1"/>
  <c r="K651" i="1"/>
  <c r="J651" i="1"/>
  <c r="I651" i="1"/>
  <c r="H651" i="1"/>
  <c r="G651" i="1"/>
  <c r="K650" i="1"/>
  <c r="J650" i="1"/>
  <c r="I650" i="1"/>
  <c r="H650" i="1"/>
  <c r="G650" i="1"/>
  <c r="K649" i="1"/>
  <c r="J649" i="1"/>
  <c r="I649" i="1"/>
  <c r="H649" i="1"/>
  <c r="G649" i="1"/>
  <c r="K648" i="1"/>
  <c r="J648" i="1"/>
  <c r="I648" i="1"/>
  <c r="H648" i="1"/>
  <c r="G648" i="1"/>
  <c r="K647" i="1"/>
  <c r="J647" i="1"/>
  <c r="I647" i="1"/>
  <c r="H647" i="1"/>
  <c r="G647" i="1"/>
  <c r="K646" i="1"/>
  <c r="J646" i="1"/>
  <c r="I646" i="1"/>
  <c r="H646" i="1"/>
  <c r="G646" i="1"/>
  <c r="K645" i="1"/>
  <c r="J645" i="1"/>
  <c r="I645" i="1"/>
  <c r="H645" i="1"/>
  <c r="G645" i="1"/>
  <c r="K644" i="1"/>
  <c r="J644" i="1"/>
  <c r="I644" i="1"/>
  <c r="H644" i="1"/>
  <c r="G644" i="1"/>
  <c r="K643" i="1"/>
  <c r="J643" i="1"/>
  <c r="I643" i="1"/>
  <c r="H643" i="1"/>
  <c r="G643" i="1"/>
  <c r="K642" i="1"/>
  <c r="J642" i="1"/>
  <c r="I642" i="1"/>
  <c r="H642" i="1"/>
  <c r="G642" i="1"/>
  <c r="K641" i="1"/>
  <c r="J641" i="1"/>
  <c r="I641" i="1"/>
  <c r="H641" i="1"/>
  <c r="G641" i="1"/>
  <c r="K640" i="1"/>
  <c r="J640" i="1"/>
  <c r="I640" i="1"/>
  <c r="H640" i="1"/>
  <c r="G640" i="1"/>
  <c r="K639" i="1"/>
  <c r="J639" i="1"/>
  <c r="I639" i="1"/>
  <c r="H639" i="1"/>
  <c r="G639" i="1"/>
  <c r="K638" i="1"/>
  <c r="J638" i="1"/>
  <c r="I638" i="1"/>
  <c r="H638" i="1"/>
  <c r="G638" i="1"/>
  <c r="K637" i="1"/>
  <c r="J637" i="1"/>
  <c r="I637" i="1"/>
  <c r="H637" i="1"/>
  <c r="G637" i="1"/>
  <c r="K636" i="1"/>
  <c r="J636" i="1"/>
  <c r="I636" i="1"/>
  <c r="H636" i="1"/>
  <c r="G636" i="1"/>
  <c r="K635" i="1"/>
  <c r="J635" i="1"/>
  <c r="I635" i="1"/>
  <c r="H635" i="1"/>
  <c r="G635" i="1"/>
  <c r="K634" i="1"/>
  <c r="J634" i="1"/>
  <c r="I634" i="1"/>
  <c r="H634" i="1"/>
  <c r="G634" i="1"/>
  <c r="K633" i="1"/>
  <c r="J633" i="1"/>
  <c r="I633" i="1"/>
  <c r="H633" i="1"/>
  <c r="G633" i="1"/>
  <c r="K632" i="1"/>
  <c r="J632" i="1"/>
  <c r="I632" i="1"/>
  <c r="H632" i="1"/>
  <c r="G632" i="1"/>
  <c r="K631" i="1"/>
  <c r="J631" i="1"/>
  <c r="I631" i="1"/>
  <c r="H631" i="1"/>
  <c r="G631" i="1"/>
  <c r="K630" i="1"/>
  <c r="J630" i="1"/>
  <c r="I630" i="1"/>
  <c r="H630" i="1"/>
  <c r="G630" i="1"/>
  <c r="K629" i="1"/>
  <c r="J629" i="1"/>
  <c r="I629" i="1"/>
  <c r="H629" i="1"/>
  <c r="G629" i="1"/>
  <c r="K628" i="1"/>
  <c r="J628" i="1"/>
  <c r="I628" i="1"/>
  <c r="H628" i="1"/>
  <c r="G628" i="1"/>
  <c r="K627" i="1"/>
  <c r="J627" i="1"/>
  <c r="I627" i="1"/>
  <c r="H627" i="1"/>
  <c r="G627" i="1"/>
  <c r="K626" i="1"/>
  <c r="J626" i="1"/>
  <c r="I626" i="1"/>
  <c r="H626" i="1"/>
  <c r="G626" i="1"/>
  <c r="K625" i="1"/>
  <c r="J625" i="1"/>
  <c r="I625" i="1"/>
  <c r="H625" i="1"/>
  <c r="G625" i="1"/>
  <c r="K624" i="1"/>
  <c r="J624" i="1"/>
  <c r="I624" i="1"/>
  <c r="H624" i="1"/>
  <c r="G624" i="1"/>
  <c r="K623" i="1"/>
  <c r="J623" i="1"/>
  <c r="I623" i="1"/>
  <c r="H623" i="1"/>
  <c r="G623" i="1"/>
  <c r="K622" i="1"/>
  <c r="J622" i="1"/>
  <c r="I622" i="1"/>
  <c r="H622" i="1"/>
  <c r="G622" i="1"/>
  <c r="K621" i="1"/>
  <c r="J621" i="1"/>
  <c r="I621" i="1"/>
  <c r="H621" i="1"/>
  <c r="G621" i="1"/>
  <c r="K620" i="1"/>
  <c r="J620" i="1"/>
  <c r="I620" i="1"/>
  <c r="H620" i="1"/>
  <c r="G620" i="1"/>
  <c r="K619" i="1"/>
  <c r="J619" i="1"/>
  <c r="I619" i="1"/>
  <c r="H619" i="1"/>
  <c r="G619" i="1"/>
  <c r="K618" i="1"/>
  <c r="J618" i="1"/>
  <c r="I618" i="1"/>
  <c r="H618" i="1"/>
  <c r="G618" i="1"/>
  <c r="K617" i="1"/>
  <c r="J617" i="1"/>
  <c r="I617" i="1"/>
  <c r="H617" i="1"/>
  <c r="G617" i="1"/>
  <c r="K616" i="1"/>
  <c r="J616" i="1"/>
  <c r="I616" i="1"/>
  <c r="H616" i="1"/>
  <c r="G616" i="1"/>
  <c r="K615" i="1"/>
  <c r="J615" i="1"/>
  <c r="I615" i="1"/>
  <c r="H615" i="1"/>
  <c r="G615" i="1"/>
  <c r="K614" i="1"/>
  <c r="J614" i="1"/>
  <c r="I614" i="1"/>
  <c r="H614" i="1"/>
  <c r="G614" i="1"/>
  <c r="K613" i="1"/>
  <c r="J613" i="1"/>
  <c r="I613" i="1"/>
  <c r="H613" i="1"/>
  <c r="G613" i="1"/>
  <c r="K612" i="1"/>
  <c r="J612" i="1"/>
  <c r="I612" i="1"/>
  <c r="H612" i="1"/>
  <c r="G612" i="1"/>
  <c r="K611" i="1"/>
  <c r="J611" i="1"/>
  <c r="I611" i="1"/>
  <c r="H611" i="1"/>
  <c r="G611" i="1"/>
  <c r="K610" i="1"/>
  <c r="J610" i="1"/>
  <c r="I610" i="1"/>
  <c r="H610" i="1"/>
  <c r="G610" i="1"/>
  <c r="K609" i="1"/>
  <c r="J609" i="1"/>
  <c r="I609" i="1"/>
  <c r="H609" i="1"/>
  <c r="G609" i="1"/>
  <c r="K608" i="1"/>
  <c r="J608" i="1"/>
  <c r="I608" i="1"/>
  <c r="H608" i="1"/>
  <c r="G608" i="1"/>
  <c r="K607" i="1"/>
  <c r="J607" i="1"/>
  <c r="I607" i="1"/>
  <c r="H607" i="1"/>
  <c r="G607" i="1"/>
  <c r="K606" i="1"/>
  <c r="J606" i="1"/>
  <c r="I606" i="1"/>
  <c r="H606" i="1"/>
  <c r="G606" i="1"/>
  <c r="K605" i="1"/>
  <c r="J605" i="1"/>
  <c r="I605" i="1"/>
  <c r="H605" i="1"/>
  <c r="G605" i="1"/>
  <c r="K604" i="1"/>
  <c r="J604" i="1"/>
  <c r="I604" i="1"/>
  <c r="H604" i="1"/>
  <c r="G604" i="1"/>
  <c r="K603" i="1"/>
  <c r="J603" i="1"/>
  <c r="I603" i="1"/>
  <c r="H603" i="1"/>
  <c r="G603" i="1"/>
  <c r="K602" i="1"/>
  <c r="J602" i="1"/>
  <c r="I602" i="1"/>
  <c r="H602" i="1"/>
  <c r="G602" i="1"/>
  <c r="K601" i="1"/>
  <c r="J601" i="1"/>
  <c r="I601" i="1"/>
  <c r="H601" i="1"/>
  <c r="G601" i="1"/>
  <c r="K600" i="1"/>
  <c r="J600" i="1"/>
  <c r="I600" i="1"/>
  <c r="H600" i="1"/>
  <c r="G600" i="1"/>
  <c r="K599" i="1"/>
  <c r="J599" i="1"/>
  <c r="I599" i="1"/>
  <c r="H599" i="1"/>
  <c r="G599" i="1"/>
  <c r="K598" i="1"/>
  <c r="J598" i="1"/>
  <c r="I598" i="1"/>
  <c r="H598" i="1"/>
  <c r="G598" i="1"/>
  <c r="K597" i="1"/>
  <c r="J597" i="1"/>
  <c r="I597" i="1"/>
  <c r="H597" i="1"/>
  <c r="G597" i="1"/>
  <c r="K596" i="1"/>
  <c r="J596" i="1"/>
  <c r="I596" i="1"/>
  <c r="H596" i="1"/>
  <c r="G596" i="1"/>
  <c r="K595" i="1"/>
  <c r="J595" i="1"/>
  <c r="I595" i="1"/>
  <c r="H595" i="1"/>
  <c r="G595" i="1"/>
  <c r="K594" i="1"/>
  <c r="J594" i="1"/>
  <c r="I594" i="1"/>
  <c r="H594" i="1"/>
  <c r="G594" i="1"/>
  <c r="K593" i="1"/>
  <c r="J593" i="1"/>
  <c r="I593" i="1"/>
  <c r="H593" i="1"/>
  <c r="G593" i="1"/>
  <c r="K592" i="1"/>
  <c r="J592" i="1"/>
  <c r="I592" i="1"/>
  <c r="H592" i="1"/>
  <c r="G592" i="1"/>
  <c r="K591" i="1"/>
  <c r="J591" i="1"/>
  <c r="I591" i="1"/>
  <c r="H591" i="1"/>
  <c r="G591" i="1"/>
  <c r="K590" i="1"/>
  <c r="J590" i="1"/>
  <c r="I590" i="1"/>
  <c r="H590" i="1"/>
  <c r="G590" i="1"/>
  <c r="K589" i="1"/>
  <c r="J589" i="1"/>
  <c r="I589" i="1"/>
  <c r="H589" i="1"/>
  <c r="G589" i="1"/>
  <c r="K588" i="1"/>
  <c r="J588" i="1"/>
  <c r="I588" i="1"/>
  <c r="H588" i="1"/>
  <c r="G588" i="1"/>
  <c r="K587" i="1"/>
  <c r="J587" i="1"/>
  <c r="I587" i="1"/>
  <c r="H587" i="1"/>
  <c r="G587" i="1"/>
  <c r="K586" i="1"/>
  <c r="J586" i="1"/>
  <c r="I586" i="1"/>
  <c r="H586" i="1"/>
  <c r="G586" i="1"/>
  <c r="K585" i="1"/>
  <c r="J585" i="1"/>
  <c r="I585" i="1"/>
  <c r="H585" i="1"/>
  <c r="G585" i="1"/>
  <c r="K584" i="1"/>
  <c r="J584" i="1"/>
  <c r="I584" i="1"/>
  <c r="H584" i="1"/>
  <c r="G584" i="1"/>
  <c r="K583" i="1"/>
  <c r="J583" i="1"/>
  <c r="I583" i="1"/>
  <c r="H583" i="1"/>
  <c r="G583" i="1"/>
  <c r="K582" i="1"/>
  <c r="J582" i="1"/>
  <c r="I582" i="1"/>
  <c r="H582" i="1"/>
  <c r="G582" i="1"/>
  <c r="K581" i="1"/>
  <c r="J581" i="1"/>
  <c r="I581" i="1"/>
  <c r="H581" i="1"/>
  <c r="G581" i="1"/>
  <c r="K580" i="1"/>
  <c r="J580" i="1"/>
  <c r="I580" i="1"/>
  <c r="H580" i="1"/>
  <c r="G580" i="1"/>
  <c r="K579" i="1"/>
  <c r="J579" i="1"/>
  <c r="I579" i="1"/>
  <c r="H579" i="1"/>
  <c r="G579" i="1"/>
  <c r="K578" i="1"/>
  <c r="J578" i="1"/>
  <c r="I578" i="1"/>
  <c r="H578" i="1"/>
  <c r="G578" i="1"/>
  <c r="K577" i="1"/>
  <c r="J577" i="1"/>
  <c r="I577" i="1"/>
  <c r="H577" i="1"/>
  <c r="G577" i="1"/>
  <c r="K576" i="1"/>
  <c r="J576" i="1"/>
  <c r="I576" i="1"/>
  <c r="H576" i="1"/>
  <c r="G576" i="1"/>
  <c r="K575" i="1"/>
  <c r="J575" i="1"/>
  <c r="I575" i="1"/>
  <c r="H575" i="1"/>
  <c r="G575" i="1"/>
  <c r="K574" i="1"/>
  <c r="J574" i="1"/>
  <c r="I574" i="1"/>
  <c r="H574" i="1"/>
  <c r="G574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566" i="1"/>
  <c r="J566" i="1"/>
  <c r="I566" i="1"/>
  <c r="H566" i="1"/>
  <c r="G566" i="1"/>
  <c r="K565" i="1"/>
  <c r="J565" i="1"/>
  <c r="I565" i="1"/>
  <c r="H565" i="1"/>
  <c r="G565" i="1"/>
  <c r="K564" i="1"/>
  <c r="J564" i="1"/>
  <c r="I564" i="1"/>
  <c r="H564" i="1"/>
  <c r="G564" i="1"/>
  <c r="K563" i="1"/>
  <c r="J563" i="1"/>
  <c r="I563" i="1"/>
  <c r="H563" i="1"/>
  <c r="G563" i="1"/>
  <c r="K562" i="1"/>
  <c r="J562" i="1"/>
  <c r="I562" i="1"/>
  <c r="H562" i="1"/>
  <c r="G562" i="1"/>
  <c r="K561" i="1"/>
  <c r="J561" i="1"/>
  <c r="I561" i="1"/>
  <c r="H561" i="1"/>
  <c r="G561" i="1"/>
  <c r="K560" i="1"/>
  <c r="J560" i="1"/>
  <c r="I560" i="1"/>
  <c r="H560" i="1"/>
  <c r="G560" i="1"/>
  <c r="K559" i="1"/>
  <c r="J559" i="1"/>
  <c r="I559" i="1"/>
  <c r="H559" i="1"/>
  <c r="G559" i="1"/>
  <c r="K558" i="1"/>
  <c r="J558" i="1"/>
  <c r="I558" i="1"/>
  <c r="H558" i="1"/>
  <c r="G558" i="1"/>
  <c r="K557" i="1"/>
  <c r="J557" i="1"/>
  <c r="I557" i="1"/>
  <c r="H557" i="1"/>
  <c r="G557" i="1"/>
  <c r="K556" i="1"/>
  <c r="J556" i="1"/>
  <c r="I556" i="1"/>
  <c r="H556" i="1"/>
  <c r="G556" i="1"/>
  <c r="K555" i="1"/>
  <c r="J555" i="1"/>
  <c r="I555" i="1"/>
  <c r="H555" i="1"/>
  <c r="G555" i="1"/>
  <c r="K554" i="1"/>
  <c r="J554" i="1"/>
  <c r="I554" i="1"/>
  <c r="H554" i="1"/>
  <c r="G554" i="1"/>
  <c r="K553" i="1"/>
  <c r="J553" i="1"/>
  <c r="I553" i="1"/>
  <c r="H553" i="1"/>
  <c r="G553" i="1"/>
  <c r="K552" i="1"/>
  <c r="J552" i="1"/>
  <c r="I552" i="1"/>
  <c r="H552" i="1"/>
  <c r="G552" i="1"/>
  <c r="K551" i="1"/>
  <c r="J551" i="1"/>
  <c r="I551" i="1"/>
  <c r="H551" i="1"/>
  <c r="G551" i="1"/>
  <c r="K550" i="1"/>
  <c r="J550" i="1"/>
  <c r="I550" i="1"/>
  <c r="H550" i="1"/>
  <c r="G550" i="1"/>
  <c r="K549" i="1"/>
  <c r="J549" i="1"/>
  <c r="I549" i="1"/>
  <c r="H549" i="1"/>
  <c r="G549" i="1"/>
  <c r="K548" i="1"/>
  <c r="J548" i="1"/>
  <c r="I548" i="1"/>
  <c r="H548" i="1"/>
  <c r="G548" i="1"/>
  <c r="K547" i="1"/>
  <c r="J547" i="1"/>
  <c r="I547" i="1"/>
  <c r="H547" i="1"/>
  <c r="G547" i="1"/>
  <c r="K546" i="1"/>
  <c r="J546" i="1"/>
  <c r="I546" i="1"/>
  <c r="H546" i="1"/>
  <c r="G546" i="1"/>
  <c r="K545" i="1"/>
  <c r="J545" i="1"/>
  <c r="I545" i="1"/>
  <c r="H545" i="1"/>
  <c r="G545" i="1"/>
  <c r="K544" i="1"/>
  <c r="J544" i="1"/>
  <c r="I544" i="1"/>
  <c r="H544" i="1"/>
  <c r="G544" i="1"/>
  <c r="K543" i="1"/>
  <c r="J543" i="1"/>
  <c r="I543" i="1"/>
  <c r="H543" i="1"/>
  <c r="G543" i="1"/>
  <c r="K542" i="1"/>
  <c r="J542" i="1"/>
  <c r="I542" i="1"/>
  <c r="H542" i="1"/>
  <c r="G542" i="1"/>
  <c r="K541" i="1"/>
  <c r="J541" i="1"/>
  <c r="I541" i="1"/>
  <c r="H541" i="1"/>
  <c r="G541" i="1"/>
  <c r="K540" i="1"/>
  <c r="J540" i="1"/>
  <c r="I540" i="1"/>
  <c r="H540" i="1"/>
  <c r="G540" i="1"/>
  <c r="K539" i="1"/>
  <c r="J539" i="1"/>
  <c r="I539" i="1"/>
  <c r="H539" i="1"/>
  <c r="G539" i="1"/>
  <c r="K538" i="1"/>
  <c r="J538" i="1"/>
  <c r="I538" i="1"/>
  <c r="H538" i="1"/>
  <c r="G538" i="1"/>
  <c r="K537" i="1"/>
  <c r="J537" i="1"/>
  <c r="I537" i="1"/>
  <c r="H537" i="1"/>
  <c r="G537" i="1"/>
  <c r="K536" i="1"/>
  <c r="J536" i="1"/>
  <c r="I536" i="1"/>
  <c r="H536" i="1"/>
  <c r="G536" i="1"/>
  <c r="K535" i="1"/>
  <c r="J535" i="1"/>
  <c r="I535" i="1"/>
  <c r="H535" i="1"/>
  <c r="G535" i="1"/>
  <c r="K534" i="1"/>
  <c r="J534" i="1"/>
  <c r="I534" i="1"/>
  <c r="H534" i="1"/>
  <c r="G534" i="1"/>
  <c r="K533" i="1"/>
  <c r="J533" i="1"/>
  <c r="I533" i="1"/>
  <c r="H533" i="1"/>
  <c r="G533" i="1"/>
  <c r="K532" i="1"/>
  <c r="J532" i="1"/>
  <c r="I532" i="1"/>
  <c r="H532" i="1"/>
  <c r="G532" i="1"/>
  <c r="K531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8" i="1"/>
  <c r="J528" i="1"/>
  <c r="I528" i="1"/>
  <c r="H528" i="1"/>
  <c r="G528" i="1"/>
  <c r="K527" i="1"/>
  <c r="J527" i="1"/>
  <c r="I527" i="1"/>
  <c r="H527" i="1"/>
  <c r="G527" i="1"/>
  <c r="K526" i="1"/>
  <c r="J526" i="1"/>
  <c r="I526" i="1"/>
  <c r="H526" i="1"/>
  <c r="G526" i="1"/>
  <c r="K525" i="1"/>
  <c r="J525" i="1"/>
  <c r="I525" i="1"/>
  <c r="H525" i="1"/>
  <c r="G525" i="1"/>
  <c r="K524" i="1"/>
  <c r="J524" i="1"/>
  <c r="I524" i="1"/>
  <c r="H524" i="1"/>
  <c r="G524" i="1"/>
  <c r="K523" i="1"/>
  <c r="J523" i="1"/>
  <c r="I523" i="1"/>
  <c r="H523" i="1"/>
  <c r="G523" i="1"/>
  <c r="K522" i="1"/>
  <c r="J522" i="1"/>
  <c r="I522" i="1"/>
  <c r="H522" i="1"/>
  <c r="G522" i="1"/>
  <c r="K521" i="1"/>
  <c r="J521" i="1"/>
  <c r="I521" i="1"/>
  <c r="H521" i="1"/>
  <c r="G521" i="1"/>
  <c r="K520" i="1"/>
  <c r="J520" i="1"/>
  <c r="I520" i="1"/>
  <c r="H520" i="1"/>
  <c r="G520" i="1"/>
  <c r="K519" i="1"/>
  <c r="J519" i="1"/>
  <c r="I519" i="1"/>
  <c r="H519" i="1"/>
  <c r="G519" i="1"/>
  <c r="K518" i="1"/>
  <c r="J518" i="1"/>
  <c r="I518" i="1"/>
  <c r="H518" i="1"/>
  <c r="G518" i="1"/>
  <c r="K517" i="1"/>
  <c r="J517" i="1"/>
  <c r="I517" i="1"/>
  <c r="H517" i="1"/>
  <c r="G517" i="1"/>
  <c r="K516" i="1"/>
  <c r="J516" i="1"/>
  <c r="I516" i="1"/>
  <c r="H516" i="1"/>
  <c r="G516" i="1"/>
  <c r="K515" i="1"/>
  <c r="J515" i="1"/>
  <c r="I515" i="1"/>
  <c r="H515" i="1"/>
  <c r="G515" i="1"/>
  <c r="K514" i="1"/>
  <c r="J514" i="1"/>
  <c r="I514" i="1"/>
  <c r="H514" i="1"/>
  <c r="G514" i="1"/>
  <c r="K513" i="1"/>
  <c r="J513" i="1"/>
  <c r="I513" i="1"/>
  <c r="H513" i="1"/>
  <c r="G513" i="1"/>
  <c r="K512" i="1"/>
  <c r="J512" i="1"/>
  <c r="I512" i="1"/>
  <c r="H512" i="1"/>
  <c r="G512" i="1"/>
  <c r="K511" i="1"/>
  <c r="J511" i="1"/>
  <c r="I511" i="1"/>
  <c r="H511" i="1"/>
  <c r="G511" i="1"/>
  <c r="K510" i="1"/>
  <c r="J510" i="1"/>
  <c r="I510" i="1"/>
  <c r="H510" i="1"/>
  <c r="G510" i="1"/>
  <c r="K509" i="1"/>
  <c r="J509" i="1"/>
  <c r="I509" i="1"/>
  <c r="H509" i="1"/>
  <c r="G509" i="1"/>
  <c r="K508" i="1"/>
  <c r="J508" i="1"/>
  <c r="I508" i="1"/>
  <c r="H508" i="1"/>
  <c r="G508" i="1"/>
  <c r="K507" i="1"/>
  <c r="J507" i="1"/>
  <c r="I507" i="1"/>
  <c r="H507" i="1"/>
  <c r="G507" i="1"/>
  <c r="K506" i="1"/>
  <c r="J506" i="1"/>
  <c r="I506" i="1"/>
  <c r="H506" i="1"/>
  <c r="G506" i="1"/>
  <c r="K505" i="1"/>
  <c r="J505" i="1"/>
  <c r="I505" i="1"/>
  <c r="H505" i="1"/>
  <c r="G505" i="1"/>
  <c r="K504" i="1"/>
  <c r="J504" i="1"/>
  <c r="I504" i="1"/>
  <c r="H504" i="1"/>
  <c r="G504" i="1"/>
  <c r="K503" i="1"/>
  <c r="J503" i="1"/>
  <c r="I503" i="1"/>
  <c r="H503" i="1"/>
  <c r="G503" i="1"/>
  <c r="K502" i="1"/>
  <c r="J502" i="1"/>
  <c r="I502" i="1"/>
  <c r="H502" i="1"/>
  <c r="G502" i="1"/>
  <c r="K501" i="1"/>
  <c r="J501" i="1"/>
  <c r="I501" i="1"/>
  <c r="H501" i="1"/>
  <c r="G501" i="1"/>
  <c r="K500" i="1"/>
  <c r="J500" i="1"/>
  <c r="I500" i="1"/>
  <c r="H500" i="1"/>
  <c r="G500" i="1"/>
  <c r="K499" i="1"/>
  <c r="J499" i="1"/>
  <c r="I499" i="1"/>
  <c r="H499" i="1"/>
  <c r="G499" i="1"/>
  <c r="K498" i="1"/>
  <c r="J498" i="1"/>
  <c r="I498" i="1"/>
  <c r="H498" i="1"/>
  <c r="G498" i="1"/>
  <c r="K497" i="1"/>
  <c r="J497" i="1"/>
  <c r="I497" i="1"/>
  <c r="H497" i="1"/>
  <c r="G497" i="1"/>
  <c r="K496" i="1"/>
  <c r="J496" i="1"/>
  <c r="I496" i="1"/>
  <c r="H496" i="1"/>
  <c r="G496" i="1"/>
  <c r="K495" i="1"/>
  <c r="J495" i="1"/>
  <c r="I495" i="1"/>
  <c r="H495" i="1"/>
  <c r="G495" i="1"/>
  <c r="K494" i="1"/>
  <c r="J494" i="1"/>
  <c r="I494" i="1"/>
  <c r="H494" i="1"/>
  <c r="G494" i="1"/>
  <c r="K493" i="1"/>
  <c r="J493" i="1"/>
  <c r="I493" i="1"/>
  <c r="H493" i="1"/>
  <c r="G493" i="1"/>
  <c r="K492" i="1"/>
  <c r="J492" i="1"/>
  <c r="I492" i="1"/>
  <c r="H492" i="1"/>
  <c r="G492" i="1"/>
  <c r="K491" i="1"/>
  <c r="J491" i="1"/>
  <c r="I491" i="1"/>
  <c r="H491" i="1"/>
  <c r="G491" i="1"/>
  <c r="K490" i="1"/>
  <c r="J490" i="1"/>
  <c r="I490" i="1"/>
  <c r="H490" i="1"/>
  <c r="G490" i="1"/>
  <c r="K489" i="1"/>
  <c r="J489" i="1"/>
  <c r="I489" i="1"/>
  <c r="H489" i="1"/>
  <c r="G489" i="1"/>
  <c r="K488" i="1"/>
  <c r="J488" i="1"/>
  <c r="I488" i="1"/>
  <c r="H488" i="1"/>
  <c r="G488" i="1"/>
  <c r="K487" i="1"/>
  <c r="J487" i="1"/>
  <c r="I487" i="1"/>
  <c r="H487" i="1"/>
  <c r="G487" i="1"/>
  <c r="K486" i="1"/>
  <c r="J486" i="1"/>
  <c r="I486" i="1"/>
  <c r="H486" i="1"/>
  <c r="G486" i="1"/>
  <c r="K485" i="1"/>
  <c r="J485" i="1"/>
  <c r="I485" i="1"/>
  <c r="H485" i="1"/>
  <c r="G485" i="1"/>
  <c r="K484" i="1"/>
  <c r="J484" i="1"/>
  <c r="I484" i="1"/>
  <c r="H484" i="1"/>
  <c r="G484" i="1"/>
  <c r="K483" i="1"/>
  <c r="J483" i="1"/>
  <c r="I483" i="1"/>
  <c r="H483" i="1"/>
  <c r="G483" i="1"/>
  <c r="K482" i="1"/>
  <c r="J482" i="1"/>
  <c r="I482" i="1"/>
  <c r="H482" i="1"/>
  <c r="G482" i="1"/>
  <c r="K481" i="1"/>
  <c r="J481" i="1"/>
  <c r="I481" i="1"/>
  <c r="H481" i="1"/>
  <c r="G481" i="1"/>
  <c r="K480" i="1"/>
  <c r="J480" i="1"/>
  <c r="I480" i="1"/>
  <c r="H480" i="1"/>
  <c r="G480" i="1"/>
  <c r="K479" i="1"/>
  <c r="J479" i="1"/>
  <c r="I479" i="1"/>
  <c r="H479" i="1"/>
  <c r="G479" i="1"/>
  <c r="K478" i="1"/>
  <c r="J478" i="1"/>
  <c r="I478" i="1"/>
  <c r="H478" i="1"/>
  <c r="G478" i="1"/>
  <c r="K477" i="1"/>
  <c r="J477" i="1"/>
  <c r="I477" i="1"/>
  <c r="H477" i="1"/>
  <c r="G477" i="1"/>
  <c r="K476" i="1"/>
  <c r="J476" i="1"/>
  <c r="I476" i="1"/>
  <c r="H476" i="1"/>
  <c r="G476" i="1"/>
  <c r="K475" i="1"/>
  <c r="J475" i="1"/>
  <c r="I475" i="1"/>
  <c r="H475" i="1"/>
  <c r="G475" i="1"/>
  <c r="K474" i="1"/>
  <c r="J474" i="1"/>
  <c r="I474" i="1"/>
  <c r="H474" i="1"/>
  <c r="G474" i="1"/>
  <c r="K473" i="1"/>
  <c r="J473" i="1"/>
  <c r="I473" i="1"/>
  <c r="H473" i="1"/>
  <c r="G473" i="1"/>
  <c r="K472" i="1"/>
  <c r="J472" i="1"/>
  <c r="I472" i="1"/>
  <c r="H472" i="1"/>
  <c r="G472" i="1"/>
  <c r="K471" i="1"/>
  <c r="J471" i="1"/>
  <c r="I471" i="1"/>
  <c r="H471" i="1"/>
  <c r="G471" i="1"/>
  <c r="K470" i="1"/>
  <c r="J470" i="1"/>
  <c r="I470" i="1"/>
  <c r="H470" i="1"/>
  <c r="G470" i="1"/>
  <c r="K469" i="1"/>
  <c r="J469" i="1"/>
  <c r="I469" i="1"/>
  <c r="H469" i="1"/>
  <c r="G469" i="1"/>
  <c r="K468" i="1"/>
  <c r="J468" i="1"/>
  <c r="I468" i="1"/>
  <c r="H468" i="1"/>
  <c r="G468" i="1"/>
  <c r="K467" i="1"/>
  <c r="J467" i="1"/>
  <c r="I467" i="1"/>
  <c r="H467" i="1"/>
  <c r="G467" i="1"/>
  <c r="K466" i="1"/>
  <c r="J466" i="1"/>
  <c r="I466" i="1"/>
  <c r="H466" i="1"/>
  <c r="G466" i="1"/>
  <c r="K465" i="1"/>
  <c r="J465" i="1"/>
  <c r="I465" i="1"/>
  <c r="H465" i="1"/>
  <c r="G465" i="1"/>
  <c r="K464" i="1"/>
  <c r="J464" i="1"/>
  <c r="I464" i="1"/>
  <c r="H464" i="1"/>
  <c r="G464" i="1"/>
  <c r="K463" i="1"/>
  <c r="J463" i="1"/>
  <c r="I463" i="1"/>
  <c r="H463" i="1"/>
  <c r="G463" i="1"/>
  <c r="K462" i="1"/>
  <c r="J462" i="1"/>
  <c r="I462" i="1"/>
  <c r="H462" i="1"/>
  <c r="G462" i="1"/>
  <c r="K461" i="1"/>
  <c r="J461" i="1"/>
  <c r="I461" i="1"/>
  <c r="H461" i="1"/>
  <c r="G461" i="1"/>
  <c r="K460" i="1"/>
  <c r="J460" i="1"/>
  <c r="I460" i="1"/>
  <c r="H460" i="1"/>
  <c r="G460" i="1"/>
  <c r="K459" i="1"/>
  <c r="J459" i="1"/>
  <c r="I459" i="1"/>
  <c r="H459" i="1"/>
  <c r="G459" i="1"/>
  <c r="K458" i="1"/>
  <c r="J458" i="1"/>
  <c r="I458" i="1"/>
  <c r="H458" i="1"/>
  <c r="G458" i="1"/>
  <c r="K457" i="1"/>
  <c r="J457" i="1"/>
  <c r="I457" i="1"/>
  <c r="H457" i="1"/>
  <c r="G457" i="1"/>
  <c r="K456" i="1"/>
  <c r="J456" i="1"/>
  <c r="I456" i="1"/>
  <c r="H456" i="1"/>
  <c r="G456" i="1"/>
  <c r="K455" i="1"/>
  <c r="J455" i="1"/>
  <c r="I455" i="1"/>
  <c r="H455" i="1"/>
  <c r="G455" i="1"/>
  <c r="K454" i="1"/>
  <c r="J454" i="1"/>
  <c r="I454" i="1"/>
  <c r="H454" i="1"/>
  <c r="G454" i="1"/>
  <c r="K453" i="1"/>
  <c r="J453" i="1"/>
  <c r="I453" i="1"/>
  <c r="H453" i="1"/>
  <c r="G453" i="1"/>
  <c r="K452" i="1"/>
  <c r="J452" i="1"/>
  <c r="I452" i="1"/>
  <c r="H452" i="1"/>
  <c r="G452" i="1"/>
  <c r="K451" i="1"/>
  <c r="J451" i="1"/>
  <c r="I451" i="1"/>
  <c r="H451" i="1"/>
  <c r="G451" i="1"/>
  <c r="K450" i="1"/>
  <c r="J450" i="1"/>
  <c r="I450" i="1"/>
  <c r="H450" i="1"/>
  <c r="G450" i="1"/>
  <c r="K449" i="1"/>
  <c r="J449" i="1"/>
  <c r="I449" i="1"/>
  <c r="H449" i="1"/>
  <c r="G449" i="1"/>
  <c r="K448" i="1"/>
  <c r="J448" i="1"/>
  <c r="I448" i="1"/>
  <c r="H448" i="1"/>
  <c r="G448" i="1"/>
  <c r="K447" i="1"/>
  <c r="J447" i="1"/>
  <c r="I447" i="1"/>
  <c r="H447" i="1"/>
  <c r="G447" i="1"/>
  <c r="K446" i="1"/>
  <c r="J446" i="1"/>
  <c r="I446" i="1"/>
  <c r="H446" i="1"/>
  <c r="G446" i="1"/>
  <c r="K445" i="1"/>
  <c r="J445" i="1"/>
  <c r="I445" i="1"/>
  <c r="H445" i="1"/>
  <c r="G445" i="1"/>
  <c r="K444" i="1"/>
  <c r="J444" i="1"/>
  <c r="I444" i="1"/>
  <c r="H444" i="1"/>
  <c r="G444" i="1"/>
  <c r="K443" i="1"/>
  <c r="J443" i="1"/>
  <c r="I443" i="1"/>
  <c r="H443" i="1"/>
  <c r="G443" i="1"/>
  <c r="K442" i="1"/>
  <c r="J442" i="1"/>
  <c r="I442" i="1"/>
  <c r="H442" i="1"/>
  <c r="G442" i="1"/>
  <c r="K441" i="1"/>
  <c r="J441" i="1"/>
  <c r="I441" i="1"/>
  <c r="H441" i="1"/>
  <c r="G441" i="1"/>
  <c r="K440" i="1"/>
  <c r="J440" i="1"/>
  <c r="I440" i="1"/>
  <c r="H440" i="1"/>
  <c r="G440" i="1"/>
  <c r="K439" i="1"/>
  <c r="J439" i="1"/>
  <c r="I439" i="1"/>
  <c r="H439" i="1"/>
  <c r="G439" i="1"/>
  <c r="K438" i="1"/>
  <c r="J438" i="1"/>
  <c r="I438" i="1"/>
  <c r="H438" i="1"/>
  <c r="G438" i="1"/>
  <c r="K437" i="1"/>
  <c r="J437" i="1"/>
  <c r="I437" i="1"/>
  <c r="H437" i="1"/>
  <c r="G437" i="1"/>
  <c r="K436" i="1"/>
  <c r="J436" i="1"/>
  <c r="I436" i="1"/>
  <c r="H436" i="1"/>
  <c r="G436" i="1"/>
  <c r="K435" i="1"/>
  <c r="J435" i="1"/>
  <c r="I435" i="1"/>
  <c r="H435" i="1"/>
  <c r="G435" i="1"/>
  <c r="K434" i="1"/>
  <c r="J434" i="1"/>
  <c r="I434" i="1"/>
  <c r="H434" i="1"/>
  <c r="G434" i="1"/>
  <c r="K433" i="1"/>
  <c r="J433" i="1"/>
  <c r="I433" i="1"/>
  <c r="H433" i="1"/>
  <c r="G433" i="1"/>
  <c r="K432" i="1"/>
  <c r="J432" i="1"/>
  <c r="I432" i="1"/>
  <c r="H432" i="1"/>
  <c r="G432" i="1"/>
  <c r="K431" i="1"/>
  <c r="J431" i="1"/>
  <c r="I431" i="1"/>
  <c r="H431" i="1"/>
  <c r="G431" i="1"/>
  <c r="K430" i="1"/>
  <c r="J430" i="1"/>
  <c r="I430" i="1"/>
  <c r="H430" i="1"/>
  <c r="G430" i="1"/>
  <c r="K429" i="1"/>
  <c r="J429" i="1"/>
  <c r="I429" i="1"/>
  <c r="H429" i="1"/>
  <c r="G429" i="1"/>
  <c r="K428" i="1"/>
  <c r="J428" i="1"/>
  <c r="I428" i="1"/>
  <c r="H428" i="1"/>
  <c r="G428" i="1"/>
  <c r="K427" i="1"/>
  <c r="J427" i="1"/>
  <c r="I427" i="1"/>
  <c r="H427" i="1"/>
  <c r="G427" i="1"/>
  <c r="K426" i="1"/>
  <c r="J426" i="1"/>
  <c r="I426" i="1"/>
  <c r="H426" i="1"/>
  <c r="G426" i="1"/>
  <c r="K425" i="1"/>
  <c r="J425" i="1"/>
  <c r="I425" i="1"/>
  <c r="H425" i="1"/>
  <c r="G425" i="1"/>
  <c r="K424" i="1"/>
  <c r="J424" i="1"/>
  <c r="I424" i="1"/>
  <c r="H424" i="1"/>
  <c r="G424" i="1"/>
  <c r="K423" i="1"/>
  <c r="J423" i="1"/>
  <c r="I423" i="1"/>
  <c r="H423" i="1"/>
  <c r="G423" i="1"/>
  <c r="K422" i="1"/>
  <c r="J422" i="1"/>
  <c r="I422" i="1"/>
  <c r="H422" i="1"/>
  <c r="G422" i="1"/>
  <c r="K421" i="1"/>
  <c r="J421" i="1"/>
  <c r="I421" i="1"/>
  <c r="H421" i="1"/>
  <c r="G421" i="1"/>
  <c r="K420" i="1"/>
  <c r="J420" i="1"/>
  <c r="I420" i="1"/>
  <c r="H420" i="1"/>
  <c r="G420" i="1"/>
  <c r="K419" i="1"/>
  <c r="J419" i="1"/>
  <c r="I419" i="1"/>
  <c r="H419" i="1"/>
  <c r="G419" i="1"/>
  <c r="K418" i="1"/>
  <c r="J418" i="1"/>
  <c r="I418" i="1"/>
  <c r="H418" i="1"/>
  <c r="G418" i="1"/>
  <c r="K417" i="1"/>
  <c r="J417" i="1"/>
  <c r="I417" i="1"/>
  <c r="H417" i="1"/>
  <c r="G417" i="1"/>
  <c r="K416" i="1"/>
  <c r="J416" i="1"/>
  <c r="I416" i="1"/>
  <c r="H416" i="1"/>
  <c r="G416" i="1"/>
  <c r="K415" i="1"/>
  <c r="J415" i="1"/>
  <c r="I415" i="1"/>
  <c r="H415" i="1"/>
  <c r="G415" i="1"/>
  <c r="K414" i="1"/>
  <c r="J414" i="1"/>
  <c r="I414" i="1"/>
  <c r="H414" i="1"/>
  <c r="G414" i="1"/>
  <c r="K413" i="1"/>
  <c r="J413" i="1"/>
  <c r="I413" i="1"/>
  <c r="H413" i="1"/>
  <c r="G413" i="1"/>
  <c r="K412" i="1"/>
  <c r="J412" i="1"/>
  <c r="I412" i="1"/>
  <c r="H412" i="1"/>
  <c r="G412" i="1"/>
  <c r="K411" i="1"/>
  <c r="J411" i="1"/>
  <c r="I411" i="1"/>
  <c r="H411" i="1"/>
  <c r="G411" i="1"/>
  <c r="K410" i="1"/>
  <c r="J410" i="1"/>
  <c r="I410" i="1"/>
  <c r="H410" i="1"/>
  <c r="G410" i="1"/>
  <c r="K409" i="1"/>
  <c r="J409" i="1"/>
  <c r="I409" i="1"/>
  <c r="H409" i="1"/>
  <c r="G409" i="1"/>
  <c r="K408" i="1"/>
  <c r="J408" i="1"/>
  <c r="I408" i="1"/>
  <c r="H408" i="1"/>
  <c r="G408" i="1"/>
  <c r="K407" i="1"/>
  <c r="J407" i="1"/>
  <c r="I407" i="1"/>
  <c r="H407" i="1"/>
  <c r="G407" i="1"/>
  <c r="K406" i="1"/>
  <c r="J406" i="1"/>
  <c r="I406" i="1"/>
  <c r="H406" i="1"/>
  <c r="G406" i="1"/>
  <c r="K405" i="1"/>
  <c r="J405" i="1"/>
  <c r="I405" i="1"/>
  <c r="H405" i="1"/>
  <c r="G405" i="1"/>
  <c r="K404" i="1"/>
  <c r="J404" i="1"/>
  <c r="I404" i="1"/>
  <c r="H404" i="1"/>
  <c r="G404" i="1"/>
  <c r="K403" i="1"/>
  <c r="J403" i="1"/>
  <c r="I403" i="1"/>
  <c r="H403" i="1"/>
  <c r="G403" i="1"/>
  <c r="K402" i="1"/>
  <c r="J402" i="1"/>
  <c r="I402" i="1"/>
  <c r="H402" i="1"/>
  <c r="G402" i="1"/>
  <c r="K401" i="1"/>
  <c r="J401" i="1"/>
  <c r="I401" i="1"/>
  <c r="H401" i="1"/>
  <c r="G401" i="1"/>
  <c r="K400" i="1"/>
  <c r="J400" i="1"/>
  <c r="I400" i="1"/>
  <c r="H400" i="1"/>
  <c r="G400" i="1"/>
  <c r="K399" i="1"/>
  <c r="J399" i="1"/>
  <c r="I399" i="1"/>
  <c r="H399" i="1"/>
  <c r="G399" i="1"/>
  <c r="K398" i="1"/>
  <c r="J398" i="1"/>
  <c r="I398" i="1"/>
  <c r="H398" i="1"/>
  <c r="G398" i="1"/>
  <c r="K397" i="1"/>
  <c r="J397" i="1"/>
  <c r="I397" i="1"/>
  <c r="H397" i="1"/>
  <c r="G397" i="1"/>
  <c r="K396" i="1"/>
  <c r="J396" i="1"/>
  <c r="I396" i="1"/>
  <c r="H396" i="1"/>
  <c r="G396" i="1"/>
  <c r="K395" i="1"/>
  <c r="J395" i="1"/>
  <c r="I395" i="1"/>
  <c r="H395" i="1"/>
  <c r="G395" i="1"/>
  <c r="K394" i="1"/>
  <c r="J394" i="1"/>
  <c r="I394" i="1"/>
  <c r="H394" i="1"/>
  <c r="G394" i="1"/>
  <c r="K393" i="1"/>
  <c r="J393" i="1"/>
  <c r="I393" i="1"/>
  <c r="H393" i="1"/>
  <c r="G393" i="1"/>
  <c r="K392" i="1"/>
  <c r="J392" i="1"/>
  <c r="I392" i="1"/>
  <c r="H392" i="1"/>
  <c r="G392" i="1"/>
  <c r="K391" i="1"/>
  <c r="J391" i="1"/>
  <c r="I391" i="1"/>
  <c r="H391" i="1"/>
  <c r="G391" i="1"/>
  <c r="K390" i="1"/>
  <c r="J390" i="1"/>
  <c r="I390" i="1"/>
  <c r="H390" i="1"/>
  <c r="G390" i="1"/>
  <c r="K389" i="1"/>
  <c r="J389" i="1"/>
  <c r="I389" i="1"/>
  <c r="H389" i="1"/>
  <c r="G389" i="1"/>
  <c r="K388" i="1"/>
  <c r="J388" i="1"/>
  <c r="I388" i="1"/>
  <c r="H388" i="1"/>
  <c r="G388" i="1"/>
  <c r="K387" i="1"/>
  <c r="J387" i="1"/>
  <c r="I387" i="1"/>
  <c r="H387" i="1"/>
  <c r="G387" i="1"/>
  <c r="K386" i="1"/>
  <c r="J386" i="1"/>
  <c r="I386" i="1"/>
  <c r="H386" i="1"/>
  <c r="G386" i="1"/>
  <c r="K385" i="1"/>
  <c r="J385" i="1"/>
  <c r="I385" i="1"/>
  <c r="H385" i="1"/>
  <c r="G385" i="1"/>
  <c r="K384" i="1"/>
  <c r="J384" i="1"/>
  <c r="I384" i="1"/>
  <c r="H384" i="1"/>
  <c r="G384" i="1"/>
  <c r="K383" i="1"/>
  <c r="J383" i="1"/>
  <c r="I383" i="1"/>
  <c r="H383" i="1"/>
  <c r="G383" i="1"/>
  <c r="K382" i="1"/>
  <c r="J382" i="1"/>
  <c r="I382" i="1"/>
  <c r="H382" i="1"/>
  <c r="G382" i="1"/>
  <c r="K381" i="1"/>
  <c r="J381" i="1"/>
  <c r="I381" i="1"/>
  <c r="H381" i="1"/>
  <c r="G381" i="1"/>
  <c r="K380" i="1"/>
  <c r="J380" i="1"/>
  <c r="I380" i="1"/>
  <c r="H380" i="1"/>
  <c r="G380" i="1"/>
  <c r="K379" i="1"/>
  <c r="J379" i="1"/>
  <c r="I379" i="1"/>
  <c r="H379" i="1"/>
  <c r="G379" i="1"/>
  <c r="K378" i="1"/>
  <c r="J378" i="1"/>
  <c r="I378" i="1"/>
  <c r="H378" i="1"/>
  <c r="G378" i="1"/>
  <c r="K377" i="1"/>
  <c r="J377" i="1"/>
  <c r="I377" i="1"/>
  <c r="H377" i="1"/>
  <c r="G377" i="1"/>
  <c r="K376" i="1"/>
  <c r="J376" i="1"/>
  <c r="I376" i="1"/>
  <c r="H376" i="1"/>
  <c r="G376" i="1"/>
  <c r="K375" i="1"/>
  <c r="J375" i="1"/>
  <c r="I375" i="1"/>
  <c r="H375" i="1"/>
  <c r="G375" i="1"/>
  <c r="K374" i="1"/>
  <c r="J374" i="1"/>
  <c r="I374" i="1"/>
  <c r="H374" i="1"/>
  <c r="G374" i="1"/>
  <c r="K373" i="1"/>
  <c r="J373" i="1"/>
  <c r="I373" i="1"/>
  <c r="H373" i="1"/>
  <c r="G373" i="1"/>
  <c r="K372" i="1"/>
  <c r="J372" i="1"/>
  <c r="I372" i="1"/>
  <c r="H372" i="1"/>
  <c r="G372" i="1"/>
  <c r="K371" i="1"/>
  <c r="J371" i="1"/>
  <c r="I371" i="1"/>
  <c r="H371" i="1"/>
  <c r="G371" i="1"/>
  <c r="K370" i="1"/>
  <c r="J370" i="1"/>
  <c r="I370" i="1"/>
  <c r="H370" i="1"/>
  <c r="G370" i="1"/>
  <c r="K369" i="1"/>
  <c r="J369" i="1"/>
  <c r="I369" i="1"/>
  <c r="H369" i="1"/>
  <c r="G369" i="1"/>
  <c r="K368" i="1"/>
  <c r="J368" i="1"/>
  <c r="I368" i="1"/>
  <c r="H368" i="1"/>
  <c r="G368" i="1"/>
  <c r="K367" i="1"/>
  <c r="J367" i="1"/>
  <c r="I367" i="1"/>
  <c r="H367" i="1"/>
  <c r="G367" i="1"/>
  <c r="K366" i="1"/>
  <c r="J366" i="1"/>
  <c r="I366" i="1"/>
  <c r="H366" i="1"/>
  <c r="G366" i="1"/>
  <c r="K365" i="1"/>
  <c r="J365" i="1"/>
  <c r="I365" i="1"/>
  <c r="H365" i="1"/>
  <c r="G365" i="1"/>
  <c r="K364" i="1"/>
  <c r="J364" i="1"/>
  <c r="I364" i="1"/>
  <c r="H364" i="1"/>
  <c r="G364" i="1"/>
  <c r="K363" i="1"/>
  <c r="J363" i="1"/>
  <c r="I363" i="1"/>
  <c r="H363" i="1"/>
  <c r="G363" i="1"/>
  <c r="K362" i="1"/>
  <c r="J362" i="1"/>
  <c r="I362" i="1"/>
  <c r="H362" i="1"/>
  <c r="G362" i="1"/>
  <c r="K361" i="1"/>
  <c r="J361" i="1"/>
  <c r="I361" i="1"/>
  <c r="H361" i="1"/>
  <c r="G361" i="1"/>
  <c r="K360" i="1"/>
  <c r="J360" i="1"/>
  <c r="I360" i="1"/>
  <c r="H360" i="1"/>
  <c r="G360" i="1"/>
  <c r="K359" i="1"/>
  <c r="J359" i="1"/>
  <c r="I359" i="1"/>
  <c r="H359" i="1"/>
  <c r="G359" i="1"/>
  <c r="K358" i="1"/>
  <c r="J358" i="1"/>
  <c r="I358" i="1"/>
  <c r="H358" i="1"/>
  <c r="G358" i="1"/>
  <c r="K357" i="1"/>
  <c r="J357" i="1"/>
  <c r="I357" i="1"/>
  <c r="H357" i="1"/>
  <c r="G357" i="1"/>
  <c r="K356" i="1"/>
  <c r="J356" i="1"/>
  <c r="I356" i="1"/>
  <c r="H356" i="1"/>
  <c r="G356" i="1"/>
  <c r="K355" i="1"/>
  <c r="J355" i="1"/>
  <c r="I355" i="1"/>
  <c r="H355" i="1"/>
  <c r="G355" i="1"/>
  <c r="K354" i="1"/>
  <c r="J354" i="1"/>
  <c r="I354" i="1"/>
  <c r="H354" i="1"/>
  <c r="G354" i="1"/>
  <c r="K353" i="1"/>
  <c r="J353" i="1"/>
  <c r="I353" i="1"/>
  <c r="H353" i="1"/>
  <c r="G353" i="1"/>
  <c r="K352" i="1"/>
  <c r="J352" i="1"/>
  <c r="I352" i="1"/>
  <c r="H352" i="1"/>
  <c r="G352" i="1"/>
  <c r="K351" i="1"/>
  <c r="J351" i="1"/>
  <c r="I351" i="1"/>
  <c r="H351" i="1"/>
  <c r="G351" i="1"/>
  <c r="K350" i="1"/>
  <c r="J350" i="1"/>
  <c r="I350" i="1"/>
  <c r="H350" i="1"/>
  <c r="G350" i="1"/>
  <c r="K349" i="1"/>
  <c r="J349" i="1"/>
  <c r="I349" i="1"/>
  <c r="H349" i="1"/>
  <c r="G349" i="1"/>
  <c r="K348" i="1"/>
  <c r="J348" i="1"/>
  <c r="I348" i="1"/>
  <c r="H348" i="1"/>
  <c r="G348" i="1"/>
  <c r="K347" i="1"/>
  <c r="J347" i="1"/>
  <c r="I347" i="1"/>
  <c r="H347" i="1"/>
  <c r="G347" i="1"/>
  <c r="K346" i="1"/>
  <c r="J346" i="1"/>
  <c r="I346" i="1"/>
  <c r="H346" i="1"/>
  <c r="G346" i="1"/>
  <c r="K345" i="1"/>
  <c r="J345" i="1"/>
  <c r="I345" i="1"/>
  <c r="H345" i="1"/>
  <c r="G345" i="1"/>
  <c r="K344" i="1"/>
  <c r="J344" i="1"/>
  <c r="I344" i="1"/>
  <c r="H344" i="1"/>
  <c r="G344" i="1"/>
  <c r="K343" i="1"/>
  <c r="J343" i="1"/>
  <c r="I343" i="1"/>
  <c r="H343" i="1"/>
  <c r="G343" i="1"/>
  <c r="K342" i="1"/>
  <c r="J342" i="1"/>
  <c r="I342" i="1"/>
  <c r="H342" i="1"/>
  <c r="G342" i="1"/>
  <c r="K341" i="1"/>
  <c r="J341" i="1"/>
  <c r="I341" i="1"/>
  <c r="H341" i="1"/>
  <c r="G341" i="1"/>
  <c r="K340" i="1"/>
  <c r="J340" i="1"/>
  <c r="I340" i="1"/>
  <c r="H340" i="1"/>
  <c r="G340" i="1"/>
  <c r="K339" i="1"/>
  <c r="J339" i="1"/>
  <c r="I339" i="1"/>
  <c r="H339" i="1"/>
  <c r="G339" i="1"/>
  <c r="K338" i="1"/>
  <c r="J338" i="1"/>
  <c r="I338" i="1"/>
  <c r="H338" i="1"/>
  <c r="G338" i="1"/>
  <c r="K337" i="1"/>
  <c r="J337" i="1"/>
  <c r="I337" i="1"/>
  <c r="H337" i="1"/>
  <c r="G337" i="1"/>
  <c r="K336" i="1"/>
  <c r="J336" i="1"/>
  <c r="I336" i="1"/>
  <c r="H336" i="1"/>
  <c r="G336" i="1"/>
  <c r="K335" i="1"/>
  <c r="J335" i="1"/>
  <c r="I335" i="1"/>
  <c r="H335" i="1"/>
  <c r="G335" i="1"/>
  <c r="K334" i="1"/>
  <c r="J334" i="1"/>
  <c r="I334" i="1"/>
  <c r="H334" i="1"/>
  <c r="G334" i="1"/>
  <c r="K333" i="1"/>
  <c r="J333" i="1"/>
  <c r="I333" i="1"/>
  <c r="H333" i="1"/>
  <c r="G333" i="1"/>
  <c r="K332" i="1"/>
  <c r="J332" i="1"/>
  <c r="I332" i="1"/>
  <c r="H332" i="1"/>
  <c r="G332" i="1"/>
  <c r="K331" i="1"/>
  <c r="J331" i="1"/>
  <c r="I331" i="1"/>
  <c r="H331" i="1"/>
  <c r="G331" i="1"/>
  <c r="K330" i="1"/>
  <c r="J330" i="1"/>
  <c r="I330" i="1"/>
  <c r="H330" i="1"/>
  <c r="G330" i="1"/>
  <c r="K329" i="1"/>
  <c r="J329" i="1"/>
  <c r="I329" i="1"/>
  <c r="H329" i="1"/>
  <c r="G329" i="1"/>
  <c r="K328" i="1"/>
  <c r="J328" i="1"/>
  <c r="I328" i="1"/>
  <c r="H328" i="1"/>
  <c r="G328" i="1"/>
  <c r="K327" i="1"/>
  <c r="J327" i="1"/>
  <c r="I327" i="1"/>
  <c r="H327" i="1"/>
  <c r="G327" i="1"/>
  <c r="K326" i="1"/>
  <c r="J326" i="1"/>
  <c r="I326" i="1"/>
  <c r="H326" i="1"/>
  <c r="G326" i="1"/>
  <c r="K325" i="1"/>
  <c r="J325" i="1"/>
  <c r="I325" i="1"/>
  <c r="H325" i="1"/>
  <c r="G325" i="1"/>
  <c r="K324" i="1"/>
  <c r="J324" i="1"/>
  <c r="I324" i="1"/>
  <c r="H324" i="1"/>
  <c r="G324" i="1"/>
  <c r="K323" i="1"/>
  <c r="J323" i="1"/>
  <c r="I323" i="1"/>
  <c r="H323" i="1"/>
  <c r="G323" i="1"/>
  <c r="K322" i="1"/>
  <c r="J322" i="1"/>
  <c r="I322" i="1"/>
  <c r="H322" i="1"/>
  <c r="G322" i="1"/>
  <c r="K321" i="1"/>
  <c r="J321" i="1"/>
  <c r="I321" i="1"/>
  <c r="H321" i="1"/>
  <c r="G321" i="1"/>
  <c r="K320" i="1"/>
  <c r="J320" i="1"/>
  <c r="I320" i="1"/>
  <c r="H320" i="1"/>
  <c r="G320" i="1"/>
  <c r="K319" i="1"/>
  <c r="J319" i="1"/>
  <c r="I319" i="1"/>
  <c r="H319" i="1"/>
  <c r="G319" i="1"/>
  <c r="K318" i="1"/>
  <c r="J318" i="1"/>
  <c r="I318" i="1"/>
  <c r="H318" i="1"/>
  <c r="G318" i="1"/>
  <c r="K317" i="1"/>
  <c r="J317" i="1"/>
  <c r="I317" i="1"/>
  <c r="H317" i="1"/>
  <c r="G317" i="1"/>
  <c r="K316" i="1"/>
  <c r="J316" i="1"/>
  <c r="I316" i="1"/>
  <c r="H316" i="1"/>
  <c r="G316" i="1"/>
  <c r="K315" i="1"/>
  <c r="J315" i="1"/>
  <c r="I315" i="1"/>
  <c r="H315" i="1"/>
  <c r="G315" i="1"/>
  <c r="K314" i="1"/>
  <c r="J314" i="1"/>
  <c r="I314" i="1"/>
  <c r="H314" i="1"/>
  <c r="G314" i="1"/>
  <c r="K313" i="1"/>
  <c r="J313" i="1"/>
  <c r="I313" i="1"/>
  <c r="H313" i="1"/>
  <c r="G313" i="1"/>
  <c r="K312" i="1"/>
  <c r="J312" i="1"/>
  <c r="I312" i="1"/>
  <c r="H312" i="1"/>
  <c r="G312" i="1"/>
  <c r="K311" i="1"/>
  <c r="J311" i="1"/>
  <c r="I311" i="1"/>
  <c r="H311" i="1"/>
  <c r="G311" i="1"/>
  <c r="K310" i="1"/>
  <c r="J310" i="1"/>
  <c r="I310" i="1"/>
  <c r="H310" i="1"/>
  <c r="G310" i="1"/>
  <c r="K309" i="1"/>
  <c r="J309" i="1"/>
  <c r="I309" i="1"/>
  <c r="H309" i="1"/>
  <c r="G309" i="1"/>
  <c r="K308" i="1"/>
  <c r="J308" i="1"/>
  <c r="I308" i="1"/>
  <c r="H308" i="1"/>
  <c r="G308" i="1"/>
  <c r="K307" i="1"/>
  <c r="J307" i="1"/>
  <c r="I307" i="1"/>
  <c r="H307" i="1"/>
  <c r="G307" i="1"/>
  <c r="K306" i="1"/>
  <c r="J306" i="1"/>
  <c r="I306" i="1"/>
  <c r="H306" i="1"/>
  <c r="G306" i="1"/>
  <c r="K305" i="1"/>
  <c r="J305" i="1"/>
  <c r="I305" i="1"/>
  <c r="H305" i="1"/>
  <c r="G305" i="1"/>
  <c r="K304" i="1"/>
  <c r="J304" i="1"/>
  <c r="I304" i="1"/>
  <c r="H304" i="1"/>
  <c r="G304" i="1"/>
  <c r="K303" i="1"/>
  <c r="J303" i="1"/>
  <c r="I303" i="1"/>
  <c r="H303" i="1"/>
  <c r="G303" i="1"/>
  <c r="K302" i="1"/>
  <c r="J302" i="1"/>
  <c r="I302" i="1"/>
  <c r="H302" i="1"/>
  <c r="G302" i="1"/>
  <c r="K301" i="1"/>
  <c r="J301" i="1"/>
  <c r="I301" i="1"/>
  <c r="H301" i="1"/>
  <c r="G301" i="1"/>
  <c r="K300" i="1"/>
  <c r="J300" i="1"/>
  <c r="I300" i="1"/>
  <c r="H300" i="1"/>
  <c r="G300" i="1"/>
  <c r="K299" i="1"/>
  <c r="J299" i="1"/>
  <c r="I299" i="1"/>
  <c r="H299" i="1"/>
  <c r="G299" i="1"/>
  <c r="K298" i="1"/>
  <c r="J298" i="1"/>
  <c r="I298" i="1"/>
  <c r="H298" i="1"/>
  <c r="G298" i="1"/>
  <c r="K297" i="1"/>
  <c r="J297" i="1"/>
  <c r="I297" i="1"/>
  <c r="H297" i="1"/>
  <c r="G297" i="1"/>
  <c r="K296" i="1"/>
  <c r="J296" i="1"/>
  <c r="I296" i="1"/>
  <c r="H296" i="1"/>
  <c r="G296" i="1"/>
  <c r="K295" i="1"/>
  <c r="J295" i="1"/>
  <c r="I295" i="1"/>
  <c r="H295" i="1"/>
  <c r="G295" i="1"/>
  <c r="K294" i="1"/>
  <c r="J294" i="1"/>
  <c r="I294" i="1"/>
  <c r="H294" i="1"/>
  <c r="G294" i="1"/>
  <c r="K293" i="1"/>
  <c r="J293" i="1"/>
  <c r="I293" i="1"/>
  <c r="H293" i="1"/>
  <c r="G293" i="1"/>
  <c r="K292" i="1"/>
  <c r="J292" i="1"/>
  <c r="I292" i="1"/>
  <c r="H292" i="1"/>
  <c r="G292" i="1"/>
  <c r="K291" i="1"/>
  <c r="J291" i="1"/>
  <c r="I291" i="1"/>
  <c r="H291" i="1"/>
  <c r="G291" i="1"/>
  <c r="K290" i="1"/>
  <c r="J290" i="1"/>
  <c r="I290" i="1"/>
  <c r="H290" i="1"/>
  <c r="G290" i="1"/>
  <c r="K289" i="1"/>
  <c r="J289" i="1"/>
  <c r="I289" i="1"/>
  <c r="H289" i="1"/>
  <c r="G289" i="1"/>
  <c r="K288" i="1"/>
  <c r="J288" i="1"/>
  <c r="I288" i="1"/>
  <c r="H288" i="1"/>
  <c r="G288" i="1"/>
  <c r="K287" i="1"/>
  <c r="J287" i="1"/>
  <c r="I287" i="1"/>
  <c r="H287" i="1"/>
  <c r="G287" i="1"/>
  <c r="K286" i="1"/>
  <c r="J286" i="1"/>
  <c r="I286" i="1"/>
  <c r="H286" i="1"/>
  <c r="G286" i="1"/>
  <c r="K285" i="1"/>
  <c r="J285" i="1"/>
  <c r="I285" i="1"/>
  <c r="H285" i="1"/>
  <c r="G285" i="1"/>
  <c r="K284" i="1"/>
  <c r="J284" i="1"/>
  <c r="I284" i="1"/>
  <c r="H284" i="1"/>
  <c r="G284" i="1"/>
  <c r="K283" i="1"/>
  <c r="J283" i="1"/>
  <c r="I283" i="1"/>
  <c r="H283" i="1"/>
  <c r="G283" i="1"/>
  <c r="K282" i="1"/>
  <c r="J282" i="1"/>
  <c r="I282" i="1"/>
  <c r="H282" i="1"/>
  <c r="G282" i="1"/>
  <c r="K281" i="1"/>
  <c r="J281" i="1"/>
  <c r="I281" i="1"/>
  <c r="H281" i="1"/>
  <c r="G281" i="1"/>
  <c r="K280" i="1"/>
  <c r="J280" i="1"/>
  <c r="I280" i="1"/>
  <c r="H280" i="1"/>
  <c r="G280" i="1"/>
  <c r="K279" i="1"/>
  <c r="J279" i="1"/>
  <c r="I279" i="1"/>
  <c r="H279" i="1"/>
  <c r="G279" i="1"/>
  <c r="K278" i="1"/>
  <c r="J278" i="1"/>
  <c r="I278" i="1"/>
  <c r="H278" i="1"/>
  <c r="G278" i="1"/>
  <c r="K277" i="1"/>
  <c r="J277" i="1"/>
  <c r="I277" i="1"/>
  <c r="H277" i="1"/>
  <c r="G277" i="1"/>
  <c r="K276" i="1"/>
  <c r="J276" i="1"/>
  <c r="I276" i="1"/>
  <c r="H276" i="1"/>
  <c r="G276" i="1"/>
  <c r="K275" i="1"/>
  <c r="J275" i="1"/>
  <c r="I275" i="1"/>
  <c r="H275" i="1"/>
  <c r="G275" i="1"/>
  <c r="K274" i="1"/>
  <c r="J274" i="1"/>
  <c r="I274" i="1"/>
  <c r="H274" i="1"/>
  <c r="G274" i="1"/>
  <c r="K273" i="1"/>
  <c r="J273" i="1"/>
  <c r="I273" i="1"/>
  <c r="H273" i="1"/>
  <c r="G273" i="1"/>
  <c r="K272" i="1"/>
  <c r="J272" i="1"/>
  <c r="I272" i="1"/>
  <c r="H272" i="1"/>
  <c r="G272" i="1"/>
  <c r="K271" i="1"/>
  <c r="J271" i="1"/>
  <c r="I271" i="1"/>
  <c r="H271" i="1"/>
  <c r="G271" i="1"/>
  <c r="K270" i="1"/>
  <c r="J270" i="1"/>
  <c r="I270" i="1"/>
  <c r="H270" i="1"/>
  <c r="G270" i="1"/>
  <c r="K269" i="1"/>
  <c r="J269" i="1"/>
  <c r="I269" i="1"/>
  <c r="H269" i="1"/>
  <c r="G269" i="1"/>
  <c r="K268" i="1"/>
  <c r="J268" i="1"/>
  <c r="I268" i="1"/>
  <c r="H268" i="1"/>
  <c r="G268" i="1"/>
  <c r="K267" i="1"/>
  <c r="J267" i="1"/>
  <c r="I267" i="1"/>
  <c r="H267" i="1"/>
  <c r="G267" i="1"/>
  <c r="K266" i="1"/>
  <c r="J266" i="1"/>
  <c r="I266" i="1"/>
  <c r="H266" i="1"/>
  <c r="G266" i="1"/>
  <c r="K265" i="1"/>
  <c r="J265" i="1"/>
  <c r="I265" i="1"/>
  <c r="H265" i="1"/>
  <c r="G265" i="1"/>
  <c r="K264" i="1"/>
  <c r="J264" i="1"/>
  <c r="I264" i="1"/>
  <c r="H264" i="1"/>
  <c r="G264" i="1"/>
  <c r="K263" i="1"/>
  <c r="J263" i="1"/>
  <c r="I263" i="1"/>
  <c r="H263" i="1"/>
  <c r="G263" i="1"/>
  <c r="K262" i="1"/>
  <c r="J262" i="1"/>
  <c r="I262" i="1"/>
  <c r="H262" i="1"/>
  <c r="G262" i="1"/>
  <c r="K261" i="1"/>
  <c r="J261" i="1"/>
  <c r="I261" i="1"/>
  <c r="H261" i="1"/>
  <c r="G261" i="1"/>
  <c r="K260" i="1"/>
  <c r="J260" i="1"/>
  <c r="I260" i="1"/>
  <c r="H260" i="1"/>
  <c r="G260" i="1"/>
  <c r="K259" i="1"/>
  <c r="J259" i="1"/>
  <c r="I259" i="1"/>
  <c r="H259" i="1"/>
  <c r="G259" i="1"/>
  <c r="K258" i="1"/>
  <c r="J258" i="1"/>
  <c r="I258" i="1"/>
  <c r="H258" i="1"/>
  <c r="G258" i="1"/>
  <c r="K257" i="1"/>
  <c r="J257" i="1"/>
  <c r="I257" i="1"/>
  <c r="H257" i="1"/>
  <c r="G257" i="1"/>
  <c r="K256" i="1"/>
  <c r="J256" i="1"/>
  <c r="I256" i="1"/>
  <c r="H256" i="1"/>
  <c r="G256" i="1"/>
  <c r="K255" i="1"/>
  <c r="J255" i="1"/>
  <c r="I255" i="1"/>
  <c r="H255" i="1"/>
  <c r="G255" i="1"/>
  <c r="K254" i="1"/>
  <c r="J254" i="1"/>
  <c r="I254" i="1"/>
  <c r="H254" i="1"/>
  <c r="G254" i="1"/>
  <c r="K253" i="1"/>
  <c r="J253" i="1"/>
  <c r="I253" i="1"/>
  <c r="H253" i="1"/>
  <c r="G253" i="1"/>
  <c r="K252" i="1"/>
  <c r="J252" i="1"/>
  <c r="I252" i="1"/>
  <c r="H252" i="1"/>
  <c r="G252" i="1"/>
  <c r="K251" i="1"/>
  <c r="J251" i="1"/>
  <c r="I251" i="1"/>
  <c r="H251" i="1"/>
  <c r="G251" i="1"/>
  <c r="K250" i="1"/>
  <c r="J250" i="1"/>
  <c r="I250" i="1"/>
  <c r="H250" i="1"/>
  <c r="G250" i="1"/>
  <c r="K249" i="1"/>
  <c r="J249" i="1"/>
  <c r="I249" i="1"/>
  <c r="H249" i="1"/>
  <c r="G249" i="1"/>
  <c r="K248" i="1"/>
  <c r="J248" i="1"/>
  <c r="I248" i="1"/>
  <c r="H248" i="1"/>
  <c r="G248" i="1"/>
  <c r="K247" i="1"/>
  <c r="J247" i="1"/>
  <c r="I247" i="1"/>
  <c r="H247" i="1"/>
  <c r="G247" i="1"/>
  <c r="K246" i="1"/>
  <c r="J246" i="1"/>
  <c r="I246" i="1"/>
  <c r="H246" i="1"/>
  <c r="G246" i="1"/>
  <c r="K245" i="1"/>
  <c r="J245" i="1"/>
  <c r="I245" i="1"/>
  <c r="H245" i="1"/>
  <c r="G245" i="1"/>
  <c r="K244" i="1"/>
  <c r="J244" i="1"/>
  <c r="I244" i="1"/>
  <c r="H244" i="1"/>
  <c r="G244" i="1"/>
  <c r="K243" i="1"/>
  <c r="J243" i="1"/>
  <c r="I243" i="1"/>
  <c r="H243" i="1"/>
  <c r="G243" i="1"/>
  <c r="K242" i="1"/>
  <c r="J242" i="1"/>
  <c r="I242" i="1"/>
  <c r="H242" i="1"/>
  <c r="G242" i="1"/>
  <c r="K241" i="1"/>
  <c r="J241" i="1"/>
  <c r="I241" i="1"/>
  <c r="H241" i="1"/>
  <c r="G241" i="1"/>
  <c r="K240" i="1"/>
  <c r="J240" i="1"/>
  <c r="I240" i="1"/>
  <c r="H240" i="1"/>
  <c r="G240" i="1"/>
  <c r="K239" i="1"/>
  <c r="J239" i="1"/>
  <c r="I239" i="1"/>
  <c r="H239" i="1"/>
  <c r="G239" i="1"/>
  <c r="K238" i="1"/>
  <c r="J238" i="1"/>
  <c r="I238" i="1"/>
  <c r="H238" i="1"/>
  <c r="G238" i="1"/>
  <c r="K237" i="1"/>
  <c r="J237" i="1"/>
  <c r="I237" i="1"/>
  <c r="H237" i="1"/>
  <c r="G237" i="1"/>
  <c r="K236" i="1"/>
  <c r="J236" i="1"/>
  <c r="I236" i="1"/>
  <c r="H236" i="1"/>
  <c r="G236" i="1"/>
  <c r="K235" i="1"/>
  <c r="J235" i="1"/>
  <c r="I235" i="1"/>
  <c r="H235" i="1"/>
  <c r="G235" i="1"/>
  <c r="K234" i="1"/>
  <c r="J234" i="1"/>
  <c r="I234" i="1"/>
  <c r="H234" i="1"/>
  <c r="G234" i="1"/>
  <c r="K233" i="1"/>
  <c r="J233" i="1"/>
  <c r="I233" i="1"/>
  <c r="H233" i="1"/>
  <c r="G233" i="1"/>
  <c r="K232" i="1"/>
  <c r="J232" i="1"/>
  <c r="I232" i="1"/>
  <c r="H232" i="1"/>
  <c r="G232" i="1"/>
  <c r="K231" i="1"/>
  <c r="J231" i="1"/>
  <c r="I231" i="1"/>
  <c r="H231" i="1"/>
  <c r="G231" i="1"/>
  <c r="K230" i="1"/>
  <c r="J230" i="1"/>
  <c r="I230" i="1"/>
  <c r="H230" i="1"/>
  <c r="G230" i="1"/>
  <c r="K229" i="1"/>
  <c r="J229" i="1"/>
  <c r="I229" i="1"/>
  <c r="H229" i="1"/>
  <c r="G229" i="1"/>
  <c r="K228" i="1"/>
  <c r="J228" i="1"/>
  <c r="I228" i="1"/>
  <c r="H228" i="1"/>
  <c r="G228" i="1"/>
  <c r="K227" i="1"/>
  <c r="J227" i="1"/>
  <c r="I227" i="1"/>
  <c r="H227" i="1"/>
  <c r="G227" i="1"/>
  <c r="K226" i="1"/>
  <c r="J226" i="1"/>
  <c r="I226" i="1"/>
  <c r="H226" i="1"/>
  <c r="G226" i="1"/>
  <c r="K225" i="1"/>
  <c r="J225" i="1"/>
  <c r="I225" i="1"/>
  <c r="H225" i="1"/>
  <c r="G225" i="1"/>
  <c r="K224" i="1"/>
  <c r="J224" i="1"/>
  <c r="I224" i="1"/>
  <c r="H224" i="1"/>
  <c r="G224" i="1"/>
  <c r="K223" i="1"/>
  <c r="J223" i="1"/>
  <c r="I223" i="1"/>
  <c r="H223" i="1"/>
  <c r="G223" i="1"/>
  <c r="K222" i="1"/>
  <c r="J222" i="1"/>
  <c r="I222" i="1"/>
  <c r="H222" i="1"/>
  <c r="G222" i="1"/>
  <c r="K221" i="1"/>
  <c r="J221" i="1"/>
  <c r="I221" i="1"/>
  <c r="H221" i="1"/>
  <c r="G221" i="1"/>
  <c r="K220" i="1"/>
  <c r="J220" i="1"/>
  <c r="I220" i="1"/>
  <c r="H220" i="1"/>
  <c r="G220" i="1"/>
  <c r="K219" i="1"/>
  <c r="J219" i="1"/>
  <c r="I219" i="1"/>
  <c r="H219" i="1"/>
  <c r="G219" i="1"/>
  <c r="K218" i="1"/>
  <c r="J218" i="1"/>
  <c r="I218" i="1"/>
  <c r="H218" i="1"/>
  <c r="G218" i="1"/>
  <c r="K217" i="1"/>
  <c r="J217" i="1"/>
  <c r="I217" i="1"/>
  <c r="H217" i="1"/>
  <c r="G217" i="1"/>
  <c r="K216" i="1"/>
  <c r="J216" i="1"/>
  <c r="I216" i="1"/>
  <c r="H216" i="1"/>
  <c r="G216" i="1"/>
  <c r="K215" i="1"/>
  <c r="J215" i="1"/>
  <c r="I215" i="1"/>
  <c r="H215" i="1"/>
  <c r="G215" i="1"/>
  <c r="K214" i="1"/>
  <c r="J214" i="1"/>
  <c r="I214" i="1"/>
  <c r="H214" i="1"/>
  <c r="G214" i="1"/>
  <c r="K213" i="1"/>
  <c r="J213" i="1"/>
  <c r="I213" i="1"/>
  <c r="H213" i="1"/>
  <c r="G213" i="1"/>
  <c r="K212" i="1"/>
  <c r="J212" i="1"/>
  <c r="I212" i="1"/>
  <c r="H212" i="1"/>
  <c r="G212" i="1"/>
  <c r="K211" i="1"/>
  <c r="J211" i="1"/>
  <c r="I211" i="1"/>
  <c r="H211" i="1"/>
  <c r="G211" i="1"/>
  <c r="K210" i="1"/>
  <c r="J210" i="1"/>
  <c r="I210" i="1"/>
  <c r="H210" i="1"/>
  <c r="G210" i="1"/>
  <c r="K209" i="1"/>
  <c r="J209" i="1"/>
  <c r="I209" i="1"/>
  <c r="H209" i="1"/>
  <c r="G209" i="1"/>
  <c r="K208" i="1"/>
  <c r="J208" i="1"/>
  <c r="I208" i="1"/>
  <c r="H208" i="1"/>
  <c r="G208" i="1"/>
  <c r="K207" i="1"/>
  <c r="J207" i="1"/>
  <c r="I207" i="1"/>
  <c r="H207" i="1"/>
  <c r="G207" i="1"/>
  <c r="K206" i="1"/>
  <c r="J206" i="1"/>
  <c r="I206" i="1"/>
  <c r="H206" i="1"/>
  <c r="G206" i="1"/>
  <c r="K205" i="1"/>
  <c r="J205" i="1"/>
  <c r="I205" i="1"/>
  <c r="H205" i="1"/>
  <c r="G205" i="1"/>
  <c r="K204" i="1"/>
  <c r="J204" i="1"/>
  <c r="I204" i="1"/>
  <c r="H204" i="1"/>
  <c r="G204" i="1"/>
  <c r="K203" i="1"/>
  <c r="J203" i="1"/>
  <c r="I203" i="1"/>
  <c r="H203" i="1"/>
  <c r="G203" i="1"/>
  <c r="K202" i="1"/>
  <c r="J202" i="1"/>
  <c r="I202" i="1"/>
  <c r="H202" i="1"/>
  <c r="G202" i="1"/>
  <c r="K201" i="1"/>
  <c r="J201" i="1"/>
  <c r="I201" i="1"/>
  <c r="H201" i="1"/>
  <c r="G201" i="1"/>
  <c r="K200" i="1"/>
  <c r="J200" i="1"/>
  <c r="I200" i="1"/>
  <c r="H200" i="1"/>
  <c r="G200" i="1"/>
  <c r="K199" i="1"/>
  <c r="J199" i="1"/>
  <c r="I199" i="1"/>
  <c r="H199" i="1"/>
  <c r="G199" i="1"/>
  <c r="K198" i="1"/>
  <c r="J198" i="1"/>
  <c r="I198" i="1"/>
  <c r="H198" i="1"/>
  <c r="G198" i="1"/>
  <c r="K197" i="1"/>
  <c r="J197" i="1"/>
  <c r="I197" i="1"/>
  <c r="H197" i="1"/>
  <c r="G197" i="1"/>
  <c r="K196" i="1"/>
  <c r="J196" i="1"/>
  <c r="I196" i="1"/>
  <c r="H196" i="1"/>
  <c r="G196" i="1"/>
  <c r="K195" i="1"/>
  <c r="J195" i="1"/>
  <c r="I195" i="1"/>
  <c r="H195" i="1"/>
  <c r="G195" i="1"/>
  <c r="K194" i="1"/>
  <c r="J194" i="1"/>
  <c r="I194" i="1"/>
  <c r="H194" i="1"/>
  <c r="G194" i="1"/>
  <c r="K193" i="1"/>
  <c r="J193" i="1"/>
  <c r="I193" i="1"/>
  <c r="H193" i="1"/>
  <c r="G193" i="1"/>
  <c r="K192" i="1"/>
  <c r="J192" i="1"/>
  <c r="I192" i="1"/>
  <c r="H192" i="1"/>
  <c r="G192" i="1"/>
  <c r="K191" i="1"/>
  <c r="J191" i="1"/>
  <c r="I191" i="1"/>
  <c r="H191" i="1"/>
  <c r="G191" i="1"/>
  <c r="K190" i="1"/>
  <c r="J190" i="1"/>
  <c r="I190" i="1"/>
  <c r="H190" i="1"/>
  <c r="G190" i="1"/>
  <c r="K189" i="1"/>
  <c r="J189" i="1"/>
  <c r="I189" i="1"/>
  <c r="H189" i="1"/>
  <c r="G189" i="1"/>
  <c r="K188" i="1"/>
  <c r="J188" i="1"/>
  <c r="I188" i="1"/>
  <c r="H188" i="1"/>
  <c r="G188" i="1"/>
  <c r="K187" i="1"/>
  <c r="J187" i="1"/>
  <c r="I187" i="1"/>
  <c r="H187" i="1"/>
  <c r="G187" i="1"/>
  <c r="K186" i="1"/>
  <c r="J186" i="1"/>
  <c r="I186" i="1"/>
  <c r="H186" i="1"/>
  <c r="G186" i="1"/>
  <c r="K185" i="1"/>
  <c r="J185" i="1"/>
  <c r="I185" i="1"/>
  <c r="H185" i="1"/>
  <c r="G185" i="1"/>
  <c r="K184" i="1"/>
  <c r="J184" i="1"/>
  <c r="I184" i="1"/>
  <c r="H184" i="1"/>
  <c r="G184" i="1"/>
  <c r="K183" i="1"/>
  <c r="J183" i="1"/>
  <c r="I183" i="1"/>
  <c r="H183" i="1"/>
  <c r="G183" i="1"/>
  <c r="K182" i="1"/>
  <c r="J182" i="1"/>
  <c r="I182" i="1"/>
  <c r="H182" i="1"/>
  <c r="G182" i="1"/>
  <c r="K181" i="1"/>
  <c r="J181" i="1"/>
  <c r="I181" i="1"/>
  <c r="H181" i="1"/>
  <c r="G181" i="1"/>
  <c r="K180" i="1"/>
  <c r="J180" i="1"/>
  <c r="I180" i="1"/>
  <c r="H180" i="1"/>
  <c r="G180" i="1"/>
  <c r="K179" i="1"/>
  <c r="J179" i="1"/>
  <c r="I179" i="1"/>
  <c r="H179" i="1"/>
  <c r="G179" i="1"/>
  <c r="K178" i="1"/>
  <c r="J178" i="1"/>
  <c r="I178" i="1"/>
  <c r="H178" i="1"/>
  <c r="G178" i="1"/>
  <c r="K177" i="1"/>
  <c r="J177" i="1"/>
  <c r="I177" i="1"/>
  <c r="H177" i="1"/>
  <c r="G177" i="1"/>
  <c r="K176" i="1"/>
  <c r="J176" i="1"/>
  <c r="I176" i="1"/>
  <c r="H176" i="1"/>
  <c r="G176" i="1"/>
  <c r="K175" i="1"/>
  <c r="J175" i="1"/>
  <c r="I175" i="1"/>
  <c r="H175" i="1"/>
  <c r="G175" i="1"/>
  <c r="K174" i="1"/>
  <c r="J174" i="1"/>
  <c r="I174" i="1"/>
  <c r="H174" i="1"/>
  <c r="G174" i="1"/>
  <c r="K173" i="1"/>
  <c r="J173" i="1"/>
  <c r="I173" i="1"/>
  <c r="H173" i="1"/>
  <c r="G173" i="1"/>
  <c r="K172" i="1"/>
  <c r="J172" i="1"/>
  <c r="I172" i="1"/>
  <c r="H172" i="1"/>
  <c r="G172" i="1"/>
  <c r="K171" i="1"/>
  <c r="J171" i="1"/>
  <c r="I171" i="1"/>
  <c r="H171" i="1"/>
  <c r="G171" i="1"/>
  <c r="K170" i="1"/>
  <c r="J170" i="1"/>
  <c r="I170" i="1"/>
  <c r="H170" i="1"/>
  <c r="G170" i="1"/>
  <c r="K169" i="1"/>
  <c r="J169" i="1"/>
  <c r="I169" i="1"/>
  <c r="H169" i="1"/>
  <c r="G169" i="1"/>
  <c r="K168" i="1"/>
  <c r="J168" i="1"/>
  <c r="I168" i="1"/>
  <c r="H168" i="1"/>
  <c r="G168" i="1"/>
  <c r="K167" i="1"/>
  <c r="J167" i="1"/>
  <c r="I167" i="1"/>
  <c r="H167" i="1"/>
  <c r="G167" i="1"/>
  <c r="K166" i="1"/>
  <c r="J166" i="1"/>
  <c r="I166" i="1"/>
  <c r="H166" i="1"/>
  <c r="G166" i="1"/>
  <c r="K165" i="1"/>
  <c r="J165" i="1"/>
  <c r="I165" i="1"/>
  <c r="H165" i="1"/>
  <c r="G165" i="1"/>
  <c r="K164" i="1"/>
  <c r="J164" i="1"/>
  <c r="I164" i="1"/>
  <c r="H164" i="1"/>
  <c r="G164" i="1"/>
  <c r="K163" i="1"/>
  <c r="J163" i="1"/>
  <c r="I163" i="1"/>
  <c r="H163" i="1"/>
  <c r="G163" i="1"/>
  <c r="K162" i="1"/>
  <c r="J162" i="1"/>
  <c r="I162" i="1"/>
  <c r="H162" i="1"/>
  <c r="G162" i="1"/>
  <c r="K161" i="1"/>
  <c r="J161" i="1"/>
  <c r="I161" i="1"/>
  <c r="H161" i="1"/>
  <c r="G161" i="1"/>
  <c r="K160" i="1"/>
  <c r="J160" i="1"/>
  <c r="I160" i="1"/>
  <c r="H160" i="1"/>
  <c r="G160" i="1"/>
  <c r="K159" i="1"/>
  <c r="J159" i="1"/>
  <c r="I159" i="1"/>
  <c r="H159" i="1"/>
  <c r="G159" i="1"/>
  <c r="K158" i="1"/>
  <c r="J158" i="1"/>
  <c r="I158" i="1"/>
  <c r="H158" i="1"/>
  <c r="G158" i="1"/>
  <c r="K157" i="1"/>
  <c r="J157" i="1"/>
  <c r="I157" i="1"/>
  <c r="H157" i="1"/>
  <c r="G157" i="1"/>
  <c r="K156" i="1"/>
  <c r="J156" i="1"/>
  <c r="I156" i="1"/>
  <c r="H156" i="1"/>
  <c r="G156" i="1"/>
  <c r="K155" i="1"/>
  <c r="J155" i="1"/>
  <c r="I155" i="1"/>
  <c r="H155" i="1"/>
  <c r="G155" i="1"/>
  <c r="K154" i="1"/>
  <c r="J154" i="1"/>
  <c r="I154" i="1"/>
  <c r="H154" i="1"/>
  <c r="G154" i="1"/>
  <c r="K153" i="1"/>
  <c r="J153" i="1"/>
  <c r="I153" i="1"/>
  <c r="H153" i="1"/>
  <c r="G153" i="1"/>
  <c r="K152" i="1"/>
  <c r="J152" i="1"/>
  <c r="I152" i="1"/>
  <c r="H152" i="1"/>
  <c r="G152" i="1"/>
  <c r="K151" i="1"/>
  <c r="J151" i="1"/>
  <c r="I151" i="1"/>
  <c r="H151" i="1"/>
  <c r="G151" i="1"/>
  <c r="K150" i="1"/>
  <c r="J150" i="1"/>
  <c r="I150" i="1"/>
  <c r="H150" i="1"/>
  <c r="G150" i="1"/>
  <c r="K149" i="1"/>
  <c r="J149" i="1"/>
  <c r="I149" i="1"/>
  <c r="H149" i="1"/>
  <c r="G149" i="1"/>
  <c r="K148" i="1"/>
  <c r="J148" i="1"/>
  <c r="I148" i="1"/>
  <c r="H148" i="1"/>
  <c r="G148" i="1"/>
  <c r="K147" i="1"/>
  <c r="J147" i="1"/>
  <c r="I147" i="1"/>
  <c r="H147" i="1"/>
  <c r="G147" i="1"/>
  <c r="K146" i="1"/>
  <c r="J146" i="1"/>
  <c r="I146" i="1"/>
  <c r="H146" i="1"/>
  <c r="G146" i="1"/>
  <c r="K145" i="1"/>
  <c r="J145" i="1"/>
  <c r="I145" i="1"/>
  <c r="H145" i="1"/>
  <c r="G145" i="1"/>
  <c r="K144" i="1"/>
  <c r="J144" i="1"/>
  <c r="I144" i="1"/>
  <c r="H144" i="1"/>
  <c r="G144" i="1"/>
  <c r="K143" i="1"/>
  <c r="J143" i="1"/>
  <c r="I143" i="1"/>
  <c r="H143" i="1"/>
  <c r="G143" i="1"/>
  <c r="K142" i="1"/>
  <c r="J142" i="1"/>
  <c r="I142" i="1"/>
  <c r="H142" i="1"/>
  <c r="G142" i="1"/>
  <c r="K141" i="1"/>
  <c r="J141" i="1"/>
  <c r="I141" i="1"/>
  <c r="H141" i="1"/>
  <c r="G141" i="1"/>
  <c r="K140" i="1"/>
  <c r="J140" i="1"/>
  <c r="I140" i="1"/>
  <c r="H140" i="1"/>
  <c r="G140" i="1"/>
  <c r="K139" i="1"/>
  <c r="J139" i="1"/>
  <c r="I139" i="1"/>
  <c r="H139" i="1"/>
  <c r="G139" i="1"/>
  <c r="K138" i="1"/>
  <c r="J138" i="1"/>
  <c r="I138" i="1"/>
  <c r="H138" i="1"/>
  <c r="G138" i="1"/>
  <c r="K137" i="1"/>
  <c r="J137" i="1"/>
  <c r="I137" i="1"/>
  <c r="H137" i="1"/>
  <c r="G137" i="1"/>
  <c r="K136" i="1"/>
  <c r="J136" i="1"/>
  <c r="I136" i="1"/>
  <c r="H136" i="1"/>
  <c r="G136" i="1"/>
  <c r="K135" i="1"/>
  <c r="J135" i="1"/>
  <c r="I135" i="1"/>
  <c r="H135" i="1"/>
  <c r="G135" i="1"/>
  <c r="K134" i="1"/>
  <c r="J134" i="1"/>
  <c r="I134" i="1"/>
  <c r="H134" i="1"/>
  <c r="G134" i="1"/>
  <c r="K133" i="1"/>
  <c r="J133" i="1"/>
  <c r="I133" i="1"/>
  <c r="H133" i="1"/>
  <c r="G133" i="1"/>
  <c r="K132" i="1"/>
  <c r="J132" i="1"/>
  <c r="I132" i="1"/>
  <c r="H132" i="1"/>
  <c r="G132" i="1"/>
  <c r="K131" i="1"/>
  <c r="J131" i="1"/>
  <c r="I131" i="1"/>
  <c r="H131" i="1"/>
  <c r="G131" i="1"/>
  <c r="K130" i="1"/>
  <c r="J130" i="1"/>
  <c r="I130" i="1"/>
  <c r="H130" i="1"/>
  <c r="G130" i="1"/>
  <c r="K129" i="1"/>
  <c r="J129" i="1"/>
  <c r="I129" i="1"/>
  <c r="H129" i="1"/>
  <c r="G129" i="1"/>
  <c r="K128" i="1"/>
  <c r="J128" i="1"/>
  <c r="I128" i="1"/>
  <c r="H128" i="1"/>
  <c r="G128" i="1"/>
  <c r="K127" i="1"/>
  <c r="J127" i="1"/>
  <c r="I127" i="1"/>
  <c r="H127" i="1"/>
  <c r="G127" i="1"/>
  <c r="K126" i="1"/>
  <c r="J126" i="1"/>
  <c r="I126" i="1"/>
  <c r="H126" i="1"/>
  <c r="G126" i="1"/>
  <c r="K125" i="1"/>
  <c r="J125" i="1"/>
  <c r="I125" i="1"/>
  <c r="H125" i="1"/>
  <c r="G125" i="1"/>
  <c r="K124" i="1"/>
  <c r="J124" i="1"/>
  <c r="I124" i="1"/>
  <c r="H124" i="1"/>
  <c r="G124" i="1"/>
  <c r="K123" i="1"/>
  <c r="J123" i="1"/>
  <c r="I123" i="1"/>
  <c r="H123" i="1"/>
  <c r="G123" i="1"/>
  <c r="K122" i="1"/>
  <c r="J122" i="1"/>
  <c r="I122" i="1"/>
  <c r="H122" i="1"/>
  <c r="G122" i="1"/>
  <c r="K121" i="1"/>
  <c r="J121" i="1"/>
  <c r="I121" i="1"/>
  <c r="H121" i="1"/>
  <c r="G121" i="1"/>
  <c r="K120" i="1"/>
  <c r="J120" i="1"/>
  <c r="I120" i="1"/>
  <c r="H120" i="1"/>
  <c r="G120" i="1"/>
  <c r="K119" i="1"/>
  <c r="J119" i="1"/>
  <c r="I119" i="1"/>
  <c r="H119" i="1"/>
  <c r="G119" i="1"/>
  <c r="K118" i="1"/>
  <c r="J118" i="1"/>
  <c r="I118" i="1"/>
  <c r="H118" i="1"/>
  <c r="G118" i="1"/>
  <c r="K117" i="1"/>
  <c r="J117" i="1"/>
  <c r="I117" i="1"/>
  <c r="H117" i="1"/>
  <c r="G117" i="1"/>
  <c r="K116" i="1"/>
  <c r="J116" i="1"/>
  <c r="I116" i="1"/>
  <c r="H116" i="1"/>
  <c r="G116" i="1"/>
  <c r="K115" i="1"/>
  <c r="J115" i="1"/>
  <c r="I115" i="1"/>
  <c r="H115" i="1"/>
  <c r="G115" i="1"/>
  <c r="K114" i="1"/>
  <c r="J114" i="1"/>
  <c r="I114" i="1"/>
  <c r="H114" i="1"/>
  <c r="G114" i="1"/>
  <c r="K113" i="1"/>
  <c r="J113" i="1"/>
  <c r="I113" i="1"/>
  <c r="H113" i="1"/>
  <c r="G113" i="1"/>
  <c r="K112" i="1"/>
  <c r="J112" i="1"/>
  <c r="I112" i="1"/>
  <c r="H112" i="1"/>
  <c r="G112" i="1"/>
  <c r="K111" i="1"/>
  <c r="J111" i="1"/>
  <c r="I111" i="1"/>
  <c r="H111" i="1"/>
  <c r="G111" i="1"/>
  <c r="K110" i="1"/>
  <c r="J110" i="1"/>
  <c r="I110" i="1"/>
  <c r="H110" i="1"/>
  <c r="G110" i="1"/>
  <c r="K109" i="1"/>
  <c r="J109" i="1"/>
  <c r="I109" i="1"/>
  <c r="H109" i="1"/>
  <c r="G109" i="1"/>
  <c r="K108" i="1"/>
  <c r="J108" i="1"/>
  <c r="I108" i="1"/>
  <c r="H108" i="1"/>
  <c r="G108" i="1"/>
  <c r="K107" i="1"/>
  <c r="J107" i="1"/>
  <c r="I107" i="1"/>
  <c r="H107" i="1"/>
  <c r="G107" i="1"/>
  <c r="K106" i="1"/>
  <c r="J106" i="1"/>
  <c r="I106" i="1"/>
  <c r="H106" i="1"/>
  <c r="G106" i="1"/>
  <c r="K105" i="1"/>
  <c r="J105" i="1"/>
  <c r="I105" i="1"/>
  <c r="H105" i="1"/>
  <c r="G105" i="1"/>
  <c r="K104" i="1"/>
  <c r="J104" i="1"/>
  <c r="I104" i="1"/>
  <c r="H104" i="1"/>
  <c r="G104" i="1"/>
  <c r="K103" i="1"/>
  <c r="J103" i="1"/>
  <c r="I103" i="1"/>
  <c r="H103" i="1"/>
  <c r="G103" i="1"/>
  <c r="K102" i="1"/>
  <c r="J102" i="1"/>
  <c r="I102" i="1"/>
  <c r="H102" i="1"/>
  <c r="G102" i="1"/>
  <c r="K101" i="1"/>
  <c r="J101" i="1"/>
  <c r="I101" i="1"/>
  <c r="H101" i="1"/>
  <c r="G101" i="1"/>
  <c r="K100" i="1"/>
  <c r="J100" i="1"/>
  <c r="I100" i="1"/>
  <c r="H100" i="1"/>
  <c r="G100" i="1"/>
  <c r="K99" i="1"/>
  <c r="J99" i="1"/>
  <c r="I99" i="1"/>
  <c r="H99" i="1"/>
  <c r="G99" i="1"/>
  <c r="K98" i="1"/>
  <c r="J98" i="1"/>
  <c r="I98" i="1"/>
  <c r="H98" i="1"/>
  <c r="G98" i="1"/>
  <c r="K97" i="1"/>
  <c r="J97" i="1"/>
  <c r="I97" i="1"/>
  <c r="H97" i="1"/>
  <c r="G97" i="1"/>
  <c r="K96" i="1"/>
  <c r="J96" i="1"/>
  <c r="I96" i="1"/>
  <c r="H96" i="1"/>
  <c r="G96" i="1"/>
  <c r="K95" i="1"/>
  <c r="J95" i="1"/>
  <c r="I95" i="1"/>
  <c r="H95" i="1"/>
  <c r="G95" i="1"/>
  <c r="K94" i="1"/>
  <c r="J94" i="1"/>
  <c r="I94" i="1"/>
  <c r="H94" i="1"/>
  <c r="G94" i="1"/>
  <c r="K93" i="1"/>
  <c r="J93" i="1"/>
  <c r="I93" i="1"/>
  <c r="H93" i="1"/>
  <c r="G93" i="1"/>
  <c r="K92" i="1"/>
  <c r="J92" i="1"/>
  <c r="I92" i="1"/>
  <c r="H92" i="1"/>
  <c r="G92" i="1"/>
  <c r="K91" i="1"/>
  <c r="J91" i="1"/>
  <c r="I91" i="1"/>
  <c r="H91" i="1"/>
  <c r="G91" i="1"/>
  <c r="K90" i="1"/>
  <c r="J90" i="1"/>
  <c r="I90" i="1"/>
  <c r="H90" i="1"/>
  <c r="G90" i="1"/>
  <c r="K89" i="1"/>
  <c r="J89" i="1"/>
  <c r="I89" i="1"/>
  <c r="H89" i="1"/>
  <c r="G89" i="1"/>
  <c r="K88" i="1"/>
  <c r="J88" i="1"/>
  <c r="I88" i="1"/>
  <c r="H88" i="1"/>
  <c r="G88" i="1"/>
  <c r="K87" i="1"/>
  <c r="J87" i="1"/>
  <c r="I87" i="1"/>
  <c r="H87" i="1"/>
  <c r="G87" i="1"/>
  <c r="K86" i="1"/>
  <c r="J86" i="1"/>
  <c r="I86" i="1"/>
  <c r="H86" i="1"/>
  <c r="G86" i="1"/>
  <c r="K85" i="1"/>
  <c r="J85" i="1"/>
  <c r="I85" i="1"/>
  <c r="H85" i="1"/>
  <c r="G85" i="1"/>
  <c r="K84" i="1"/>
  <c r="J84" i="1"/>
  <c r="I84" i="1"/>
  <c r="H84" i="1"/>
  <c r="G84" i="1"/>
  <c r="K83" i="1"/>
  <c r="J83" i="1"/>
  <c r="I83" i="1"/>
  <c r="H83" i="1"/>
  <c r="G83" i="1"/>
  <c r="K82" i="1"/>
  <c r="J82" i="1"/>
  <c r="I82" i="1"/>
  <c r="H82" i="1"/>
  <c r="G82" i="1"/>
  <c r="K81" i="1"/>
  <c r="J81" i="1"/>
  <c r="I81" i="1"/>
  <c r="H81" i="1"/>
  <c r="G81" i="1"/>
  <c r="K80" i="1"/>
  <c r="J80" i="1"/>
  <c r="I80" i="1"/>
  <c r="H80" i="1"/>
  <c r="G80" i="1"/>
  <c r="K79" i="1"/>
  <c r="J79" i="1"/>
  <c r="I79" i="1"/>
  <c r="H79" i="1"/>
  <c r="G79" i="1"/>
  <c r="K78" i="1"/>
  <c r="J78" i="1"/>
  <c r="I78" i="1"/>
  <c r="H78" i="1"/>
  <c r="G78" i="1"/>
  <c r="K77" i="1"/>
  <c r="J77" i="1"/>
  <c r="I77" i="1"/>
  <c r="H77" i="1"/>
  <c r="G77" i="1"/>
  <c r="K76" i="1"/>
  <c r="J76" i="1"/>
  <c r="I76" i="1"/>
  <c r="H76" i="1"/>
  <c r="G76" i="1"/>
  <c r="K75" i="1"/>
  <c r="J75" i="1"/>
  <c r="I75" i="1"/>
  <c r="H75" i="1"/>
  <c r="G75" i="1"/>
  <c r="K74" i="1"/>
  <c r="J74" i="1"/>
  <c r="I74" i="1"/>
  <c r="H74" i="1"/>
  <c r="G74" i="1"/>
  <c r="K73" i="1"/>
  <c r="J73" i="1"/>
  <c r="I73" i="1"/>
  <c r="H73" i="1"/>
  <c r="G73" i="1"/>
  <c r="K72" i="1"/>
  <c r="J72" i="1"/>
  <c r="I72" i="1"/>
  <c r="H72" i="1"/>
  <c r="G72" i="1"/>
  <c r="K71" i="1"/>
  <c r="J71" i="1"/>
  <c r="I71" i="1"/>
  <c r="H71" i="1"/>
  <c r="G71" i="1"/>
  <c r="K70" i="1"/>
  <c r="J70" i="1"/>
  <c r="I70" i="1"/>
  <c r="H70" i="1"/>
  <c r="G70" i="1"/>
  <c r="K69" i="1"/>
  <c r="J69" i="1"/>
  <c r="I69" i="1"/>
  <c r="H69" i="1"/>
  <c r="G69" i="1"/>
  <c r="K68" i="1"/>
  <c r="J68" i="1"/>
  <c r="I68" i="1"/>
  <c r="H68" i="1"/>
  <c r="G68" i="1"/>
  <c r="K67" i="1"/>
  <c r="J67" i="1"/>
  <c r="I67" i="1"/>
  <c r="H67" i="1"/>
  <c r="G67" i="1"/>
  <c r="K66" i="1"/>
  <c r="J66" i="1"/>
  <c r="I66" i="1"/>
  <c r="H66" i="1"/>
  <c r="G66" i="1"/>
  <c r="K65" i="1"/>
  <c r="J65" i="1"/>
  <c r="I65" i="1"/>
  <c r="H65" i="1"/>
  <c r="G65" i="1"/>
  <c r="K64" i="1"/>
  <c r="J64" i="1"/>
  <c r="I64" i="1"/>
  <c r="H64" i="1"/>
  <c r="G64" i="1"/>
  <c r="K63" i="1"/>
  <c r="J63" i="1"/>
  <c r="I63" i="1"/>
  <c r="H63" i="1"/>
  <c r="G63" i="1"/>
  <c r="K62" i="1"/>
  <c r="J62" i="1"/>
  <c r="I62" i="1"/>
  <c r="H62" i="1"/>
  <c r="G62" i="1"/>
  <c r="K61" i="1"/>
  <c r="J61" i="1"/>
  <c r="I61" i="1"/>
  <c r="H61" i="1"/>
  <c r="G61" i="1"/>
  <c r="K60" i="1"/>
  <c r="J60" i="1"/>
  <c r="I60" i="1"/>
  <c r="H60" i="1"/>
  <c r="G60" i="1"/>
  <c r="K59" i="1"/>
  <c r="J59" i="1"/>
  <c r="I59" i="1"/>
  <c r="H59" i="1"/>
  <c r="G59" i="1"/>
  <c r="K58" i="1"/>
  <c r="J58" i="1"/>
  <c r="I58" i="1"/>
  <c r="H58" i="1"/>
  <c r="G58" i="1"/>
  <c r="K57" i="1"/>
  <c r="J57" i="1"/>
  <c r="I57" i="1"/>
  <c r="H57" i="1"/>
  <c r="G57" i="1"/>
  <c r="K56" i="1"/>
  <c r="J56" i="1"/>
  <c r="I56" i="1"/>
  <c r="H56" i="1"/>
  <c r="G56" i="1"/>
  <c r="K55" i="1"/>
  <c r="J55" i="1"/>
  <c r="I55" i="1"/>
  <c r="H55" i="1"/>
  <c r="G55" i="1"/>
  <c r="K54" i="1"/>
  <c r="J54" i="1"/>
  <c r="I54" i="1"/>
  <c r="H54" i="1"/>
  <c r="G54" i="1"/>
  <c r="K53" i="1"/>
  <c r="J53" i="1"/>
  <c r="I53" i="1"/>
  <c r="H53" i="1"/>
  <c r="G53" i="1"/>
  <c r="K52" i="1"/>
  <c r="J52" i="1"/>
  <c r="I52" i="1"/>
  <c r="H52" i="1"/>
  <c r="G52" i="1"/>
  <c r="K51" i="1"/>
  <c r="J51" i="1"/>
  <c r="I51" i="1"/>
  <c r="H51" i="1"/>
  <c r="G51" i="1"/>
  <c r="K50" i="1"/>
  <c r="J50" i="1"/>
  <c r="I50" i="1"/>
  <c r="H50" i="1"/>
  <c r="G50" i="1"/>
  <c r="K49" i="1"/>
  <c r="J49" i="1"/>
  <c r="I49" i="1"/>
  <c r="H49" i="1"/>
  <c r="G49" i="1"/>
  <c r="K48" i="1"/>
  <c r="J48" i="1"/>
  <c r="I48" i="1"/>
  <c r="H48" i="1"/>
  <c r="G48" i="1"/>
  <c r="K47" i="1"/>
  <c r="J47" i="1"/>
  <c r="I47" i="1"/>
  <c r="H47" i="1"/>
  <c r="G47" i="1"/>
  <c r="K46" i="1"/>
  <c r="J46" i="1"/>
  <c r="I46" i="1"/>
  <c r="H46" i="1"/>
  <c r="G46" i="1"/>
  <c r="K45" i="1"/>
  <c r="J45" i="1"/>
  <c r="I45" i="1"/>
  <c r="H45" i="1"/>
  <c r="G45" i="1"/>
  <c r="K44" i="1"/>
  <c r="J44" i="1"/>
  <c r="I44" i="1"/>
  <c r="H44" i="1"/>
  <c r="G44" i="1"/>
  <c r="K43" i="1"/>
  <c r="J43" i="1"/>
  <c r="I43" i="1"/>
  <c r="H43" i="1"/>
  <c r="G43" i="1"/>
  <c r="K42" i="1"/>
  <c r="J42" i="1"/>
  <c r="I42" i="1"/>
  <c r="H42" i="1"/>
  <c r="G42" i="1"/>
  <c r="K41" i="1"/>
  <c r="J41" i="1"/>
  <c r="I41" i="1"/>
  <c r="H41" i="1"/>
  <c r="G41" i="1"/>
  <c r="K40" i="1"/>
  <c r="J40" i="1"/>
  <c r="I40" i="1"/>
  <c r="H40" i="1"/>
  <c r="G40" i="1"/>
  <c r="K39" i="1"/>
  <c r="J39" i="1"/>
  <c r="I39" i="1"/>
  <c r="H39" i="1"/>
  <c r="G39" i="1"/>
  <c r="K38" i="1"/>
  <c r="J38" i="1"/>
  <c r="I38" i="1"/>
  <c r="H38" i="1"/>
  <c r="G38" i="1"/>
  <c r="K37" i="1"/>
  <c r="J37" i="1"/>
  <c r="I37" i="1"/>
  <c r="H37" i="1"/>
  <c r="G37" i="1"/>
  <c r="K36" i="1"/>
  <c r="J36" i="1"/>
  <c r="I36" i="1"/>
  <c r="H36" i="1"/>
  <c r="G36" i="1"/>
  <c r="K35" i="1"/>
  <c r="J35" i="1"/>
  <c r="I35" i="1"/>
  <c r="H35" i="1"/>
  <c r="G35" i="1"/>
  <c r="K34" i="1"/>
  <c r="J34" i="1"/>
  <c r="I34" i="1"/>
  <c r="H34" i="1"/>
  <c r="G34" i="1"/>
  <c r="K33" i="1"/>
  <c r="J33" i="1"/>
  <c r="I33" i="1"/>
  <c r="H33" i="1"/>
  <c r="G33" i="1"/>
  <c r="K32" i="1"/>
  <c r="J32" i="1"/>
  <c r="I32" i="1"/>
  <c r="H32" i="1"/>
  <c r="G32" i="1"/>
  <c r="K31" i="1"/>
  <c r="J31" i="1"/>
  <c r="I31" i="1"/>
  <c r="H31" i="1"/>
  <c r="G31" i="1"/>
  <c r="K30" i="1"/>
  <c r="J30" i="1"/>
  <c r="I30" i="1"/>
  <c r="H30" i="1"/>
  <c r="G30" i="1"/>
  <c r="K29" i="1"/>
  <c r="J29" i="1"/>
  <c r="I29" i="1"/>
  <c r="H29" i="1"/>
  <c r="G29" i="1"/>
  <c r="K28" i="1"/>
  <c r="J28" i="1"/>
  <c r="I28" i="1"/>
  <c r="H28" i="1"/>
  <c r="G28" i="1"/>
  <c r="K27" i="1"/>
  <c r="J27" i="1"/>
  <c r="I27" i="1"/>
  <c r="H27" i="1"/>
  <c r="G27" i="1"/>
  <c r="K26" i="1"/>
  <c r="J26" i="1"/>
  <c r="I26" i="1"/>
  <c r="H26" i="1"/>
  <c r="G26" i="1"/>
  <c r="K25" i="1"/>
  <c r="J25" i="1"/>
  <c r="I25" i="1"/>
  <c r="H25" i="1"/>
  <c r="G25" i="1"/>
  <c r="K24" i="1"/>
  <c r="J24" i="1"/>
  <c r="I24" i="1"/>
  <c r="H24" i="1"/>
  <c r="G24" i="1"/>
  <c r="K23" i="1"/>
  <c r="J23" i="1"/>
  <c r="I23" i="1"/>
  <c r="H23" i="1"/>
  <c r="G23" i="1"/>
  <c r="K22" i="1"/>
  <c r="J22" i="1"/>
  <c r="I22" i="1"/>
  <c r="H22" i="1"/>
  <c r="G22" i="1"/>
  <c r="K21" i="1"/>
  <c r="J21" i="1"/>
  <c r="I21" i="1"/>
  <c r="H21" i="1"/>
  <c r="G21" i="1"/>
  <c r="K20" i="1"/>
  <c r="J20" i="1"/>
  <c r="I20" i="1"/>
  <c r="H20" i="1"/>
  <c r="G20" i="1"/>
  <c r="K19" i="1"/>
  <c r="J19" i="1"/>
  <c r="I19" i="1"/>
  <c r="H19" i="1"/>
  <c r="G19" i="1"/>
  <c r="K18" i="1"/>
  <c r="J18" i="1"/>
  <c r="I18" i="1"/>
  <c r="H18" i="1"/>
  <c r="G18" i="1"/>
  <c r="K17" i="1"/>
  <c r="J17" i="1"/>
  <c r="I17" i="1"/>
  <c r="H17" i="1"/>
  <c r="G17" i="1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K8" i="1"/>
  <c r="J8" i="1"/>
  <c r="I8" i="1"/>
  <c r="H8" i="1"/>
  <c r="G8" i="1"/>
  <c r="K7" i="1"/>
  <c r="J7" i="1"/>
  <c r="I7" i="1"/>
  <c r="H7" i="1"/>
  <c r="G7" i="1"/>
  <c r="K6" i="1"/>
  <c r="J6" i="1"/>
  <c r="I6" i="1"/>
  <c r="H6" i="1"/>
  <c r="G6" i="1"/>
  <c r="K5" i="1"/>
  <c r="J5" i="1"/>
  <c r="I5" i="1"/>
  <c r="H5" i="1"/>
  <c r="G5" i="1"/>
  <c r="K4" i="1"/>
  <c r="J4" i="1"/>
  <c r="I4" i="1"/>
  <c r="H4" i="1"/>
  <c r="G4" i="1"/>
  <c r="K3" i="1"/>
  <c r="J3" i="1"/>
  <c r="I3" i="1"/>
  <c r="H3" i="1"/>
  <c r="G3" i="1"/>
  <c r="K2" i="1"/>
  <c r="J2" i="1"/>
  <c r="I2" i="1"/>
  <c r="H2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<sst xmlns="http://schemas.openxmlformats.org/spreadsheetml/2006/main" count="8903" uniqueCount="75">
  <si>
    <t>Date</t>
  </si>
  <si>
    <t>Month</t>
  </si>
  <si>
    <t>Category</t>
  </si>
  <si>
    <t>Description</t>
  </si>
  <si>
    <t>Payment Mode</t>
  </si>
  <si>
    <t>Amount</t>
  </si>
  <si>
    <t>October</t>
  </si>
  <si>
    <t>Bills</t>
  </si>
  <si>
    <t>Train ticket</t>
  </si>
  <si>
    <t>Debit Card</t>
  </si>
  <si>
    <t>Health</t>
  </si>
  <si>
    <t>College fees</t>
  </si>
  <si>
    <t>Credit Card</t>
  </si>
  <si>
    <t>Travel</t>
  </si>
  <si>
    <t>Online shopping</t>
  </si>
  <si>
    <t>UPI</t>
  </si>
  <si>
    <t>December</t>
  </si>
  <si>
    <t>Net Banking</t>
  </si>
  <si>
    <t>Bus fare</t>
  </si>
  <si>
    <t>March</t>
  </si>
  <si>
    <t>Medical checkup</t>
  </si>
  <si>
    <t>July</t>
  </si>
  <si>
    <t>Entertainment</t>
  </si>
  <si>
    <t>Movie ticket</t>
  </si>
  <si>
    <t>Monthly rent</t>
  </si>
  <si>
    <t>August</t>
  </si>
  <si>
    <t>Electricity bill</t>
  </si>
  <si>
    <t>Transport</t>
  </si>
  <si>
    <t>May</t>
  </si>
  <si>
    <t>April</t>
  </si>
  <si>
    <t>Food</t>
  </si>
  <si>
    <t>Dinner outside</t>
  </si>
  <si>
    <t>Cash</t>
  </si>
  <si>
    <t>February</t>
  </si>
  <si>
    <t>Grocery shopping</t>
  </si>
  <si>
    <t>Rent</t>
  </si>
  <si>
    <t>Shopping</t>
  </si>
  <si>
    <t>January</t>
  </si>
  <si>
    <t>September</t>
  </si>
  <si>
    <t>June</t>
  </si>
  <si>
    <t>November</t>
  </si>
  <si>
    <t>Education</t>
  </si>
  <si>
    <t>Expense type</t>
  </si>
  <si>
    <t>Categeroy</t>
  </si>
  <si>
    <t>Fixed</t>
  </si>
  <si>
    <t>Variable</t>
  </si>
  <si>
    <t>Payment mode</t>
  </si>
  <si>
    <t>payment type</t>
  </si>
  <si>
    <t>online</t>
  </si>
  <si>
    <t>offline</t>
  </si>
  <si>
    <t>Payment type</t>
  </si>
  <si>
    <t>Month no.</t>
  </si>
  <si>
    <t>month name</t>
  </si>
  <si>
    <t>month no.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</si>
  <si>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</si>
  <si>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</si>
  <si>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</si>
  <si>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</si>
  <si>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</si>
  <si>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</si>
  <si>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</si>
  <si>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</si>
  <si>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</si>
  <si>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</si>
  <si>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</si>
  <si>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</si>
  <si>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budget</t>
  </si>
  <si>
    <t>Monthly budget</t>
  </si>
  <si>
    <t>budget status</t>
  </si>
  <si>
    <t>Row Labels</t>
  </si>
  <si>
    <t>Grand Total</t>
  </si>
  <si>
    <t>Sum of Amount</t>
  </si>
  <si>
    <t>within budget</t>
  </si>
  <si>
    <t>Max of Monthly budget</t>
  </si>
  <si>
    <t>over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</si>
</sst>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13" fillId="33" borderId="0" xfId="0" applyFont="1" applyFill="1"/>
    <xf numFmtId="0" fontId="0" fillId="0" borderId="13" xfId="0" applyBorder="1"/>
    <xf numFmtId="14" fontId="0" fillId="0" borderId="13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Categery wise total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Travel</c:v>
                </c:pt>
                <c:pt idx="1">
                  <c:v>Food</c:v>
                </c:pt>
                <c:pt idx="2">
                  <c:v>Entertainment</c:v>
                </c:pt>
                <c:pt idx="3">
                  <c:v>Transport</c:v>
                </c:pt>
                <c:pt idx="4">
                  <c:v>Rent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712100</c:v>
                </c:pt>
                <c:pt idx="1">
                  <c:v>683131</c:v>
                </c:pt>
                <c:pt idx="2">
                  <c:v>661907</c:v>
                </c:pt>
                <c:pt idx="3">
                  <c:v>634722</c:v>
                </c:pt>
                <c:pt idx="4">
                  <c:v>630661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3-47C1-B3D9-CB1D4BBDAA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0640687"/>
        <c:axId val="1260641647"/>
      </c:barChart>
      <c:catAx>
        <c:axId val="1260640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Categery</a:t>
                </a:r>
              </a:p>
            </c:rich>
          </c:tx>
          <c:layout>
            <c:manualLayout>
              <c:xMode val="edge"/>
              <c:yMode val="edge"/>
              <c:x val="0.4419582857486325"/>
              <c:y val="0.89349940592464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641647"/>
        <c:crosses val="autoZero"/>
        <c:auto val="1"/>
        <c:lblAlgn val="ctr"/>
        <c:lblOffset val="100"/>
        <c:noMultiLvlLbl val="0"/>
      </c:catAx>
      <c:valAx>
        <c:axId val="1260641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640687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2.795175412233776E-2"/>
                <c:y val="0.16849957374254049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month wise total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Sheet1!$A$24:$A$36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Sheet1!$B$24:$B$36</c:f>
              <c:numCache>
                <c:formatCode>General</c:formatCode>
                <c:ptCount val="12"/>
                <c:pt idx="0">
                  <c:v>509483</c:v>
                </c:pt>
                <c:pt idx="1">
                  <c:v>428282</c:v>
                </c:pt>
                <c:pt idx="2">
                  <c:v>472054</c:v>
                </c:pt>
                <c:pt idx="3">
                  <c:v>451199</c:v>
                </c:pt>
                <c:pt idx="4">
                  <c:v>468676</c:v>
                </c:pt>
                <c:pt idx="5">
                  <c:v>432750</c:v>
                </c:pt>
                <c:pt idx="6">
                  <c:v>433585</c:v>
                </c:pt>
                <c:pt idx="7">
                  <c:v>472483</c:v>
                </c:pt>
                <c:pt idx="8">
                  <c:v>480003</c:v>
                </c:pt>
                <c:pt idx="9">
                  <c:v>564334</c:v>
                </c:pt>
                <c:pt idx="10">
                  <c:v>455804</c:v>
                </c:pt>
                <c:pt idx="11">
                  <c:v>504653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6-4F9F-8119-71434C4FB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053904"/>
        <c:axId val="1893037584"/>
      </c:lineChart>
      <c:catAx>
        <c:axId val="1893053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037584"/>
        <c:crosses val="autoZero"/>
        <c:auto val="1"/>
        <c:lblAlgn val="ctr"/>
        <c:lblOffset val="100"/>
        <c:noMultiLvlLbl val="0"/>
      </c:catAx>
      <c:valAx>
        <c:axId val="1893037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05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</a:t>
            </a:r>
            <a:r>
              <a:rPr lang="en-IN" baseline="0"/>
              <a:t> of Expense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&quot;₹&quot;\ #,##0.00" sourceLinked="0"/>
          <c:spPr>
            <a:noFill/>
            <a:ln>
              <a:noFill/>
            </a:ln>
            <a:effectLst>
              <a:outerShdw blurRad="50800" dist="50800" dir="5400000" sx="20000" sy="20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CCA-44AD-9BE1-D11F4532477F}"/>
              </c:ext>
            </c:extLst>
          </c:dPt>
          <c:dLbls>
            <c:numFmt formatCode="&quot;₹&quot;\ #,##0.00" sourceLinked="0"/>
            <c:spPr>
              <a:noFill/>
              <a:ln>
                <a:noFill/>
              </a:ln>
              <a:effectLst>
                <a:outerShdw blurRad="50800" dist="50800" dir="5400000" sx="20000" sy="20000" algn="ctr" rotWithShape="0">
                  <a:srgbClr val="000000">
                    <a:alpha val="43137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Sheet1!$A$44:$A$46</c:f>
              <c:strCache>
                <c:ptCount val="2"/>
                <c:pt idx="0">
                  <c:v>Variable</c:v>
                </c:pt>
                <c:pt idx="1">
                  <c:v>Fixed</c:v>
                </c:pt>
              </c:strCache>
            </c:strRef>
          </c:cat>
          <c:val>
            <c:numRef>
              <c:f>Sheet1!$B$44:$B$46</c:f>
              <c:numCache>
                <c:formatCode>General</c:formatCode>
                <c:ptCount val="2"/>
                <c:pt idx="0">
                  <c:v>3788037</c:v>
                </c:pt>
                <c:pt idx="1">
                  <c:v>1885269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A-44AD-9BE1-D11F453247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Project.xlsx]Sheet1!PivotTable4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parcentage of payment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Sheet1!$A$61:$A$63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Sheet1!$B$61:$B$63</c:f>
              <c:numCache>
                <c:formatCode>General</c:formatCode>
                <c:ptCount val="2"/>
                <c:pt idx="0">
                  <c:v>4558857</c:v>
                </c:pt>
                <c:pt idx="1">
                  <c:v>1114449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4-4BD6-85BC-01936F09424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Project.xlsx]Sheet1!PivotTable5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 vs Expense by categery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Sheet1!$B$78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Sheet1!$A$79:$A$84</c:f>
              <c:strCache>
                <c:ptCount val="5"/>
                <c:pt idx="0">
                  <c:v>Rent</c:v>
                </c:pt>
                <c:pt idx="1">
                  <c:v>Travel</c:v>
                </c:pt>
                <c:pt idx="2">
                  <c:v>Transport</c:v>
                </c:pt>
                <c:pt idx="3">
                  <c:v>Food</c:v>
                </c:pt>
                <c:pt idx="4">
                  <c:v>Entertainment</c:v>
                </c:pt>
              </c:strCache>
            </c:strRef>
          </c:cat>
          <c:val>
            <c:numRef>
              <c:f>Sheet1!$B$79:$B$84</c:f>
              <c:numCache>
                <c:formatCode>General</c:formatCode>
                <c:ptCount val="5"/>
                <c:pt idx="0">
                  <c:v>630661</c:v>
                </c:pt>
                <c:pt idx="1">
                  <c:v>712100</c:v>
                </c:pt>
                <c:pt idx="2">
                  <c:v>634722</c:v>
                </c:pt>
                <c:pt idx="3">
                  <c:v>683131</c:v>
                </c:pt>
                <c:pt idx="4">
                  <c:v>661907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E-46B7-BC5A-B60B3E3CE475}"/>
            </c:ext>
          </c:extLst>
        </c:ser>
        <c:ser>
          <c:idx val="1"/>
          <c:order val="1"/>
          <c:tx>
            <c:strRef>
              <c:f>Sheet1!$C$78</c:f>
              <c:strCache>
                <c:ptCount val="1"/>
                <c:pt idx="0">
                  <c:v>Max of Monthly 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Sheet1!$A$79:$A$84</c:f>
              <c:strCache>
                <c:ptCount val="5"/>
                <c:pt idx="0">
                  <c:v>Rent</c:v>
                </c:pt>
                <c:pt idx="1">
                  <c:v>Travel</c:v>
                </c:pt>
                <c:pt idx="2">
                  <c:v>Transport</c:v>
                </c:pt>
                <c:pt idx="3">
                  <c:v>Food</c:v>
                </c:pt>
                <c:pt idx="4">
                  <c:v>Entertainment</c:v>
                </c:pt>
              </c:strCache>
            </c:strRef>
          </c:cat>
          <c:val>
            <c:numRef>
              <c:f>Sheet1!$C$79:$C$84</c:f>
              <c:numCache>
                <c:formatCode>General</c:formatCode>
                <c:ptCount val="5"/>
                <c:pt idx="0">
                  <c:v>5500</c:v>
                </c:pt>
                <c:pt idx="1">
                  <c:v>5000</c:v>
                </c:pt>
                <c:pt idx="2">
                  <c:v>4000</c:v>
                </c:pt>
                <c:pt idx="3">
                  <c:v>3000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E-46B7-BC5A-B60B3E3CE4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93011664"/>
        <c:axId val="1893022224"/>
      </c:barChart>
      <c:catAx>
        <c:axId val="189301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Categery</a:t>
                </a:r>
              </a:p>
            </c:rich>
          </c:tx>
          <c:layout>
            <c:manualLayout>
              <c:xMode val="edge"/>
              <c:yMode val="edge"/>
              <c:x val="0.41539554914790583"/>
              <c:y val="0.88615610040614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022224"/>
        <c:crosses val="autoZero"/>
        <c:auto val="1"/>
        <c:lblAlgn val="ctr"/>
        <c:lblOffset val="100"/>
        <c:noMultiLvlLbl val="0"/>
      </c:catAx>
      <c:valAx>
        <c:axId val="1893022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01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Project.xlsx]Sheet1!PivotTable6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Overview of Budget</a:t>
            </a:r>
            <a:r>
              <a:rPr lang="en-US" b="1" baseline="0"/>
              <a:t>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Sheet1!$A$95:$A$108</c:f>
              <c:multiLvlStrCache>
                <c:ptCount val="8"/>
                <c:lvl>
                  <c:pt idx="0">
                    <c:v>within budget</c:v>
                  </c:pt>
                  <c:pt idx="1">
                    <c:v>over budget</c:v>
                  </c:pt>
                  <c:pt idx="2">
                    <c:v>within budget</c:v>
                  </c:pt>
                  <c:pt idx="3">
                    <c:v>over budget</c:v>
                  </c:pt>
                  <c:pt idx="4">
                    <c:v>within budget</c:v>
                  </c:pt>
                  <c:pt idx="5">
                    <c:v>over budget</c:v>
                  </c:pt>
                  <c:pt idx="6">
                    <c:v>within budget</c:v>
                  </c:pt>
                  <c:pt idx="7">
                    <c:v>within budget</c:v>
                  </c:pt>
                </c:lvl>
                <c:lvl>
                  <c:pt idx="0">
                    <c:v>Travel</c:v>
                  </c:pt>
                  <c:pt idx="1">
                    <c:v>Food</c:v>
                  </c:pt>
                  <c:pt idx="3">
                    <c:v>Entertainment</c:v>
                  </c:pt>
                  <c:pt idx="5">
                    <c:v>Transport</c:v>
                  </c:pt>
                  <c:pt idx="7">
                    <c:v>Rent</c:v>
                  </c:pt>
                </c:lvl>
              </c:multiLvlStrCache>
            </c:multiLvlStrRef>
          </c:cat>
          <c:val>
            <c:numRef>
              <c:f>Sheet1!$B$95:$B$108</c:f>
              <c:numCache>
                <c:formatCode>General</c:formatCode>
                <c:ptCount val="8"/>
                <c:pt idx="0">
                  <c:v>712100</c:v>
                </c:pt>
                <c:pt idx="1">
                  <c:v>473913</c:v>
                </c:pt>
                <c:pt idx="2">
                  <c:v>209218</c:v>
                </c:pt>
                <c:pt idx="3">
                  <c:v>633295</c:v>
                </c:pt>
                <c:pt idx="4">
                  <c:v>28612</c:v>
                </c:pt>
                <c:pt idx="5">
                  <c:v>258382</c:v>
                </c:pt>
                <c:pt idx="6">
                  <c:v>376340</c:v>
                </c:pt>
                <c:pt idx="7">
                  <c:v>630661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7-40C1-A95E-F465740E71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6"/>
        <c:overlap val="-3"/>
        <c:axId val="2079376000"/>
        <c:axId val="2079367360"/>
      </c:barChart>
      <c:catAx>
        <c:axId val="207937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Categery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67360"/>
        <c:crosses val="autoZero"/>
        <c:auto val="1"/>
        <c:lblAlgn val="ctr"/>
        <c:lblOffset val="100"/>
        <c:noMultiLvlLbl val="0"/>
      </c:catAx>
      <c:valAx>
        <c:axId val="2079367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</a:t>
                </a:r>
                <a:r>
                  <a:rPr lang="en-IN" b="1" baseline="0"/>
                  <a:t> amount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7600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175260</xdr:rowOff>
    </xdr:from>
    <xdr:to>
      <xdr:col>12</xdr:col>
      <xdr:colOff>167640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42D94-0CFB-9C92-DE44-667EF6149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182880</xdr:colOff>
      <xdr:row>21</xdr:row>
      <xdr:rowOff>15240</xdr:rowOff>
    </xdr:from>
    <xdr:to>
      <xdr:col>12</xdr:col>
      <xdr:colOff>464820</xdr:colOff>
      <xdr:row>37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6E2301-1526-00E0-EAA9-FB17F857C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39</xdr:row>
      <xdr:rowOff>7620</xdr:rowOff>
    </xdr:from>
    <xdr:to>
      <xdr:col>11</xdr:col>
      <xdr:colOff>373380</xdr:colOff>
      <xdr:row>54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48ACEC-E671-67A0-FB0B-84E3F7C44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60960</xdr:colOff>
      <xdr:row>57</xdr:row>
      <xdr:rowOff>160020</xdr:rowOff>
    </xdr:from>
    <xdr:to>
      <xdr:col>12</xdr:col>
      <xdr:colOff>7620</xdr:colOff>
      <xdr:row>73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8FCCE1-99FC-01A4-88FB-40DDCB0D7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15240</xdr:colOff>
      <xdr:row>74</xdr:row>
      <xdr:rowOff>137160</xdr:rowOff>
    </xdr:from>
    <xdr:to>
      <xdr:col>12</xdr:col>
      <xdr:colOff>548640</xdr:colOff>
      <xdr:row>90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0D2ACA-A75E-D1E4-0B16-747F1B9A5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575310</xdr:colOff>
      <xdr:row>92</xdr:row>
      <xdr:rowOff>175260</xdr:rowOff>
    </xdr:from>
    <xdr:to>
      <xdr:col>12</xdr:col>
      <xdr:colOff>228600</xdr:colOff>
      <xdr:row>111</xdr:row>
      <xdr:rowOff>41910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40CD86-0363-FE92-761E-1BE845CF9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ti Chouhan" refreshedDate="46020.694211574075" createdVersion="8" refreshedVersion="8" minRefreshableVersion="3" recordCount="2200" xr:uid="{CB9D52BD-B834-4C08-ADFD-5F9CEFA8A326}">
  <cacheSource type="worksheet">
    <worksheetSource ref="A1:K2201" sheet="Expense_Tracker_2000_Plus_Data"/>
  </cacheSource>
  <cacheFields count="11">
    <cacheField name="Date" numFmtId="14">
      <sharedItems containsSemiMixedTypes="0" containsNonDate="0" containsDate="1" containsString="0" minDate="2023-01-01T00:00:00" maxDate="2025-01-01T00:00:00"/>
    </cacheField>
    <cacheField name="Month" numFmtId="0">
      <sharedItems count="12">
        <s v="October"/>
        <s v="December"/>
        <s v="March"/>
        <s v="July"/>
        <s v="August"/>
        <s v="May"/>
        <s v="April"/>
        <s v="February"/>
        <s v="January"/>
        <s v="September"/>
        <s v="June"/>
        <s v="November"/>
      </sharedItems>
    </cacheField>
    <cacheField name="Category" numFmtId="0">
      <sharedItems count="9">
        <s v="Bills"/>
        <s v="Health"/>
        <s v="Travel"/>
        <s v="Entertainment"/>
        <s v="Transport"/>
        <s v="Food"/>
        <s v="Rent"/>
        <s v="Shopping"/>
        <s v="Education"/>
      </sharedItems>
    </cacheField>
    <cacheField name="Description" numFmtId="0">
      <sharedItems count="10">
        <s v="Train ticket"/>
        <s v="College fees"/>
        <s v="Online shopping"/>
        <s v="Bus fare"/>
        <s v="Medical checkup"/>
        <s v="Movie ticket"/>
        <s v="Monthly rent"/>
        <s v="Electricity bill"/>
        <s v="Dinner outside"/>
        <s v="Grocery shopping"/>
      </sharedItems>
    </cacheField>
    <cacheField name="Payment Mode" numFmtId="0">
      <sharedItems/>
    </cacheField>
    <cacheField name="Amount" numFmtId="0">
      <sharedItems containsSemiMixedTypes="0" containsString="0" containsNumber="1" containsInteger="1" minValue="50" maxValue="5000"/>
    </cacheField>
    <cacheField name="Expense type" numFmtId="0">
      <sharedItems count="2">
        <s v="Fixed"/>
        <s v="Variable"/>
      </sharedItems>
    </cacheField>
    <cacheField name="Payment type" numFmtId="0">
      <sharedItems count="2">
        <s v="online"/>
        <s v="offline"/>
      </sharedItems>
    </cacheField>
    <cacheField name="Month no." numFmtId="0">
      <sharedItems containsSemiMixedTypes="0" containsString="0" containsNumber="1" containsInteger="1" minValue="1" maxValue="12"/>
    </cacheField>
    <cacheField name="Monthly budget" numFmtId="0">
      <sharedItems containsSemiMixedTypes="0" containsString="0" containsNumber="1" containsInteger="1" minValue="1000" maxValue="10000"/>
    </cacheField>
    <cacheField name="budget status" numFmtId="0">
      <sharedItems count="2">
        <s v="over budget"/>
        <s v="within budg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0">
  <r>
    <d v="2024-10-15T00:00:00"/>
    <x v="0"/>
    <x v="0"/>
    <x v="0"/>
    <s v="Debit Card"/>
    <n v="4220"/>
    <x v="0"/>
    <x v="0"/>
    <n v="10"/>
    <n v="2000"/>
    <x v="0"/>
  </r>
  <r>
    <d v="2023-10-31T00:00:00"/>
    <x v="0"/>
    <x v="1"/>
    <x v="1"/>
    <s v="Credit Card"/>
    <n v="2802"/>
    <x v="1"/>
    <x v="0"/>
    <n v="10"/>
    <n v="5000"/>
    <x v="1"/>
  </r>
  <r>
    <d v="2024-10-04T00:00:00"/>
    <x v="0"/>
    <x v="2"/>
    <x v="2"/>
    <s v="UPI"/>
    <n v="1152"/>
    <x v="1"/>
    <x v="0"/>
    <n v="10"/>
    <n v="5000"/>
    <x v="1"/>
  </r>
  <r>
    <d v="2023-12-17T00:00:00"/>
    <x v="1"/>
    <x v="0"/>
    <x v="1"/>
    <s v="Net Banking"/>
    <n v="2439"/>
    <x v="0"/>
    <x v="0"/>
    <n v="12"/>
    <n v="2000"/>
    <x v="0"/>
  </r>
  <r>
    <d v="2024-10-24T00:00:00"/>
    <x v="0"/>
    <x v="0"/>
    <x v="3"/>
    <s v="Debit Card"/>
    <n v="688"/>
    <x v="0"/>
    <x v="0"/>
    <n v="10"/>
    <n v="2000"/>
    <x v="1"/>
  </r>
  <r>
    <d v="2024-03-01T00:00:00"/>
    <x v="2"/>
    <x v="1"/>
    <x v="4"/>
    <s v="Net Banking"/>
    <n v="3983"/>
    <x v="1"/>
    <x v="0"/>
    <n v="3"/>
    <n v="5000"/>
    <x v="1"/>
  </r>
  <r>
    <d v="2023-07-22T00:00:00"/>
    <x v="3"/>
    <x v="3"/>
    <x v="5"/>
    <s v="UPI"/>
    <n v="3627"/>
    <x v="1"/>
    <x v="0"/>
    <n v="7"/>
    <n v="1000"/>
    <x v="0"/>
  </r>
  <r>
    <d v="2024-12-01T00:00:00"/>
    <x v="1"/>
    <x v="3"/>
    <x v="6"/>
    <s v="Debit Card"/>
    <n v="2039"/>
    <x v="1"/>
    <x v="0"/>
    <n v="12"/>
    <n v="1000"/>
    <x v="0"/>
  </r>
  <r>
    <d v="2023-08-28T00:00:00"/>
    <x v="4"/>
    <x v="1"/>
    <x v="7"/>
    <s v="Credit Card"/>
    <n v="3822"/>
    <x v="1"/>
    <x v="0"/>
    <n v="8"/>
    <n v="5000"/>
    <x v="1"/>
  </r>
  <r>
    <d v="2024-08-06T00:00:00"/>
    <x v="4"/>
    <x v="4"/>
    <x v="2"/>
    <s v="UPI"/>
    <n v="3506"/>
    <x v="1"/>
    <x v="0"/>
    <n v="8"/>
    <n v="4000"/>
    <x v="1"/>
  </r>
  <r>
    <d v="2024-05-28T00:00:00"/>
    <x v="5"/>
    <x v="4"/>
    <x v="7"/>
    <s v="UPI"/>
    <n v="3468"/>
    <x v="1"/>
    <x v="0"/>
    <n v="5"/>
    <n v="4000"/>
    <x v="1"/>
  </r>
  <r>
    <d v="2024-04-20T00:00:00"/>
    <x v="6"/>
    <x v="5"/>
    <x v="2"/>
    <s v="Credit Card"/>
    <n v="1669"/>
    <x v="0"/>
    <x v="0"/>
    <n v="4"/>
    <n v="3000"/>
    <x v="1"/>
  </r>
  <r>
    <d v="2024-05-19T00:00:00"/>
    <x v="5"/>
    <x v="0"/>
    <x v="8"/>
    <s v="UPI"/>
    <n v="3639"/>
    <x v="0"/>
    <x v="0"/>
    <n v="5"/>
    <n v="2000"/>
    <x v="0"/>
  </r>
  <r>
    <d v="2023-10-31T00:00:00"/>
    <x v="0"/>
    <x v="5"/>
    <x v="7"/>
    <s v="Cash"/>
    <n v="4194"/>
    <x v="0"/>
    <x v="1"/>
    <n v="10"/>
    <n v="3000"/>
    <x v="0"/>
  </r>
  <r>
    <d v="2024-02-17T00:00:00"/>
    <x v="7"/>
    <x v="1"/>
    <x v="8"/>
    <s v="Net Banking"/>
    <n v="657"/>
    <x v="1"/>
    <x v="0"/>
    <n v="2"/>
    <n v="5000"/>
    <x v="1"/>
  </r>
  <r>
    <d v="2023-12-25T00:00:00"/>
    <x v="1"/>
    <x v="0"/>
    <x v="9"/>
    <s v="Cash"/>
    <n v="407"/>
    <x v="0"/>
    <x v="1"/>
    <n v="12"/>
    <n v="2000"/>
    <x v="1"/>
  </r>
  <r>
    <d v="2023-02-08T00:00:00"/>
    <x v="7"/>
    <x v="6"/>
    <x v="8"/>
    <s v="Cash"/>
    <n v="3456"/>
    <x v="0"/>
    <x v="1"/>
    <n v="2"/>
    <n v="5500"/>
    <x v="1"/>
  </r>
  <r>
    <d v="2023-10-30T00:00:00"/>
    <x v="0"/>
    <x v="7"/>
    <x v="5"/>
    <s v="UPI"/>
    <n v="438"/>
    <x v="1"/>
    <x v="0"/>
    <n v="10"/>
    <n v="10000"/>
    <x v="1"/>
  </r>
  <r>
    <d v="2024-01-31T00:00:00"/>
    <x v="8"/>
    <x v="3"/>
    <x v="3"/>
    <s v="Credit Card"/>
    <n v="422"/>
    <x v="1"/>
    <x v="0"/>
    <n v="1"/>
    <n v="1000"/>
    <x v="1"/>
  </r>
  <r>
    <d v="2023-02-08T00:00:00"/>
    <x v="7"/>
    <x v="6"/>
    <x v="9"/>
    <s v="Net Banking"/>
    <n v="835"/>
    <x v="0"/>
    <x v="0"/>
    <n v="2"/>
    <n v="5500"/>
    <x v="1"/>
  </r>
  <r>
    <d v="2023-10-16T00:00:00"/>
    <x v="0"/>
    <x v="3"/>
    <x v="4"/>
    <s v="Debit Card"/>
    <n v="3200"/>
    <x v="1"/>
    <x v="0"/>
    <n v="10"/>
    <n v="1000"/>
    <x v="0"/>
  </r>
  <r>
    <d v="2024-03-22T00:00:00"/>
    <x v="2"/>
    <x v="1"/>
    <x v="2"/>
    <s v="UPI"/>
    <n v="3949"/>
    <x v="1"/>
    <x v="0"/>
    <n v="3"/>
    <n v="5000"/>
    <x v="1"/>
  </r>
  <r>
    <d v="2023-09-13T00:00:00"/>
    <x v="9"/>
    <x v="5"/>
    <x v="3"/>
    <s v="Credit Card"/>
    <n v="365"/>
    <x v="0"/>
    <x v="0"/>
    <n v="9"/>
    <n v="3000"/>
    <x v="1"/>
  </r>
  <r>
    <d v="2023-07-15T00:00:00"/>
    <x v="3"/>
    <x v="5"/>
    <x v="9"/>
    <s v="Debit Card"/>
    <n v="4191"/>
    <x v="0"/>
    <x v="0"/>
    <n v="7"/>
    <n v="3000"/>
    <x v="0"/>
  </r>
  <r>
    <d v="2024-02-10T00:00:00"/>
    <x v="7"/>
    <x v="5"/>
    <x v="4"/>
    <s v="Debit Card"/>
    <n v="3414"/>
    <x v="0"/>
    <x v="0"/>
    <n v="2"/>
    <n v="3000"/>
    <x v="0"/>
  </r>
  <r>
    <d v="2023-05-04T00:00:00"/>
    <x v="5"/>
    <x v="2"/>
    <x v="6"/>
    <s v="Cash"/>
    <n v="356"/>
    <x v="1"/>
    <x v="1"/>
    <n v="5"/>
    <n v="5000"/>
    <x v="1"/>
  </r>
  <r>
    <d v="2024-05-20T00:00:00"/>
    <x v="5"/>
    <x v="4"/>
    <x v="2"/>
    <s v="Debit Card"/>
    <n v="4011"/>
    <x v="1"/>
    <x v="0"/>
    <n v="5"/>
    <n v="4000"/>
    <x v="0"/>
  </r>
  <r>
    <d v="2023-07-07T00:00:00"/>
    <x v="3"/>
    <x v="2"/>
    <x v="3"/>
    <s v="Credit Card"/>
    <n v="51"/>
    <x v="1"/>
    <x v="0"/>
    <n v="7"/>
    <n v="5000"/>
    <x v="1"/>
  </r>
  <r>
    <d v="2023-01-04T00:00:00"/>
    <x v="8"/>
    <x v="2"/>
    <x v="2"/>
    <s v="Cash"/>
    <n v="1215"/>
    <x v="1"/>
    <x v="1"/>
    <n v="1"/>
    <n v="5000"/>
    <x v="1"/>
  </r>
  <r>
    <d v="2024-06-22T00:00:00"/>
    <x v="10"/>
    <x v="3"/>
    <x v="6"/>
    <s v="Credit Card"/>
    <n v="4511"/>
    <x v="1"/>
    <x v="0"/>
    <n v="6"/>
    <n v="1000"/>
    <x v="0"/>
  </r>
  <r>
    <d v="2024-11-30T00:00:00"/>
    <x v="11"/>
    <x v="6"/>
    <x v="2"/>
    <s v="Credit Card"/>
    <n v="4581"/>
    <x v="0"/>
    <x v="0"/>
    <n v="11"/>
    <n v="5500"/>
    <x v="1"/>
  </r>
  <r>
    <d v="2024-11-05T00:00:00"/>
    <x v="11"/>
    <x v="4"/>
    <x v="7"/>
    <s v="Cash"/>
    <n v="4791"/>
    <x v="1"/>
    <x v="1"/>
    <n v="11"/>
    <n v="4000"/>
    <x v="0"/>
  </r>
  <r>
    <d v="2024-11-24T00:00:00"/>
    <x v="11"/>
    <x v="5"/>
    <x v="4"/>
    <s v="Cash"/>
    <n v="4980"/>
    <x v="0"/>
    <x v="1"/>
    <n v="11"/>
    <n v="3000"/>
    <x v="0"/>
  </r>
  <r>
    <d v="2024-08-07T00:00:00"/>
    <x v="4"/>
    <x v="2"/>
    <x v="0"/>
    <s v="Credit Card"/>
    <n v="3475"/>
    <x v="1"/>
    <x v="0"/>
    <n v="8"/>
    <n v="5000"/>
    <x v="1"/>
  </r>
  <r>
    <d v="2024-08-18T00:00:00"/>
    <x v="4"/>
    <x v="3"/>
    <x v="0"/>
    <s v="UPI"/>
    <n v="2940"/>
    <x v="1"/>
    <x v="0"/>
    <n v="8"/>
    <n v="1000"/>
    <x v="0"/>
  </r>
  <r>
    <d v="2023-04-06T00:00:00"/>
    <x v="6"/>
    <x v="2"/>
    <x v="2"/>
    <s v="Cash"/>
    <n v="3743"/>
    <x v="1"/>
    <x v="1"/>
    <n v="4"/>
    <n v="5000"/>
    <x v="1"/>
  </r>
  <r>
    <d v="2024-08-01T00:00:00"/>
    <x v="4"/>
    <x v="0"/>
    <x v="4"/>
    <s v="Net Banking"/>
    <n v="3234"/>
    <x v="0"/>
    <x v="0"/>
    <n v="8"/>
    <n v="2000"/>
    <x v="0"/>
  </r>
  <r>
    <d v="2023-12-13T00:00:00"/>
    <x v="1"/>
    <x v="3"/>
    <x v="7"/>
    <s v="Credit Card"/>
    <n v="905"/>
    <x v="1"/>
    <x v="0"/>
    <n v="12"/>
    <n v="1000"/>
    <x v="1"/>
  </r>
  <r>
    <d v="2023-07-05T00:00:00"/>
    <x v="3"/>
    <x v="5"/>
    <x v="6"/>
    <s v="Debit Card"/>
    <n v="3556"/>
    <x v="0"/>
    <x v="0"/>
    <n v="7"/>
    <n v="3000"/>
    <x v="0"/>
  </r>
  <r>
    <d v="2024-03-25T00:00:00"/>
    <x v="2"/>
    <x v="1"/>
    <x v="3"/>
    <s v="Cash"/>
    <n v="830"/>
    <x v="1"/>
    <x v="1"/>
    <n v="3"/>
    <n v="5000"/>
    <x v="1"/>
  </r>
  <r>
    <d v="2024-06-19T00:00:00"/>
    <x v="10"/>
    <x v="5"/>
    <x v="9"/>
    <s v="Cash"/>
    <n v="2001"/>
    <x v="0"/>
    <x v="1"/>
    <n v="6"/>
    <n v="3000"/>
    <x v="1"/>
  </r>
  <r>
    <d v="2023-10-21T00:00:00"/>
    <x v="0"/>
    <x v="4"/>
    <x v="0"/>
    <s v="Debit Card"/>
    <n v="569"/>
    <x v="1"/>
    <x v="0"/>
    <n v="10"/>
    <n v="4000"/>
    <x v="1"/>
  </r>
  <r>
    <d v="2023-04-01T00:00:00"/>
    <x v="6"/>
    <x v="2"/>
    <x v="8"/>
    <s v="UPI"/>
    <n v="3338"/>
    <x v="1"/>
    <x v="0"/>
    <n v="4"/>
    <n v="5000"/>
    <x v="1"/>
  </r>
  <r>
    <d v="2023-05-18T00:00:00"/>
    <x v="5"/>
    <x v="8"/>
    <x v="4"/>
    <s v="Cash"/>
    <n v="4406"/>
    <x v="1"/>
    <x v="1"/>
    <n v="5"/>
    <n v="7000"/>
    <x v="1"/>
  </r>
  <r>
    <d v="2024-07-13T00:00:00"/>
    <x v="3"/>
    <x v="3"/>
    <x v="1"/>
    <s v="UPI"/>
    <n v="4946"/>
    <x v="1"/>
    <x v="0"/>
    <n v="7"/>
    <n v="1000"/>
    <x v="0"/>
  </r>
  <r>
    <d v="2024-01-09T00:00:00"/>
    <x v="8"/>
    <x v="0"/>
    <x v="5"/>
    <s v="UPI"/>
    <n v="98"/>
    <x v="0"/>
    <x v="0"/>
    <n v="1"/>
    <n v="2000"/>
    <x v="1"/>
  </r>
  <r>
    <d v="2024-05-18T00:00:00"/>
    <x v="5"/>
    <x v="3"/>
    <x v="4"/>
    <s v="Net Banking"/>
    <n v="3859"/>
    <x v="1"/>
    <x v="0"/>
    <n v="5"/>
    <n v="1000"/>
    <x v="0"/>
  </r>
  <r>
    <d v="2024-11-03T00:00:00"/>
    <x v="11"/>
    <x v="3"/>
    <x v="8"/>
    <s v="UPI"/>
    <n v="2280"/>
    <x v="1"/>
    <x v="0"/>
    <n v="11"/>
    <n v="1000"/>
    <x v="0"/>
  </r>
  <r>
    <d v="2024-04-25T00:00:00"/>
    <x v="6"/>
    <x v="7"/>
    <x v="7"/>
    <s v="Net Banking"/>
    <n v="432"/>
    <x v="1"/>
    <x v="0"/>
    <n v="4"/>
    <n v="10000"/>
    <x v="1"/>
  </r>
  <r>
    <d v="2024-05-18T00:00:00"/>
    <x v="5"/>
    <x v="3"/>
    <x v="0"/>
    <s v="Cash"/>
    <n v="4001"/>
    <x v="1"/>
    <x v="1"/>
    <n v="5"/>
    <n v="1000"/>
    <x v="0"/>
  </r>
  <r>
    <d v="2023-10-05T00:00:00"/>
    <x v="0"/>
    <x v="7"/>
    <x v="7"/>
    <s v="Debit Card"/>
    <n v="2266"/>
    <x v="1"/>
    <x v="0"/>
    <n v="10"/>
    <n v="10000"/>
    <x v="1"/>
  </r>
  <r>
    <d v="2024-11-30T00:00:00"/>
    <x v="11"/>
    <x v="6"/>
    <x v="3"/>
    <s v="UPI"/>
    <n v="1815"/>
    <x v="0"/>
    <x v="0"/>
    <n v="11"/>
    <n v="5500"/>
    <x v="1"/>
  </r>
  <r>
    <d v="2024-08-08T00:00:00"/>
    <x v="4"/>
    <x v="5"/>
    <x v="0"/>
    <s v="Net Banking"/>
    <n v="3508"/>
    <x v="0"/>
    <x v="0"/>
    <n v="8"/>
    <n v="3000"/>
    <x v="0"/>
  </r>
  <r>
    <d v="2023-01-30T00:00:00"/>
    <x v="8"/>
    <x v="7"/>
    <x v="8"/>
    <s v="UPI"/>
    <n v="2061"/>
    <x v="1"/>
    <x v="0"/>
    <n v="1"/>
    <n v="10000"/>
    <x v="1"/>
  </r>
  <r>
    <d v="2023-09-12T00:00:00"/>
    <x v="9"/>
    <x v="0"/>
    <x v="0"/>
    <s v="Net Banking"/>
    <n v="2304"/>
    <x v="0"/>
    <x v="0"/>
    <n v="9"/>
    <n v="2000"/>
    <x v="0"/>
  </r>
  <r>
    <d v="2023-12-11T00:00:00"/>
    <x v="1"/>
    <x v="3"/>
    <x v="5"/>
    <s v="Cash"/>
    <n v="3160"/>
    <x v="1"/>
    <x v="1"/>
    <n v="12"/>
    <n v="1000"/>
    <x v="0"/>
  </r>
  <r>
    <d v="2023-05-08T00:00:00"/>
    <x v="5"/>
    <x v="0"/>
    <x v="7"/>
    <s v="UPI"/>
    <n v="2308"/>
    <x v="0"/>
    <x v="0"/>
    <n v="5"/>
    <n v="2000"/>
    <x v="0"/>
  </r>
  <r>
    <d v="2024-03-21T00:00:00"/>
    <x v="2"/>
    <x v="5"/>
    <x v="5"/>
    <s v="Net Banking"/>
    <n v="1174"/>
    <x v="0"/>
    <x v="0"/>
    <n v="3"/>
    <n v="3000"/>
    <x v="1"/>
  </r>
  <r>
    <d v="2023-10-07T00:00:00"/>
    <x v="0"/>
    <x v="5"/>
    <x v="7"/>
    <s v="Cash"/>
    <n v="1726"/>
    <x v="0"/>
    <x v="1"/>
    <n v="10"/>
    <n v="3000"/>
    <x v="1"/>
  </r>
  <r>
    <d v="2024-10-12T00:00:00"/>
    <x v="0"/>
    <x v="8"/>
    <x v="4"/>
    <s v="Debit Card"/>
    <n v="4494"/>
    <x v="1"/>
    <x v="0"/>
    <n v="10"/>
    <n v="7000"/>
    <x v="1"/>
  </r>
  <r>
    <d v="2023-07-21T00:00:00"/>
    <x v="3"/>
    <x v="3"/>
    <x v="0"/>
    <s v="Credit Card"/>
    <n v="1328"/>
    <x v="1"/>
    <x v="0"/>
    <n v="7"/>
    <n v="1000"/>
    <x v="0"/>
  </r>
  <r>
    <d v="2023-06-26T00:00:00"/>
    <x v="10"/>
    <x v="7"/>
    <x v="3"/>
    <s v="Net Banking"/>
    <n v="1258"/>
    <x v="1"/>
    <x v="0"/>
    <n v="6"/>
    <n v="10000"/>
    <x v="1"/>
  </r>
  <r>
    <d v="2024-03-08T00:00:00"/>
    <x v="2"/>
    <x v="5"/>
    <x v="5"/>
    <s v="Credit Card"/>
    <n v="4642"/>
    <x v="0"/>
    <x v="0"/>
    <n v="3"/>
    <n v="3000"/>
    <x v="0"/>
  </r>
  <r>
    <d v="2024-04-11T00:00:00"/>
    <x v="6"/>
    <x v="0"/>
    <x v="4"/>
    <s v="Debit Card"/>
    <n v="1586"/>
    <x v="0"/>
    <x v="0"/>
    <n v="4"/>
    <n v="2000"/>
    <x v="1"/>
  </r>
  <r>
    <d v="2023-04-27T00:00:00"/>
    <x v="6"/>
    <x v="4"/>
    <x v="9"/>
    <s v="Credit Card"/>
    <n v="2576"/>
    <x v="1"/>
    <x v="0"/>
    <n v="4"/>
    <n v="4000"/>
    <x v="1"/>
  </r>
  <r>
    <d v="2023-04-29T00:00:00"/>
    <x v="6"/>
    <x v="5"/>
    <x v="5"/>
    <s v="Credit Card"/>
    <n v="1443"/>
    <x v="0"/>
    <x v="0"/>
    <n v="4"/>
    <n v="3000"/>
    <x v="1"/>
  </r>
  <r>
    <d v="2024-11-03T00:00:00"/>
    <x v="11"/>
    <x v="7"/>
    <x v="2"/>
    <s v="Net Banking"/>
    <n v="3311"/>
    <x v="1"/>
    <x v="0"/>
    <n v="11"/>
    <n v="10000"/>
    <x v="1"/>
  </r>
  <r>
    <d v="2023-08-14T00:00:00"/>
    <x v="4"/>
    <x v="7"/>
    <x v="5"/>
    <s v="Net Banking"/>
    <n v="4866"/>
    <x v="1"/>
    <x v="0"/>
    <n v="8"/>
    <n v="10000"/>
    <x v="1"/>
  </r>
  <r>
    <d v="2023-02-25T00:00:00"/>
    <x v="7"/>
    <x v="3"/>
    <x v="5"/>
    <s v="Debit Card"/>
    <n v="1363"/>
    <x v="1"/>
    <x v="0"/>
    <n v="2"/>
    <n v="1000"/>
    <x v="0"/>
  </r>
  <r>
    <d v="2023-10-06T00:00:00"/>
    <x v="0"/>
    <x v="5"/>
    <x v="5"/>
    <s v="Debit Card"/>
    <n v="4201"/>
    <x v="0"/>
    <x v="0"/>
    <n v="10"/>
    <n v="3000"/>
    <x v="0"/>
  </r>
  <r>
    <d v="2024-06-24T00:00:00"/>
    <x v="10"/>
    <x v="7"/>
    <x v="9"/>
    <s v="Net Banking"/>
    <n v="1755"/>
    <x v="1"/>
    <x v="0"/>
    <n v="6"/>
    <n v="10000"/>
    <x v="1"/>
  </r>
  <r>
    <d v="2023-02-25T00:00:00"/>
    <x v="7"/>
    <x v="1"/>
    <x v="5"/>
    <s v="Cash"/>
    <n v="1356"/>
    <x v="1"/>
    <x v="1"/>
    <n v="2"/>
    <n v="5000"/>
    <x v="1"/>
  </r>
  <r>
    <d v="2023-12-03T00:00:00"/>
    <x v="1"/>
    <x v="8"/>
    <x v="2"/>
    <s v="Net Banking"/>
    <n v="1423"/>
    <x v="1"/>
    <x v="0"/>
    <n v="12"/>
    <n v="7000"/>
    <x v="1"/>
  </r>
  <r>
    <d v="2024-07-15T00:00:00"/>
    <x v="3"/>
    <x v="3"/>
    <x v="2"/>
    <s v="Cash"/>
    <n v="4387"/>
    <x v="1"/>
    <x v="1"/>
    <n v="7"/>
    <n v="1000"/>
    <x v="0"/>
  </r>
  <r>
    <d v="2024-08-09T00:00:00"/>
    <x v="4"/>
    <x v="6"/>
    <x v="3"/>
    <s v="UPI"/>
    <n v="963"/>
    <x v="0"/>
    <x v="0"/>
    <n v="8"/>
    <n v="5500"/>
    <x v="1"/>
  </r>
  <r>
    <d v="2024-12-31T00:00:00"/>
    <x v="1"/>
    <x v="7"/>
    <x v="1"/>
    <s v="UPI"/>
    <n v="992"/>
    <x v="1"/>
    <x v="0"/>
    <n v="12"/>
    <n v="10000"/>
    <x v="1"/>
  </r>
  <r>
    <d v="2023-01-23T00:00:00"/>
    <x v="8"/>
    <x v="7"/>
    <x v="7"/>
    <s v="Net Banking"/>
    <n v="2758"/>
    <x v="1"/>
    <x v="0"/>
    <n v="1"/>
    <n v="10000"/>
    <x v="1"/>
  </r>
  <r>
    <d v="2024-01-17T00:00:00"/>
    <x v="8"/>
    <x v="2"/>
    <x v="9"/>
    <s v="UPI"/>
    <n v="3313"/>
    <x v="1"/>
    <x v="0"/>
    <n v="1"/>
    <n v="5000"/>
    <x v="1"/>
  </r>
  <r>
    <d v="2023-04-08T00:00:00"/>
    <x v="6"/>
    <x v="3"/>
    <x v="7"/>
    <s v="Net Banking"/>
    <n v="1316"/>
    <x v="1"/>
    <x v="0"/>
    <n v="4"/>
    <n v="1000"/>
    <x v="0"/>
  </r>
  <r>
    <d v="2024-10-05T00:00:00"/>
    <x v="0"/>
    <x v="3"/>
    <x v="7"/>
    <s v="UPI"/>
    <n v="585"/>
    <x v="1"/>
    <x v="0"/>
    <n v="10"/>
    <n v="1000"/>
    <x v="1"/>
  </r>
  <r>
    <d v="2023-08-04T00:00:00"/>
    <x v="4"/>
    <x v="3"/>
    <x v="8"/>
    <s v="UPI"/>
    <n v="4264"/>
    <x v="1"/>
    <x v="0"/>
    <n v="8"/>
    <n v="1000"/>
    <x v="0"/>
  </r>
  <r>
    <d v="2024-12-07T00:00:00"/>
    <x v="1"/>
    <x v="5"/>
    <x v="2"/>
    <s v="Debit Card"/>
    <n v="4844"/>
    <x v="0"/>
    <x v="0"/>
    <n v="12"/>
    <n v="3000"/>
    <x v="0"/>
  </r>
  <r>
    <d v="2024-11-25T00:00:00"/>
    <x v="11"/>
    <x v="8"/>
    <x v="2"/>
    <s v="Net Banking"/>
    <n v="4184"/>
    <x v="1"/>
    <x v="0"/>
    <n v="11"/>
    <n v="7000"/>
    <x v="1"/>
  </r>
  <r>
    <d v="2024-10-05T00:00:00"/>
    <x v="0"/>
    <x v="4"/>
    <x v="5"/>
    <s v="UPI"/>
    <n v="3672"/>
    <x v="1"/>
    <x v="0"/>
    <n v="10"/>
    <n v="4000"/>
    <x v="1"/>
  </r>
  <r>
    <d v="2023-04-08T00:00:00"/>
    <x v="6"/>
    <x v="1"/>
    <x v="2"/>
    <s v="Credit Card"/>
    <n v="4791"/>
    <x v="1"/>
    <x v="0"/>
    <n v="4"/>
    <n v="5000"/>
    <x v="1"/>
  </r>
  <r>
    <d v="2024-03-09T00:00:00"/>
    <x v="2"/>
    <x v="6"/>
    <x v="5"/>
    <s v="UPI"/>
    <n v="4649"/>
    <x v="0"/>
    <x v="0"/>
    <n v="3"/>
    <n v="5500"/>
    <x v="1"/>
  </r>
  <r>
    <d v="2023-03-14T00:00:00"/>
    <x v="2"/>
    <x v="7"/>
    <x v="6"/>
    <s v="Credit Card"/>
    <n v="4616"/>
    <x v="1"/>
    <x v="0"/>
    <n v="3"/>
    <n v="10000"/>
    <x v="1"/>
  </r>
  <r>
    <d v="2023-11-12T00:00:00"/>
    <x v="11"/>
    <x v="7"/>
    <x v="7"/>
    <s v="Cash"/>
    <n v="69"/>
    <x v="1"/>
    <x v="1"/>
    <n v="11"/>
    <n v="10000"/>
    <x v="1"/>
  </r>
  <r>
    <d v="2024-06-05T00:00:00"/>
    <x v="10"/>
    <x v="4"/>
    <x v="4"/>
    <s v="Net Banking"/>
    <n v="3067"/>
    <x v="1"/>
    <x v="0"/>
    <n v="6"/>
    <n v="4000"/>
    <x v="1"/>
  </r>
  <r>
    <d v="2023-09-21T00:00:00"/>
    <x v="9"/>
    <x v="5"/>
    <x v="9"/>
    <s v="Credit Card"/>
    <n v="1719"/>
    <x v="0"/>
    <x v="0"/>
    <n v="9"/>
    <n v="3000"/>
    <x v="1"/>
  </r>
  <r>
    <d v="2024-04-25T00:00:00"/>
    <x v="6"/>
    <x v="0"/>
    <x v="0"/>
    <s v="UPI"/>
    <n v="3182"/>
    <x v="0"/>
    <x v="0"/>
    <n v="4"/>
    <n v="2000"/>
    <x v="0"/>
  </r>
  <r>
    <d v="2024-01-26T00:00:00"/>
    <x v="8"/>
    <x v="6"/>
    <x v="9"/>
    <s v="UPI"/>
    <n v="2046"/>
    <x v="0"/>
    <x v="0"/>
    <n v="1"/>
    <n v="5500"/>
    <x v="1"/>
  </r>
  <r>
    <d v="2024-07-10T00:00:00"/>
    <x v="3"/>
    <x v="4"/>
    <x v="1"/>
    <s v="Debit Card"/>
    <n v="1919"/>
    <x v="1"/>
    <x v="0"/>
    <n v="7"/>
    <n v="4000"/>
    <x v="1"/>
  </r>
  <r>
    <d v="2023-01-02T00:00:00"/>
    <x v="8"/>
    <x v="4"/>
    <x v="0"/>
    <s v="Debit Card"/>
    <n v="4643"/>
    <x v="1"/>
    <x v="0"/>
    <n v="1"/>
    <n v="4000"/>
    <x v="0"/>
  </r>
  <r>
    <d v="2024-07-25T00:00:00"/>
    <x v="3"/>
    <x v="5"/>
    <x v="0"/>
    <s v="Debit Card"/>
    <n v="2220"/>
    <x v="0"/>
    <x v="0"/>
    <n v="7"/>
    <n v="3000"/>
    <x v="1"/>
  </r>
  <r>
    <d v="2023-09-27T00:00:00"/>
    <x v="9"/>
    <x v="1"/>
    <x v="0"/>
    <s v="UPI"/>
    <n v="3694"/>
    <x v="1"/>
    <x v="0"/>
    <n v="9"/>
    <n v="5000"/>
    <x v="1"/>
  </r>
  <r>
    <d v="2023-12-24T00:00:00"/>
    <x v="1"/>
    <x v="0"/>
    <x v="7"/>
    <s v="Cash"/>
    <n v="487"/>
    <x v="0"/>
    <x v="1"/>
    <n v="12"/>
    <n v="2000"/>
    <x v="1"/>
  </r>
  <r>
    <d v="2024-11-26T00:00:00"/>
    <x v="11"/>
    <x v="3"/>
    <x v="0"/>
    <s v="Debit Card"/>
    <n v="2926"/>
    <x v="1"/>
    <x v="0"/>
    <n v="11"/>
    <n v="1000"/>
    <x v="0"/>
  </r>
  <r>
    <d v="2023-12-13T00:00:00"/>
    <x v="1"/>
    <x v="0"/>
    <x v="8"/>
    <s v="Cash"/>
    <n v="2662"/>
    <x v="0"/>
    <x v="1"/>
    <n v="12"/>
    <n v="2000"/>
    <x v="0"/>
  </r>
  <r>
    <d v="2024-03-02T00:00:00"/>
    <x v="2"/>
    <x v="7"/>
    <x v="7"/>
    <s v="UPI"/>
    <n v="1519"/>
    <x v="1"/>
    <x v="0"/>
    <n v="3"/>
    <n v="10000"/>
    <x v="1"/>
  </r>
  <r>
    <d v="2024-08-11T00:00:00"/>
    <x v="4"/>
    <x v="4"/>
    <x v="6"/>
    <s v="Credit Card"/>
    <n v="1247"/>
    <x v="1"/>
    <x v="0"/>
    <n v="8"/>
    <n v="4000"/>
    <x v="1"/>
  </r>
  <r>
    <d v="2023-10-07T00:00:00"/>
    <x v="0"/>
    <x v="5"/>
    <x v="1"/>
    <s v="Debit Card"/>
    <n v="1831"/>
    <x v="0"/>
    <x v="0"/>
    <n v="10"/>
    <n v="3000"/>
    <x v="1"/>
  </r>
  <r>
    <d v="2024-01-18T00:00:00"/>
    <x v="8"/>
    <x v="4"/>
    <x v="7"/>
    <s v="Cash"/>
    <n v="3814"/>
    <x v="1"/>
    <x v="1"/>
    <n v="1"/>
    <n v="4000"/>
    <x v="1"/>
  </r>
  <r>
    <d v="2024-09-27T00:00:00"/>
    <x v="9"/>
    <x v="3"/>
    <x v="3"/>
    <s v="UPI"/>
    <n v="2996"/>
    <x v="1"/>
    <x v="0"/>
    <n v="9"/>
    <n v="1000"/>
    <x v="0"/>
  </r>
  <r>
    <d v="2023-09-09T00:00:00"/>
    <x v="9"/>
    <x v="8"/>
    <x v="0"/>
    <s v="Debit Card"/>
    <n v="1596"/>
    <x v="1"/>
    <x v="0"/>
    <n v="9"/>
    <n v="7000"/>
    <x v="1"/>
  </r>
  <r>
    <d v="2024-01-19T00:00:00"/>
    <x v="8"/>
    <x v="8"/>
    <x v="4"/>
    <s v="Net Banking"/>
    <n v="2969"/>
    <x v="1"/>
    <x v="0"/>
    <n v="1"/>
    <n v="7000"/>
    <x v="1"/>
  </r>
  <r>
    <d v="2024-05-27T00:00:00"/>
    <x v="5"/>
    <x v="2"/>
    <x v="2"/>
    <s v="Credit Card"/>
    <n v="4380"/>
    <x v="1"/>
    <x v="0"/>
    <n v="5"/>
    <n v="5000"/>
    <x v="1"/>
  </r>
  <r>
    <d v="2023-01-03T00:00:00"/>
    <x v="8"/>
    <x v="7"/>
    <x v="0"/>
    <s v="UPI"/>
    <n v="661"/>
    <x v="1"/>
    <x v="0"/>
    <n v="1"/>
    <n v="10000"/>
    <x v="1"/>
  </r>
  <r>
    <d v="2024-05-03T00:00:00"/>
    <x v="5"/>
    <x v="7"/>
    <x v="9"/>
    <s v="Cash"/>
    <n v="4528"/>
    <x v="1"/>
    <x v="1"/>
    <n v="5"/>
    <n v="10000"/>
    <x v="1"/>
  </r>
  <r>
    <d v="2023-07-04T00:00:00"/>
    <x v="3"/>
    <x v="3"/>
    <x v="5"/>
    <s v="Cash"/>
    <n v="3723"/>
    <x v="1"/>
    <x v="1"/>
    <n v="7"/>
    <n v="1000"/>
    <x v="0"/>
  </r>
  <r>
    <d v="2024-11-20T00:00:00"/>
    <x v="11"/>
    <x v="7"/>
    <x v="1"/>
    <s v="Debit Card"/>
    <n v="4669"/>
    <x v="1"/>
    <x v="0"/>
    <n v="11"/>
    <n v="10000"/>
    <x v="1"/>
  </r>
  <r>
    <d v="2023-05-08T00:00:00"/>
    <x v="5"/>
    <x v="1"/>
    <x v="5"/>
    <s v="Cash"/>
    <n v="4127"/>
    <x v="1"/>
    <x v="1"/>
    <n v="5"/>
    <n v="5000"/>
    <x v="1"/>
  </r>
  <r>
    <d v="2023-11-14T00:00:00"/>
    <x v="11"/>
    <x v="4"/>
    <x v="5"/>
    <s v="Cash"/>
    <n v="2604"/>
    <x v="1"/>
    <x v="1"/>
    <n v="11"/>
    <n v="4000"/>
    <x v="1"/>
  </r>
  <r>
    <d v="2024-03-22T00:00:00"/>
    <x v="2"/>
    <x v="6"/>
    <x v="4"/>
    <s v="Net Banking"/>
    <n v="3960"/>
    <x v="0"/>
    <x v="0"/>
    <n v="3"/>
    <n v="5500"/>
    <x v="1"/>
  </r>
  <r>
    <d v="2023-01-31T00:00:00"/>
    <x v="8"/>
    <x v="8"/>
    <x v="6"/>
    <s v="Credit Card"/>
    <n v="3959"/>
    <x v="1"/>
    <x v="0"/>
    <n v="1"/>
    <n v="7000"/>
    <x v="1"/>
  </r>
  <r>
    <d v="2024-11-27T00:00:00"/>
    <x v="11"/>
    <x v="3"/>
    <x v="6"/>
    <s v="Net Banking"/>
    <n v="3534"/>
    <x v="1"/>
    <x v="0"/>
    <n v="11"/>
    <n v="1000"/>
    <x v="0"/>
  </r>
  <r>
    <d v="2024-06-25T00:00:00"/>
    <x v="10"/>
    <x v="3"/>
    <x v="1"/>
    <s v="Cash"/>
    <n v="2243"/>
    <x v="1"/>
    <x v="1"/>
    <n v="6"/>
    <n v="1000"/>
    <x v="0"/>
  </r>
  <r>
    <d v="2024-08-31T00:00:00"/>
    <x v="4"/>
    <x v="5"/>
    <x v="6"/>
    <s v="Credit Card"/>
    <n v="472"/>
    <x v="0"/>
    <x v="0"/>
    <n v="8"/>
    <n v="3000"/>
    <x v="1"/>
  </r>
  <r>
    <d v="2023-01-24T00:00:00"/>
    <x v="8"/>
    <x v="2"/>
    <x v="9"/>
    <s v="Credit Card"/>
    <n v="990"/>
    <x v="1"/>
    <x v="0"/>
    <n v="1"/>
    <n v="5000"/>
    <x v="1"/>
  </r>
  <r>
    <d v="2023-02-28T00:00:00"/>
    <x v="7"/>
    <x v="1"/>
    <x v="5"/>
    <s v="Credit Card"/>
    <n v="3211"/>
    <x v="1"/>
    <x v="0"/>
    <n v="2"/>
    <n v="5000"/>
    <x v="1"/>
  </r>
  <r>
    <d v="2023-05-20T00:00:00"/>
    <x v="5"/>
    <x v="2"/>
    <x v="1"/>
    <s v="Cash"/>
    <n v="2840"/>
    <x v="1"/>
    <x v="1"/>
    <n v="5"/>
    <n v="5000"/>
    <x v="1"/>
  </r>
  <r>
    <d v="2024-08-17T00:00:00"/>
    <x v="4"/>
    <x v="5"/>
    <x v="7"/>
    <s v="Credit Card"/>
    <n v="2559"/>
    <x v="0"/>
    <x v="0"/>
    <n v="8"/>
    <n v="3000"/>
    <x v="1"/>
  </r>
  <r>
    <d v="2024-03-25T00:00:00"/>
    <x v="2"/>
    <x v="2"/>
    <x v="8"/>
    <s v="Debit Card"/>
    <n v="3489"/>
    <x v="1"/>
    <x v="0"/>
    <n v="3"/>
    <n v="5000"/>
    <x v="1"/>
  </r>
  <r>
    <d v="2023-01-26T00:00:00"/>
    <x v="8"/>
    <x v="8"/>
    <x v="3"/>
    <s v="Credit Card"/>
    <n v="689"/>
    <x v="1"/>
    <x v="0"/>
    <n v="1"/>
    <n v="7000"/>
    <x v="1"/>
  </r>
  <r>
    <d v="2023-07-28T00:00:00"/>
    <x v="3"/>
    <x v="8"/>
    <x v="1"/>
    <s v="Credit Card"/>
    <n v="3222"/>
    <x v="1"/>
    <x v="0"/>
    <n v="7"/>
    <n v="7000"/>
    <x v="1"/>
  </r>
  <r>
    <d v="2024-04-05T00:00:00"/>
    <x v="6"/>
    <x v="4"/>
    <x v="6"/>
    <s v="UPI"/>
    <n v="3594"/>
    <x v="1"/>
    <x v="0"/>
    <n v="4"/>
    <n v="4000"/>
    <x v="1"/>
  </r>
  <r>
    <d v="2024-05-14T00:00:00"/>
    <x v="5"/>
    <x v="8"/>
    <x v="0"/>
    <s v="UPI"/>
    <n v="3827"/>
    <x v="1"/>
    <x v="0"/>
    <n v="5"/>
    <n v="7000"/>
    <x v="1"/>
  </r>
  <r>
    <d v="2023-04-22T00:00:00"/>
    <x v="6"/>
    <x v="2"/>
    <x v="9"/>
    <s v="Cash"/>
    <n v="2311"/>
    <x v="1"/>
    <x v="1"/>
    <n v="4"/>
    <n v="5000"/>
    <x v="1"/>
  </r>
  <r>
    <d v="2023-12-25T00:00:00"/>
    <x v="1"/>
    <x v="5"/>
    <x v="1"/>
    <s v="Net Banking"/>
    <n v="4299"/>
    <x v="0"/>
    <x v="0"/>
    <n v="12"/>
    <n v="3000"/>
    <x v="0"/>
  </r>
  <r>
    <d v="2023-04-11T00:00:00"/>
    <x v="6"/>
    <x v="4"/>
    <x v="2"/>
    <s v="Credit Card"/>
    <n v="4563"/>
    <x v="1"/>
    <x v="0"/>
    <n v="4"/>
    <n v="4000"/>
    <x v="0"/>
  </r>
  <r>
    <d v="2024-07-08T00:00:00"/>
    <x v="3"/>
    <x v="0"/>
    <x v="6"/>
    <s v="Debit Card"/>
    <n v="2611"/>
    <x v="0"/>
    <x v="0"/>
    <n v="7"/>
    <n v="2000"/>
    <x v="0"/>
  </r>
  <r>
    <d v="2024-02-11T00:00:00"/>
    <x v="7"/>
    <x v="8"/>
    <x v="7"/>
    <s v="Net Banking"/>
    <n v="2010"/>
    <x v="1"/>
    <x v="0"/>
    <n v="2"/>
    <n v="7000"/>
    <x v="1"/>
  </r>
  <r>
    <d v="2023-07-14T00:00:00"/>
    <x v="3"/>
    <x v="8"/>
    <x v="1"/>
    <s v="Cash"/>
    <n v="703"/>
    <x v="1"/>
    <x v="1"/>
    <n v="7"/>
    <n v="7000"/>
    <x v="1"/>
  </r>
  <r>
    <d v="2024-02-15T00:00:00"/>
    <x v="7"/>
    <x v="8"/>
    <x v="4"/>
    <s v="Credit Card"/>
    <n v="3965"/>
    <x v="1"/>
    <x v="0"/>
    <n v="2"/>
    <n v="7000"/>
    <x v="1"/>
  </r>
  <r>
    <d v="2024-07-07T00:00:00"/>
    <x v="3"/>
    <x v="0"/>
    <x v="9"/>
    <s v="Cash"/>
    <n v="854"/>
    <x v="0"/>
    <x v="1"/>
    <n v="7"/>
    <n v="2000"/>
    <x v="1"/>
  </r>
  <r>
    <d v="2023-01-02T00:00:00"/>
    <x v="8"/>
    <x v="0"/>
    <x v="3"/>
    <s v="Net Banking"/>
    <n v="4863"/>
    <x v="0"/>
    <x v="0"/>
    <n v="1"/>
    <n v="2000"/>
    <x v="0"/>
  </r>
  <r>
    <d v="2024-01-20T00:00:00"/>
    <x v="8"/>
    <x v="3"/>
    <x v="5"/>
    <s v="Net Banking"/>
    <n v="3609"/>
    <x v="1"/>
    <x v="0"/>
    <n v="1"/>
    <n v="1000"/>
    <x v="0"/>
  </r>
  <r>
    <d v="2024-12-18T00:00:00"/>
    <x v="1"/>
    <x v="8"/>
    <x v="2"/>
    <s v="Net Banking"/>
    <n v="4953"/>
    <x v="1"/>
    <x v="0"/>
    <n v="12"/>
    <n v="7000"/>
    <x v="1"/>
  </r>
  <r>
    <d v="2024-06-20T00:00:00"/>
    <x v="10"/>
    <x v="0"/>
    <x v="2"/>
    <s v="Debit Card"/>
    <n v="2939"/>
    <x v="0"/>
    <x v="0"/>
    <n v="6"/>
    <n v="2000"/>
    <x v="0"/>
  </r>
  <r>
    <d v="2024-09-18T00:00:00"/>
    <x v="9"/>
    <x v="0"/>
    <x v="6"/>
    <s v="Net Banking"/>
    <n v="497"/>
    <x v="0"/>
    <x v="0"/>
    <n v="9"/>
    <n v="2000"/>
    <x v="1"/>
  </r>
  <r>
    <d v="2023-12-18T00:00:00"/>
    <x v="1"/>
    <x v="6"/>
    <x v="3"/>
    <s v="Credit Card"/>
    <n v="2196"/>
    <x v="0"/>
    <x v="0"/>
    <n v="12"/>
    <n v="5500"/>
    <x v="1"/>
  </r>
  <r>
    <d v="2024-08-17T00:00:00"/>
    <x v="4"/>
    <x v="2"/>
    <x v="5"/>
    <s v="UPI"/>
    <n v="1316"/>
    <x v="1"/>
    <x v="0"/>
    <n v="8"/>
    <n v="5000"/>
    <x v="1"/>
  </r>
  <r>
    <d v="2023-03-19T00:00:00"/>
    <x v="2"/>
    <x v="6"/>
    <x v="5"/>
    <s v="Credit Card"/>
    <n v="1980"/>
    <x v="0"/>
    <x v="0"/>
    <n v="3"/>
    <n v="5500"/>
    <x v="1"/>
  </r>
  <r>
    <d v="2024-12-04T00:00:00"/>
    <x v="1"/>
    <x v="5"/>
    <x v="7"/>
    <s v="Cash"/>
    <n v="2194"/>
    <x v="0"/>
    <x v="1"/>
    <n v="12"/>
    <n v="3000"/>
    <x v="1"/>
  </r>
  <r>
    <d v="2023-03-04T00:00:00"/>
    <x v="2"/>
    <x v="7"/>
    <x v="4"/>
    <s v="Debit Card"/>
    <n v="1684"/>
    <x v="1"/>
    <x v="0"/>
    <n v="3"/>
    <n v="10000"/>
    <x v="1"/>
  </r>
  <r>
    <d v="2023-01-07T00:00:00"/>
    <x v="8"/>
    <x v="3"/>
    <x v="9"/>
    <s v="Debit Card"/>
    <n v="167"/>
    <x v="1"/>
    <x v="0"/>
    <n v="1"/>
    <n v="1000"/>
    <x v="1"/>
  </r>
  <r>
    <d v="2023-06-22T00:00:00"/>
    <x v="10"/>
    <x v="5"/>
    <x v="4"/>
    <s v="UPI"/>
    <n v="4833"/>
    <x v="0"/>
    <x v="0"/>
    <n v="6"/>
    <n v="3000"/>
    <x v="0"/>
  </r>
  <r>
    <d v="2024-05-11T00:00:00"/>
    <x v="5"/>
    <x v="0"/>
    <x v="2"/>
    <s v="UPI"/>
    <n v="1794"/>
    <x v="0"/>
    <x v="0"/>
    <n v="5"/>
    <n v="2000"/>
    <x v="1"/>
  </r>
  <r>
    <d v="2023-07-05T00:00:00"/>
    <x v="3"/>
    <x v="5"/>
    <x v="6"/>
    <s v="Debit Card"/>
    <n v="2965"/>
    <x v="0"/>
    <x v="0"/>
    <n v="7"/>
    <n v="3000"/>
    <x v="1"/>
  </r>
  <r>
    <d v="2024-03-22T00:00:00"/>
    <x v="2"/>
    <x v="8"/>
    <x v="8"/>
    <s v="Debit Card"/>
    <n v="2521"/>
    <x v="1"/>
    <x v="0"/>
    <n v="3"/>
    <n v="7000"/>
    <x v="1"/>
  </r>
  <r>
    <d v="2023-09-08T00:00:00"/>
    <x v="9"/>
    <x v="5"/>
    <x v="9"/>
    <s v="Net Banking"/>
    <n v="4469"/>
    <x v="0"/>
    <x v="0"/>
    <n v="9"/>
    <n v="3000"/>
    <x v="0"/>
  </r>
  <r>
    <d v="2024-02-05T00:00:00"/>
    <x v="7"/>
    <x v="4"/>
    <x v="0"/>
    <s v="UPI"/>
    <n v="1733"/>
    <x v="1"/>
    <x v="0"/>
    <n v="2"/>
    <n v="4000"/>
    <x v="1"/>
  </r>
  <r>
    <d v="2023-09-23T00:00:00"/>
    <x v="9"/>
    <x v="6"/>
    <x v="5"/>
    <s v="UPI"/>
    <n v="1987"/>
    <x v="0"/>
    <x v="0"/>
    <n v="9"/>
    <n v="5500"/>
    <x v="1"/>
  </r>
  <r>
    <d v="2023-09-19T00:00:00"/>
    <x v="9"/>
    <x v="4"/>
    <x v="1"/>
    <s v="Cash"/>
    <n v="2990"/>
    <x v="1"/>
    <x v="1"/>
    <n v="9"/>
    <n v="4000"/>
    <x v="1"/>
  </r>
  <r>
    <d v="2023-12-19T00:00:00"/>
    <x v="1"/>
    <x v="6"/>
    <x v="7"/>
    <s v="Credit Card"/>
    <n v="3304"/>
    <x v="0"/>
    <x v="0"/>
    <n v="12"/>
    <n v="5500"/>
    <x v="1"/>
  </r>
  <r>
    <d v="2023-08-24T00:00:00"/>
    <x v="4"/>
    <x v="8"/>
    <x v="7"/>
    <s v="Debit Card"/>
    <n v="278"/>
    <x v="1"/>
    <x v="0"/>
    <n v="8"/>
    <n v="7000"/>
    <x v="1"/>
  </r>
  <r>
    <d v="2024-03-11T00:00:00"/>
    <x v="2"/>
    <x v="4"/>
    <x v="4"/>
    <s v="Credit Card"/>
    <n v="1216"/>
    <x v="1"/>
    <x v="0"/>
    <n v="3"/>
    <n v="4000"/>
    <x v="1"/>
  </r>
  <r>
    <d v="2023-07-11T00:00:00"/>
    <x v="3"/>
    <x v="3"/>
    <x v="9"/>
    <s v="Cash"/>
    <n v="2531"/>
    <x v="1"/>
    <x v="1"/>
    <n v="7"/>
    <n v="1000"/>
    <x v="0"/>
  </r>
  <r>
    <d v="2024-08-02T00:00:00"/>
    <x v="4"/>
    <x v="1"/>
    <x v="3"/>
    <s v="Debit Card"/>
    <n v="4606"/>
    <x v="1"/>
    <x v="0"/>
    <n v="8"/>
    <n v="5000"/>
    <x v="1"/>
  </r>
  <r>
    <d v="2023-06-11T00:00:00"/>
    <x v="10"/>
    <x v="4"/>
    <x v="3"/>
    <s v="UPI"/>
    <n v="4598"/>
    <x v="1"/>
    <x v="0"/>
    <n v="6"/>
    <n v="4000"/>
    <x v="0"/>
  </r>
  <r>
    <d v="2024-01-18T00:00:00"/>
    <x v="8"/>
    <x v="2"/>
    <x v="2"/>
    <s v="Cash"/>
    <n v="3822"/>
    <x v="1"/>
    <x v="1"/>
    <n v="1"/>
    <n v="5000"/>
    <x v="1"/>
  </r>
  <r>
    <d v="2024-10-14T00:00:00"/>
    <x v="0"/>
    <x v="6"/>
    <x v="6"/>
    <s v="Net Banking"/>
    <n v="4679"/>
    <x v="0"/>
    <x v="0"/>
    <n v="10"/>
    <n v="5500"/>
    <x v="1"/>
  </r>
  <r>
    <d v="2023-08-09T00:00:00"/>
    <x v="4"/>
    <x v="6"/>
    <x v="3"/>
    <s v="Credit Card"/>
    <n v="4212"/>
    <x v="0"/>
    <x v="0"/>
    <n v="8"/>
    <n v="5500"/>
    <x v="1"/>
  </r>
  <r>
    <d v="2023-02-17T00:00:00"/>
    <x v="7"/>
    <x v="8"/>
    <x v="9"/>
    <s v="Credit Card"/>
    <n v="1262"/>
    <x v="1"/>
    <x v="0"/>
    <n v="2"/>
    <n v="7000"/>
    <x v="1"/>
  </r>
  <r>
    <d v="2024-02-21T00:00:00"/>
    <x v="7"/>
    <x v="8"/>
    <x v="7"/>
    <s v="Cash"/>
    <n v="4626"/>
    <x v="1"/>
    <x v="1"/>
    <n v="2"/>
    <n v="7000"/>
    <x v="1"/>
  </r>
  <r>
    <d v="2024-11-11T00:00:00"/>
    <x v="11"/>
    <x v="8"/>
    <x v="2"/>
    <s v="Credit Card"/>
    <n v="58"/>
    <x v="1"/>
    <x v="0"/>
    <n v="11"/>
    <n v="7000"/>
    <x v="1"/>
  </r>
  <r>
    <d v="2024-09-09T00:00:00"/>
    <x v="9"/>
    <x v="0"/>
    <x v="5"/>
    <s v="UPI"/>
    <n v="3784"/>
    <x v="0"/>
    <x v="0"/>
    <n v="9"/>
    <n v="2000"/>
    <x v="0"/>
  </r>
  <r>
    <d v="2024-02-11T00:00:00"/>
    <x v="7"/>
    <x v="4"/>
    <x v="3"/>
    <s v="Credit Card"/>
    <n v="3740"/>
    <x v="1"/>
    <x v="0"/>
    <n v="2"/>
    <n v="4000"/>
    <x v="1"/>
  </r>
  <r>
    <d v="2024-12-07T00:00:00"/>
    <x v="1"/>
    <x v="6"/>
    <x v="2"/>
    <s v="Credit Card"/>
    <n v="53"/>
    <x v="0"/>
    <x v="0"/>
    <n v="12"/>
    <n v="5500"/>
    <x v="1"/>
  </r>
  <r>
    <d v="2024-03-21T00:00:00"/>
    <x v="2"/>
    <x v="8"/>
    <x v="2"/>
    <s v="Credit Card"/>
    <n v="1062"/>
    <x v="1"/>
    <x v="0"/>
    <n v="3"/>
    <n v="7000"/>
    <x v="1"/>
  </r>
  <r>
    <d v="2024-01-23T00:00:00"/>
    <x v="8"/>
    <x v="2"/>
    <x v="8"/>
    <s v="Credit Card"/>
    <n v="2868"/>
    <x v="1"/>
    <x v="0"/>
    <n v="1"/>
    <n v="5000"/>
    <x v="1"/>
  </r>
  <r>
    <d v="2024-10-03T00:00:00"/>
    <x v="0"/>
    <x v="8"/>
    <x v="5"/>
    <s v="Net Banking"/>
    <n v="1001"/>
    <x v="1"/>
    <x v="0"/>
    <n v="10"/>
    <n v="7000"/>
    <x v="1"/>
  </r>
  <r>
    <d v="2023-10-08T00:00:00"/>
    <x v="0"/>
    <x v="6"/>
    <x v="5"/>
    <s v="Net Banking"/>
    <n v="3886"/>
    <x v="0"/>
    <x v="0"/>
    <n v="10"/>
    <n v="5500"/>
    <x v="1"/>
  </r>
  <r>
    <d v="2024-04-20T00:00:00"/>
    <x v="6"/>
    <x v="7"/>
    <x v="9"/>
    <s v="Credit Card"/>
    <n v="3939"/>
    <x v="1"/>
    <x v="0"/>
    <n v="4"/>
    <n v="10000"/>
    <x v="1"/>
  </r>
  <r>
    <d v="2023-10-29T00:00:00"/>
    <x v="0"/>
    <x v="8"/>
    <x v="1"/>
    <s v="Cash"/>
    <n v="1252"/>
    <x v="1"/>
    <x v="1"/>
    <n v="10"/>
    <n v="7000"/>
    <x v="1"/>
  </r>
  <r>
    <d v="2023-02-28T00:00:00"/>
    <x v="7"/>
    <x v="6"/>
    <x v="9"/>
    <s v="Debit Card"/>
    <n v="766"/>
    <x v="0"/>
    <x v="0"/>
    <n v="2"/>
    <n v="5500"/>
    <x v="1"/>
  </r>
  <r>
    <d v="2023-06-16T00:00:00"/>
    <x v="10"/>
    <x v="6"/>
    <x v="9"/>
    <s v="Net Banking"/>
    <n v="1803"/>
    <x v="0"/>
    <x v="0"/>
    <n v="6"/>
    <n v="5500"/>
    <x v="1"/>
  </r>
  <r>
    <d v="2023-01-13T00:00:00"/>
    <x v="8"/>
    <x v="0"/>
    <x v="0"/>
    <s v="Credit Card"/>
    <n v="723"/>
    <x v="0"/>
    <x v="0"/>
    <n v="1"/>
    <n v="2000"/>
    <x v="1"/>
  </r>
  <r>
    <d v="2024-03-05T00:00:00"/>
    <x v="2"/>
    <x v="0"/>
    <x v="1"/>
    <s v="Net Banking"/>
    <n v="3835"/>
    <x v="0"/>
    <x v="0"/>
    <n v="3"/>
    <n v="2000"/>
    <x v="0"/>
  </r>
  <r>
    <d v="2023-04-25T00:00:00"/>
    <x v="6"/>
    <x v="3"/>
    <x v="6"/>
    <s v="Debit Card"/>
    <n v="3323"/>
    <x v="1"/>
    <x v="0"/>
    <n v="4"/>
    <n v="1000"/>
    <x v="0"/>
  </r>
  <r>
    <d v="2023-07-28T00:00:00"/>
    <x v="3"/>
    <x v="8"/>
    <x v="4"/>
    <s v="Cash"/>
    <n v="4266"/>
    <x v="1"/>
    <x v="1"/>
    <n v="7"/>
    <n v="7000"/>
    <x v="1"/>
  </r>
  <r>
    <d v="2023-05-24T00:00:00"/>
    <x v="5"/>
    <x v="4"/>
    <x v="4"/>
    <s v="Debit Card"/>
    <n v="2758"/>
    <x v="1"/>
    <x v="0"/>
    <n v="5"/>
    <n v="4000"/>
    <x v="1"/>
  </r>
  <r>
    <d v="2024-01-29T00:00:00"/>
    <x v="8"/>
    <x v="2"/>
    <x v="2"/>
    <s v="Net Banking"/>
    <n v="1932"/>
    <x v="1"/>
    <x v="0"/>
    <n v="1"/>
    <n v="5000"/>
    <x v="1"/>
  </r>
  <r>
    <d v="2024-10-15T00:00:00"/>
    <x v="0"/>
    <x v="6"/>
    <x v="7"/>
    <s v="Net Banking"/>
    <n v="3963"/>
    <x v="0"/>
    <x v="0"/>
    <n v="10"/>
    <n v="5500"/>
    <x v="1"/>
  </r>
  <r>
    <d v="2023-12-11T00:00:00"/>
    <x v="1"/>
    <x v="1"/>
    <x v="1"/>
    <s v="Credit Card"/>
    <n v="1745"/>
    <x v="1"/>
    <x v="0"/>
    <n v="12"/>
    <n v="5000"/>
    <x v="1"/>
  </r>
  <r>
    <d v="2023-09-26T00:00:00"/>
    <x v="9"/>
    <x v="7"/>
    <x v="5"/>
    <s v="Credit Card"/>
    <n v="471"/>
    <x v="1"/>
    <x v="0"/>
    <n v="9"/>
    <n v="10000"/>
    <x v="1"/>
  </r>
  <r>
    <d v="2023-02-23T00:00:00"/>
    <x v="7"/>
    <x v="5"/>
    <x v="4"/>
    <s v="Cash"/>
    <n v="1635"/>
    <x v="0"/>
    <x v="1"/>
    <n v="2"/>
    <n v="3000"/>
    <x v="1"/>
  </r>
  <r>
    <d v="2024-03-02T00:00:00"/>
    <x v="2"/>
    <x v="4"/>
    <x v="6"/>
    <s v="Cash"/>
    <n v="2830"/>
    <x v="1"/>
    <x v="1"/>
    <n v="3"/>
    <n v="4000"/>
    <x v="1"/>
  </r>
  <r>
    <d v="2023-05-16T00:00:00"/>
    <x v="5"/>
    <x v="6"/>
    <x v="2"/>
    <s v="Debit Card"/>
    <n v="386"/>
    <x v="0"/>
    <x v="0"/>
    <n v="5"/>
    <n v="5500"/>
    <x v="1"/>
  </r>
  <r>
    <d v="2024-04-30T00:00:00"/>
    <x v="6"/>
    <x v="4"/>
    <x v="7"/>
    <s v="Credit Card"/>
    <n v="1201"/>
    <x v="1"/>
    <x v="0"/>
    <n v="4"/>
    <n v="4000"/>
    <x v="1"/>
  </r>
  <r>
    <d v="2023-01-09T00:00:00"/>
    <x v="8"/>
    <x v="0"/>
    <x v="1"/>
    <s v="Net Banking"/>
    <n v="4801"/>
    <x v="0"/>
    <x v="0"/>
    <n v="1"/>
    <n v="2000"/>
    <x v="0"/>
  </r>
  <r>
    <d v="2023-10-27T00:00:00"/>
    <x v="0"/>
    <x v="6"/>
    <x v="0"/>
    <s v="UPI"/>
    <n v="4149"/>
    <x v="0"/>
    <x v="0"/>
    <n v="10"/>
    <n v="5500"/>
    <x v="1"/>
  </r>
  <r>
    <d v="2023-01-02T00:00:00"/>
    <x v="8"/>
    <x v="3"/>
    <x v="2"/>
    <s v="Credit Card"/>
    <n v="2287"/>
    <x v="1"/>
    <x v="0"/>
    <n v="1"/>
    <n v="1000"/>
    <x v="0"/>
  </r>
  <r>
    <d v="2023-02-28T00:00:00"/>
    <x v="7"/>
    <x v="0"/>
    <x v="8"/>
    <s v="Net Banking"/>
    <n v="4670"/>
    <x v="0"/>
    <x v="0"/>
    <n v="2"/>
    <n v="2000"/>
    <x v="0"/>
  </r>
  <r>
    <d v="2024-04-11T00:00:00"/>
    <x v="6"/>
    <x v="5"/>
    <x v="4"/>
    <s v="Debit Card"/>
    <n v="2043"/>
    <x v="0"/>
    <x v="0"/>
    <n v="4"/>
    <n v="3000"/>
    <x v="1"/>
  </r>
  <r>
    <d v="2023-06-10T00:00:00"/>
    <x v="10"/>
    <x v="0"/>
    <x v="3"/>
    <s v="Net Banking"/>
    <n v="4974"/>
    <x v="0"/>
    <x v="0"/>
    <n v="6"/>
    <n v="2000"/>
    <x v="0"/>
  </r>
  <r>
    <d v="2023-04-30T00:00:00"/>
    <x v="6"/>
    <x v="2"/>
    <x v="0"/>
    <s v="UPI"/>
    <n v="2372"/>
    <x v="1"/>
    <x v="0"/>
    <n v="4"/>
    <n v="5000"/>
    <x v="1"/>
  </r>
  <r>
    <d v="2024-07-12T00:00:00"/>
    <x v="3"/>
    <x v="1"/>
    <x v="5"/>
    <s v="Net Banking"/>
    <n v="1330"/>
    <x v="1"/>
    <x v="0"/>
    <n v="7"/>
    <n v="5000"/>
    <x v="1"/>
  </r>
  <r>
    <d v="2023-12-19T00:00:00"/>
    <x v="1"/>
    <x v="6"/>
    <x v="9"/>
    <s v="Cash"/>
    <n v="3527"/>
    <x v="0"/>
    <x v="1"/>
    <n v="12"/>
    <n v="5500"/>
    <x v="1"/>
  </r>
  <r>
    <d v="2024-01-08T00:00:00"/>
    <x v="8"/>
    <x v="5"/>
    <x v="4"/>
    <s v="Cash"/>
    <n v="4639"/>
    <x v="0"/>
    <x v="1"/>
    <n v="1"/>
    <n v="3000"/>
    <x v="0"/>
  </r>
  <r>
    <d v="2024-03-06T00:00:00"/>
    <x v="2"/>
    <x v="6"/>
    <x v="2"/>
    <s v="Cash"/>
    <n v="4819"/>
    <x v="0"/>
    <x v="1"/>
    <n v="3"/>
    <n v="5500"/>
    <x v="1"/>
  </r>
  <r>
    <d v="2023-08-05T00:00:00"/>
    <x v="4"/>
    <x v="8"/>
    <x v="0"/>
    <s v="UPI"/>
    <n v="4444"/>
    <x v="1"/>
    <x v="0"/>
    <n v="8"/>
    <n v="7000"/>
    <x v="1"/>
  </r>
  <r>
    <d v="2024-04-29T00:00:00"/>
    <x v="6"/>
    <x v="3"/>
    <x v="1"/>
    <s v="Credit Card"/>
    <n v="1928"/>
    <x v="1"/>
    <x v="0"/>
    <n v="4"/>
    <n v="1000"/>
    <x v="0"/>
  </r>
  <r>
    <d v="2024-07-04T00:00:00"/>
    <x v="3"/>
    <x v="7"/>
    <x v="3"/>
    <s v="Net Banking"/>
    <n v="4221"/>
    <x v="1"/>
    <x v="0"/>
    <n v="7"/>
    <n v="10000"/>
    <x v="1"/>
  </r>
  <r>
    <d v="2024-07-06T00:00:00"/>
    <x v="3"/>
    <x v="6"/>
    <x v="5"/>
    <s v="Debit Card"/>
    <n v="893"/>
    <x v="0"/>
    <x v="0"/>
    <n v="7"/>
    <n v="5500"/>
    <x v="1"/>
  </r>
  <r>
    <d v="2024-01-10T00:00:00"/>
    <x v="8"/>
    <x v="3"/>
    <x v="5"/>
    <s v="Net Banking"/>
    <n v="900"/>
    <x v="1"/>
    <x v="0"/>
    <n v="1"/>
    <n v="1000"/>
    <x v="1"/>
  </r>
  <r>
    <d v="2023-05-20T00:00:00"/>
    <x v="5"/>
    <x v="8"/>
    <x v="2"/>
    <s v="Net Banking"/>
    <n v="2829"/>
    <x v="1"/>
    <x v="0"/>
    <n v="5"/>
    <n v="7000"/>
    <x v="1"/>
  </r>
  <r>
    <d v="2024-07-04T00:00:00"/>
    <x v="3"/>
    <x v="0"/>
    <x v="3"/>
    <s v="Cash"/>
    <n v="2291"/>
    <x v="0"/>
    <x v="1"/>
    <n v="7"/>
    <n v="2000"/>
    <x v="0"/>
  </r>
  <r>
    <d v="2024-01-01T00:00:00"/>
    <x v="8"/>
    <x v="8"/>
    <x v="7"/>
    <s v="Credit Card"/>
    <n v="3466"/>
    <x v="1"/>
    <x v="0"/>
    <n v="1"/>
    <n v="7000"/>
    <x v="1"/>
  </r>
  <r>
    <d v="2023-11-05T00:00:00"/>
    <x v="11"/>
    <x v="3"/>
    <x v="4"/>
    <s v="Cash"/>
    <n v="4895"/>
    <x v="1"/>
    <x v="1"/>
    <n v="11"/>
    <n v="1000"/>
    <x v="0"/>
  </r>
  <r>
    <d v="2023-07-01T00:00:00"/>
    <x v="3"/>
    <x v="8"/>
    <x v="8"/>
    <s v="Debit Card"/>
    <n v="4476"/>
    <x v="1"/>
    <x v="0"/>
    <n v="7"/>
    <n v="7000"/>
    <x v="1"/>
  </r>
  <r>
    <d v="2023-11-16T00:00:00"/>
    <x v="11"/>
    <x v="2"/>
    <x v="6"/>
    <s v="Net Banking"/>
    <n v="1269"/>
    <x v="1"/>
    <x v="0"/>
    <n v="11"/>
    <n v="5000"/>
    <x v="1"/>
  </r>
  <r>
    <d v="2023-03-12T00:00:00"/>
    <x v="2"/>
    <x v="0"/>
    <x v="4"/>
    <s v="Debit Card"/>
    <n v="2638"/>
    <x v="0"/>
    <x v="0"/>
    <n v="3"/>
    <n v="2000"/>
    <x v="0"/>
  </r>
  <r>
    <d v="2023-02-18T00:00:00"/>
    <x v="7"/>
    <x v="5"/>
    <x v="9"/>
    <s v="Cash"/>
    <n v="1777"/>
    <x v="0"/>
    <x v="1"/>
    <n v="2"/>
    <n v="3000"/>
    <x v="1"/>
  </r>
  <r>
    <d v="2024-06-19T00:00:00"/>
    <x v="10"/>
    <x v="7"/>
    <x v="1"/>
    <s v="UPI"/>
    <n v="480"/>
    <x v="1"/>
    <x v="0"/>
    <n v="6"/>
    <n v="10000"/>
    <x v="1"/>
  </r>
  <r>
    <d v="2023-04-11T00:00:00"/>
    <x v="6"/>
    <x v="6"/>
    <x v="0"/>
    <s v="Net Banking"/>
    <n v="1561"/>
    <x v="0"/>
    <x v="0"/>
    <n v="4"/>
    <n v="5500"/>
    <x v="1"/>
  </r>
  <r>
    <d v="2023-03-04T00:00:00"/>
    <x v="2"/>
    <x v="4"/>
    <x v="2"/>
    <s v="Debit Card"/>
    <n v="4480"/>
    <x v="1"/>
    <x v="0"/>
    <n v="3"/>
    <n v="4000"/>
    <x v="0"/>
  </r>
  <r>
    <d v="2024-11-24T00:00:00"/>
    <x v="11"/>
    <x v="6"/>
    <x v="9"/>
    <s v="Net Banking"/>
    <n v="1668"/>
    <x v="0"/>
    <x v="0"/>
    <n v="11"/>
    <n v="5500"/>
    <x v="1"/>
  </r>
  <r>
    <d v="2023-09-25T00:00:00"/>
    <x v="9"/>
    <x v="0"/>
    <x v="6"/>
    <s v="Debit Card"/>
    <n v="2081"/>
    <x v="0"/>
    <x v="0"/>
    <n v="9"/>
    <n v="2000"/>
    <x v="0"/>
  </r>
  <r>
    <d v="2024-08-09T00:00:00"/>
    <x v="4"/>
    <x v="0"/>
    <x v="4"/>
    <s v="Credit Card"/>
    <n v="680"/>
    <x v="0"/>
    <x v="0"/>
    <n v="8"/>
    <n v="2000"/>
    <x v="1"/>
  </r>
  <r>
    <d v="2023-12-03T00:00:00"/>
    <x v="1"/>
    <x v="5"/>
    <x v="6"/>
    <s v="UPI"/>
    <n v="4538"/>
    <x v="0"/>
    <x v="0"/>
    <n v="12"/>
    <n v="3000"/>
    <x v="0"/>
  </r>
  <r>
    <d v="2023-07-13T00:00:00"/>
    <x v="3"/>
    <x v="6"/>
    <x v="5"/>
    <s v="UPI"/>
    <n v="599"/>
    <x v="0"/>
    <x v="0"/>
    <n v="7"/>
    <n v="5500"/>
    <x v="1"/>
  </r>
  <r>
    <d v="2024-01-10T00:00:00"/>
    <x v="8"/>
    <x v="3"/>
    <x v="3"/>
    <s v="Credit Card"/>
    <n v="4088"/>
    <x v="1"/>
    <x v="0"/>
    <n v="1"/>
    <n v="1000"/>
    <x v="0"/>
  </r>
  <r>
    <d v="2023-08-03T00:00:00"/>
    <x v="4"/>
    <x v="2"/>
    <x v="2"/>
    <s v="Credit Card"/>
    <n v="4297"/>
    <x v="1"/>
    <x v="0"/>
    <n v="8"/>
    <n v="5000"/>
    <x v="1"/>
  </r>
  <r>
    <d v="2023-03-07T00:00:00"/>
    <x v="2"/>
    <x v="2"/>
    <x v="1"/>
    <s v="Credit Card"/>
    <n v="310"/>
    <x v="1"/>
    <x v="0"/>
    <n v="3"/>
    <n v="5000"/>
    <x v="1"/>
  </r>
  <r>
    <d v="2024-03-03T00:00:00"/>
    <x v="2"/>
    <x v="2"/>
    <x v="1"/>
    <s v="Net Banking"/>
    <n v="3340"/>
    <x v="1"/>
    <x v="0"/>
    <n v="3"/>
    <n v="5000"/>
    <x v="1"/>
  </r>
  <r>
    <d v="2024-11-16T00:00:00"/>
    <x v="11"/>
    <x v="6"/>
    <x v="8"/>
    <s v="Debit Card"/>
    <n v="679"/>
    <x v="0"/>
    <x v="0"/>
    <n v="11"/>
    <n v="5500"/>
    <x v="1"/>
  </r>
  <r>
    <d v="2024-09-23T00:00:00"/>
    <x v="9"/>
    <x v="0"/>
    <x v="7"/>
    <s v="UPI"/>
    <n v="2525"/>
    <x v="0"/>
    <x v="0"/>
    <n v="9"/>
    <n v="2000"/>
    <x v="0"/>
  </r>
  <r>
    <d v="2024-10-14T00:00:00"/>
    <x v="0"/>
    <x v="3"/>
    <x v="2"/>
    <s v="Net Banking"/>
    <n v="4050"/>
    <x v="1"/>
    <x v="0"/>
    <n v="10"/>
    <n v="1000"/>
    <x v="0"/>
  </r>
  <r>
    <d v="2023-05-31T00:00:00"/>
    <x v="5"/>
    <x v="8"/>
    <x v="4"/>
    <s v="Debit Card"/>
    <n v="721"/>
    <x v="1"/>
    <x v="0"/>
    <n v="5"/>
    <n v="7000"/>
    <x v="1"/>
  </r>
  <r>
    <d v="2023-03-02T00:00:00"/>
    <x v="2"/>
    <x v="5"/>
    <x v="8"/>
    <s v="Net Banking"/>
    <n v="2833"/>
    <x v="0"/>
    <x v="0"/>
    <n v="3"/>
    <n v="3000"/>
    <x v="1"/>
  </r>
  <r>
    <d v="2024-12-14T00:00:00"/>
    <x v="1"/>
    <x v="2"/>
    <x v="8"/>
    <s v="Cash"/>
    <n v="1471"/>
    <x v="1"/>
    <x v="1"/>
    <n v="12"/>
    <n v="5000"/>
    <x v="1"/>
  </r>
  <r>
    <d v="2024-04-26T00:00:00"/>
    <x v="6"/>
    <x v="6"/>
    <x v="8"/>
    <s v="Net Banking"/>
    <n v="3236"/>
    <x v="0"/>
    <x v="0"/>
    <n v="4"/>
    <n v="5500"/>
    <x v="1"/>
  </r>
  <r>
    <d v="2023-10-05T00:00:00"/>
    <x v="0"/>
    <x v="4"/>
    <x v="1"/>
    <s v="UPI"/>
    <n v="2735"/>
    <x v="1"/>
    <x v="0"/>
    <n v="10"/>
    <n v="4000"/>
    <x v="1"/>
  </r>
  <r>
    <d v="2023-10-22T00:00:00"/>
    <x v="0"/>
    <x v="0"/>
    <x v="9"/>
    <s v="UPI"/>
    <n v="4794"/>
    <x v="0"/>
    <x v="0"/>
    <n v="10"/>
    <n v="2000"/>
    <x v="0"/>
  </r>
  <r>
    <d v="2024-02-27T00:00:00"/>
    <x v="7"/>
    <x v="4"/>
    <x v="4"/>
    <s v="Net Banking"/>
    <n v="3408"/>
    <x v="1"/>
    <x v="0"/>
    <n v="2"/>
    <n v="4000"/>
    <x v="1"/>
  </r>
  <r>
    <d v="2024-03-06T00:00:00"/>
    <x v="2"/>
    <x v="8"/>
    <x v="7"/>
    <s v="Net Banking"/>
    <n v="3550"/>
    <x v="1"/>
    <x v="0"/>
    <n v="3"/>
    <n v="7000"/>
    <x v="1"/>
  </r>
  <r>
    <d v="2023-11-17T00:00:00"/>
    <x v="11"/>
    <x v="2"/>
    <x v="5"/>
    <s v="Credit Card"/>
    <n v="2960"/>
    <x v="1"/>
    <x v="0"/>
    <n v="11"/>
    <n v="5000"/>
    <x v="1"/>
  </r>
  <r>
    <d v="2024-06-14T00:00:00"/>
    <x v="10"/>
    <x v="5"/>
    <x v="5"/>
    <s v="Credit Card"/>
    <n v="1645"/>
    <x v="0"/>
    <x v="0"/>
    <n v="6"/>
    <n v="3000"/>
    <x v="1"/>
  </r>
  <r>
    <d v="2023-10-27T00:00:00"/>
    <x v="0"/>
    <x v="4"/>
    <x v="2"/>
    <s v="Credit Card"/>
    <n v="886"/>
    <x v="1"/>
    <x v="0"/>
    <n v="10"/>
    <n v="4000"/>
    <x v="1"/>
  </r>
  <r>
    <d v="2023-02-09T00:00:00"/>
    <x v="7"/>
    <x v="4"/>
    <x v="9"/>
    <s v="Cash"/>
    <n v="4920"/>
    <x v="1"/>
    <x v="1"/>
    <n v="2"/>
    <n v="4000"/>
    <x v="0"/>
  </r>
  <r>
    <d v="2023-01-02T00:00:00"/>
    <x v="8"/>
    <x v="7"/>
    <x v="1"/>
    <s v="Cash"/>
    <n v="3880"/>
    <x v="1"/>
    <x v="1"/>
    <n v="1"/>
    <n v="10000"/>
    <x v="1"/>
  </r>
  <r>
    <d v="2024-12-16T00:00:00"/>
    <x v="1"/>
    <x v="8"/>
    <x v="1"/>
    <s v="Net Banking"/>
    <n v="3466"/>
    <x v="1"/>
    <x v="0"/>
    <n v="12"/>
    <n v="7000"/>
    <x v="1"/>
  </r>
  <r>
    <d v="2023-09-06T00:00:00"/>
    <x v="9"/>
    <x v="7"/>
    <x v="6"/>
    <s v="UPI"/>
    <n v="2688"/>
    <x v="1"/>
    <x v="0"/>
    <n v="9"/>
    <n v="10000"/>
    <x v="1"/>
  </r>
  <r>
    <d v="2023-07-06T00:00:00"/>
    <x v="3"/>
    <x v="0"/>
    <x v="5"/>
    <s v="Credit Card"/>
    <n v="1654"/>
    <x v="0"/>
    <x v="0"/>
    <n v="7"/>
    <n v="2000"/>
    <x v="1"/>
  </r>
  <r>
    <d v="2023-11-14T00:00:00"/>
    <x v="11"/>
    <x v="8"/>
    <x v="5"/>
    <s v="Net Banking"/>
    <n v="2418"/>
    <x v="1"/>
    <x v="0"/>
    <n v="11"/>
    <n v="7000"/>
    <x v="1"/>
  </r>
  <r>
    <d v="2023-09-04T00:00:00"/>
    <x v="9"/>
    <x v="7"/>
    <x v="1"/>
    <s v="Net Banking"/>
    <n v="1440"/>
    <x v="1"/>
    <x v="0"/>
    <n v="9"/>
    <n v="10000"/>
    <x v="1"/>
  </r>
  <r>
    <d v="2024-01-04T00:00:00"/>
    <x v="8"/>
    <x v="1"/>
    <x v="4"/>
    <s v="Cash"/>
    <n v="1480"/>
    <x v="1"/>
    <x v="1"/>
    <n v="1"/>
    <n v="5000"/>
    <x v="1"/>
  </r>
  <r>
    <d v="2023-02-25T00:00:00"/>
    <x v="7"/>
    <x v="2"/>
    <x v="3"/>
    <s v="Debit Card"/>
    <n v="1051"/>
    <x v="1"/>
    <x v="0"/>
    <n v="2"/>
    <n v="5000"/>
    <x v="1"/>
  </r>
  <r>
    <d v="2024-01-01T00:00:00"/>
    <x v="8"/>
    <x v="7"/>
    <x v="2"/>
    <s v="Credit Card"/>
    <n v="3923"/>
    <x v="1"/>
    <x v="0"/>
    <n v="1"/>
    <n v="10000"/>
    <x v="1"/>
  </r>
  <r>
    <d v="2024-02-14T00:00:00"/>
    <x v="7"/>
    <x v="3"/>
    <x v="3"/>
    <s v="Cash"/>
    <n v="2859"/>
    <x v="1"/>
    <x v="1"/>
    <n v="2"/>
    <n v="1000"/>
    <x v="0"/>
  </r>
  <r>
    <d v="2023-11-06T00:00:00"/>
    <x v="11"/>
    <x v="7"/>
    <x v="5"/>
    <s v="Net Banking"/>
    <n v="2309"/>
    <x v="1"/>
    <x v="0"/>
    <n v="11"/>
    <n v="10000"/>
    <x v="1"/>
  </r>
  <r>
    <d v="2023-12-22T00:00:00"/>
    <x v="1"/>
    <x v="1"/>
    <x v="0"/>
    <s v="Cash"/>
    <n v="4897"/>
    <x v="1"/>
    <x v="1"/>
    <n v="12"/>
    <n v="5000"/>
    <x v="1"/>
  </r>
  <r>
    <d v="2024-08-11T00:00:00"/>
    <x v="4"/>
    <x v="5"/>
    <x v="4"/>
    <s v="Debit Card"/>
    <n v="3691"/>
    <x v="0"/>
    <x v="0"/>
    <n v="8"/>
    <n v="3000"/>
    <x v="0"/>
  </r>
  <r>
    <d v="2024-05-30T00:00:00"/>
    <x v="5"/>
    <x v="3"/>
    <x v="0"/>
    <s v="Debit Card"/>
    <n v="856"/>
    <x v="1"/>
    <x v="0"/>
    <n v="5"/>
    <n v="1000"/>
    <x v="1"/>
  </r>
  <r>
    <d v="2024-04-19T00:00:00"/>
    <x v="6"/>
    <x v="8"/>
    <x v="4"/>
    <s v="Net Banking"/>
    <n v="3092"/>
    <x v="1"/>
    <x v="0"/>
    <n v="4"/>
    <n v="7000"/>
    <x v="1"/>
  </r>
  <r>
    <d v="2024-07-04T00:00:00"/>
    <x v="3"/>
    <x v="5"/>
    <x v="0"/>
    <s v="Cash"/>
    <n v="1716"/>
    <x v="0"/>
    <x v="1"/>
    <n v="7"/>
    <n v="3000"/>
    <x v="1"/>
  </r>
  <r>
    <d v="2023-10-09T00:00:00"/>
    <x v="0"/>
    <x v="6"/>
    <x v="4"/>
    <s v="Net Banking"/>
    <n v="3562"/>
    <x v="0"/>
    <x v="0"/>
    <n v="10"/>
    <n v="5500"/>
    <x v="1"/>
  </r>
  <r>
    <d v="2024-08-30T00:00:00"/>
    <x v="4"/>
    <x v="3"/>
    <x v="2"/>
    <s v="UPI"/>
    <n v="3117"/>
    <x v="1"/>
    <x v="0"/>
    <n v="8"/>
    <n v="1000"/>
    <x v="0"/>
  </r>
  <r>
    <d v="2023-02-16T00:00:00"/>
    <x v="7"/>
    <x v="6"/>
    <x v="3"/>
    <s v="Net Banking"/>
    <n v="3527"/>
    <x v="0"/>
    <x v="0"/>
    <n v="2"/>
    <n v="5500"/>
    <x v="1"/>
  </r>
  <r>
    <d v="2024-06-12T00:00:00"/>
    <x v="10"/>
    <x v="8"/>
    <x v="2"/>
    <s v="Debit Card"/>
    <n v="2864"/>
    <x v="1"/>
    <x v="0"/>
    <n v="6"/>
    <n v="7000"/>
    <x v="1"/>
  </r>
  <r>
    <d v="2023-10-09T00:00:00"/>
    <x v="0"/>
    <x v="1"/>
    <x v="7"/>
    <s v="Net Banking"/>
    <n v="4711"/>
    <x v="1"/>
    <x v="0"/>
    <n v="10"/>
    <n v="5000"/>
    <x v="1"/>
  </r>
  <r>
    <d v="2023-01-19T00:00:00"/>
    <x v="8"/>
    <x v="5"/>
    <x v="8"/>
    <s v="Debit Card"/>
    <n v="2990"/>
    <x v="0"/>
    <x v="0"/>
    <n v="1"/>
    <n v="3000"/>
    <x v="1"/>
  </r>
  <r>
    <d v="2024-05-17T00:00:00"/>
    <x v="5"/>
    <x v="5"/>
    <x v="9"/>
    <s v="Credit Card"/>
    <n v="5000"/>
    <x v="0"/>
    <x v="0"/>
    <n v="5"/>
    <n v="3000"/>
    <x v="0"/>
  </r>
  <r>
    <d v="2023-05-19T00:00:00"/>
    <x v="5"/>
    <x v="2"/>
    <x v="5"/>
    <s v="UPI"/>
    <n v="4643"/>
    <x v="1"/>
    <x v="0"/>
    <n v="5"/>
    <n v="5000"/>
    <x v="1"/>
  </r>
  <r>
    <d v="2023-08-26T00:00:00"/>
    <x v="4"/>
    <x v="7"/>
    <x v="0"/>
    <s v="UPI"/>
    <n v="963"/>
    <x v="1"/>
    <x v="0"/>
    <n v="8"/>
    <n v="10000"/>
    <x v="1"/>
  </r>
  <r>
    <d v="2024-04-22T00:00:00"/>
    <x v="6"/>
    <x v="2"/>
    <x v="0"/>
    <s v="Credit Card"/>
    <n v="743"/>
    <x v="1"/>
    <x v="0"/>
    <n v="4"/>
    <n v="5000"/>
    <x v="1"/>
  </r>
  <r>
    <d v="2023-12-15T00:00:00"/>
    <x v="1"/>
    <x v="5"/>
    <x v="0"/>
    <s v="Cash"/>
    <n v="330"/>
    <x v="0"/>
    <x v="1"/>
    <n v="12"/>
    <n v="3000"/>
    <x v="1"/>
  </r>
  <r>
    <d v="2024-08-15T00:00:00"/>
    <x v="4"/>
    <x v="1"/>
    <x v="5"/>
    <s v="UPI"/>
    <n v="4380"/>
    <x v="1"/>
    <x v="0"/>
    <n v="8"/>
    <n v="5000"/>
    <x v="1"/>
  </r>
  <r>
    <d v="2024-07-17T00:00:00"/>
    <x v="3"/>
    <x v="6"/>
    <x v="6"/>
    <s v="Credit Card"/>
    <n v="3774"/>
    <x v="0"/>
    <x v="0"/>
    <n v="7"/>
    <n v="5500"/>
    <x v="1"/>
  </r>
  <r>
    <d v="2023-01-23T00:00:00"/>
    <x v="8"/>
    <x v="5"/>
    <x v="6"/>
    <s v="Credit Card"/>
    <n v="4227"/>
    <x v="0"/>
    <x v="0"/>
    <n v="1"/>
    <n v="3000"/>
    <x v="0"/>
  </r>
  <r>
    <d v="2023-03-12T00:00:00"/>
    <x v="2"/>
    <x v="0"/>
    <x v="1"/>
    <s v="Debit Card"/>
    <n v="3896"/>
    <x v="0"/>
    <x v="0"/>
    <n v="3"/>
    <n v="2000"/>
    <x v="0"/>
  </r>
  <r>
    <d v="2023-03-20T00:00:00"/>
    <x v="2"/>
    <x v="0"/>
    <x v="4"/>
    <s v="Debit Card"/>
    <n v="999"/>
    <x v="0"/>
    <x v="0"/>
    <n v="3"/>
    <n v="2000"/>
    <x v="1"/>
  </r>
  <r>
    <d v="2023-03-09T00:00:00"/>
    <x v="2"/>
    <x v="1"/>
    <x v="8"/>
    <s v="Credit Card"/>
    <n v="942"/>
    <x v="1"/>
    <x v="0"/>
    <n v="3"/>
    <n v="5000"/>
    <x v="1"/>
  </r>
  <r>
    <d v="2024-12-02T00:00:00"/>
    <x v="1"/>
    <x v="3"/>
    <x v="8"/>
    <s v="Cash"/>
    <n v="4354"/>
    <x v="1"/>
    <x v="1"/>
    <n v="12"/>
    <n v="1000"/>
    <x v="0"/>
  </r>
  <r>
    <d v="2023-12-28T00:00:00"/>
    <x v="1"/>
    <x v="7"/>
    <x v="9"/>
    <s v="Debit Card"/>
    <n v="3943"/>
    <x v="1"/>
    <x v="0"/>
    <n v="12"/>
    <n v="10000"/>
    <x v="1"/>
  </r>
  <r>
    <d v="2024-03-28T00:00:00"/>
    <x v="2"/>
    <x v="0"/>
    <x v="7"/>
    <s v="Net Banking"/>
    <n v="899"/>
    <x v="0"/>
    <x v="0"/>
    <n v="3"/>
    <n v="2000"/>
    <x v="1"/>
  </r>
  <r>
    <d v="2023-12-13T00:00:00"/>
    <x v="1"/>
    <x v="2"/>
    <x v="5"/>
    <s v="Debit Card"/>
    <n v="3422"/>
    <x v="1"/>
    <x v="0"/>
    <n v="12"/>
    <n v="5000"/>
    <x v="1"/>
  </r>
  <r>
    <d v="2023-03-24T00:00:00"/>
    <x v="2"/>
    <x v="6"/>
    <x v="0"/>
    <s v="Cash"/>
    <n v="4836"/>
    <x v="0"/>
    <x v="1"/>
    <n v="3"/>
    <n v="5500"/>
    <x v="1"/>
  </r>
  <r>
    <d v="2024-12-07T00:00:00"/>
    <x v="1"/>
    <x v="1"/>
    <x v="1"/>
    <s v="UPI"/>
    <n v="1129"/>
    <x v="1"/>
    <x v="0"/>
    <n v="12"/>
    <n v="5000"/>
    <x v="1"/>
  </r>
  <r>
    <d v="2024-07-08T00:00:00"/>
    <x v="3"/>
    <x v="4"/>
    <x v="8"/>
    <s v="UPI"/>
    <n v="4691"/>
    <x v="1"/>
    <x v="0"/>
    <n v="7"/>
    <n v="4000"/>
    <x v="0"/>
  </r>
  <r>
    <d v="2023-01-05T00:00:00"/>
    <x v="8"/>
    <x v="6"/>
    <x v="8"/>
    <s v="Credit Card"/>
    <n v="4803"/>
    <x v="0"/>
    <x v="0"/>
    <n v="1"/>
    <n v="5500"/>
    <x v="1"/>
  </r>
  <r>
    <d v="2024-09-16T00:00:00"/>
    <x v="9"/>
    <x v="2"/>
    <x v="8"/>
    <s v="Credit Card"/>
    <n v="4610"/>
    <x v="1"/>
    <x v="0"/>
    <n v="9"/>
    <n v="5000"/>
    <x v="1"/>
  </r>
  <r>
    <d v="2023-11-26T00:00:00"/>
    <x v="11"/>
    <x v="4"/>
    <x v="7"/>
    <s v="Net Banking"/>
    <n v="4739"/>
    <x v="1"/>
    <x v="0"/>
    <n v="11"/>
    <n v="4000"/>
    <x v="0"/>
  </r>
  <r>
    <d v="2023-08-30T00:00:00"/>
    <x v="4"/>
    <x v="7"/>
    <x v="3"/>
    <s v="Credit Card"/>
    <n v="2874"/>
    <x v="1"/>
    <x v="0"/>
    <n v="8"/>
    <n v="10000"/>
    <x v="1"/>
  </r>
  <r>
    <d v="2023-08-19T00:00:00"/>
    <x v="4"/>
    <x v="0"/>
    <x v="5"/>
    <s v="Net Banking"/>
    <n v="2211"/>
    <x v="0"/>
    <x v="0"/>
    <n v="8"/>
    <n v="2000"/>
    <x v="0"/>
  </r>
  <r>
    <d v="2024-12-05T00:00:00"/>
    <x v="1"/>
    <x v="4"/>
    <x v="2"/>
    <s v="UPI"/>
    <n v="2126"/>
    <x v="1"/>
    <x v="0"/>
    <n v="12"/>
    <n v="4000"/>
    <x v="1"/>
  </r>
  <r>
    <d v="2023-07-02T00:00:00"/>
    <x v="3"/>
    <x v="3"/>
    <x v="4"/>
    <s v="Cash"/>
    <n v="1926"/>
    <x v="1"/>
    <x v="1"/>
    <n v="7"/>
    <n v="1000"/>
    <x v="0"/>
  </r>
  <r>
    <d v="2024-12-01T00:00:00"/>
    <x v="1"/>
    <x v="2"/>
    <x v="0"/>
    <s v="Cash"/>
    <n v="3178"/>
    <x v="1"/>
    <x v="1"/>
    <n v="12"/>
    <n v="5000"/>
    <x v="1"/>
  </r>
  <r>
    <d v="2023-07-01T00:00:00"/>
    <x v="3"/>
    <x v="3"/>
    <x v="9"/>
    <s v="Debit Card"/>
    <n v="1009"/>
    <x v="1"/>
    <x v="0"/>
    <n v="7"/>
    <n v="1000"/>
    <x v="0"/>
  </r>
  <r>
    <d v="2023-01-22T00:00:00"/>
    <x v="8"/>
    <x v="6"/>
    <x v="2"/>
    <s v="Cash"/>
    <n v="4772"/>
    <x v="0"/>
    <x v="1"/>
    <n v="1"/>
    <n v="5500"/>
    <x v="1"/>
  </r>
  <r>
    <d v="2024-12-10T00:00:00"/>
    <x v="1"/>
    <x v="8"/>
    <x v="2"/>
    <s v="Credit Card"/>
    <n v="3258"/>
    <x v="1"/>
    <x v="0"/>
    <n v="12"/>
    <n v="7000"/>
    <x v="1"/>
  </r>
  <r>
    <d v="2023-08-25T00:00:00"/>
    <x v="4"/>
    <x v="7"/>
    <x v="2"/>
    <s v="Cash"/>
    <n v="3791"/>
    <x v="1"/>
    <x v="1"/>
    <n v="8"/>
    <n v="10000"/>
    <x v="1"/>
  </r>
  <r>
    <d v="2024-03-24T00:00:00"/>
    <x v="2"/>
    <x v="3"/>
    <x v="7"/>
    <s v="Net Banking"/>
    <n v="1738"/>
    <x v="1"/>
    <x v="0"/>
    <n v="3"/>
    <n v="1000"/>
    <x v="0"/>
  </r>
  <r>
    <d v="2023-12-09T00:00:00"/>
    <x v="1"/>
    <x v="3"/>
    <x v="9"/>
    <s v="UPI"/>
    <n v="4563"/>
    <x v="1"/>
    <x v="0"/>
    <n v="12"/>
    <n v="1000"/>
    <x v="0"/>
  </r>
  <r>
    <d v="2024-12-04T00:00:00"/>
    <x v="1"/>
    <x v="8"/>
    <x v="9"/>
    <s v="Credit Card"/>
    <n v="2723"/>
    <x v="1"/>
    <x v="0"/>
    <n v="12"/>
    <n v="7000"/>
    <x v="1"/>
  </r>
  <r>
    <d v="2024-11-06T00:00:00"/>
    <x v="11"/>
    <x v="5"/>
    <x v="8"/>
    <s v="UPI"/>
    <n v="1496"/>
    <x v="0"/>
    <x v="0"/>
    <n v="11"/>
    <n v="3000"/>
    <x v="1"/>
  </r>
  <r>
    <d v="2023-06-02T00:00:00"/>
    <x v="10"/>
    <x v="6"/>
    <x v="4"/>
    <s v="Credit Card"/>
    <n v="2333"/>
    <x v="0"/>
    <x v="0"/>
    <n v="6"/>
    <n v="5500"/>
    <x v="1"/>
  </r>
  <r>
    <d v="2023-09-19T00:00:00"/>
    <x v="9"/>
    <x v="4"/>
    <x v="1"/>
    <s v="Debit Card"/>
    <n v="238"/>
    <x v="1"/>
    <x v="0"/>
    <n v="9"/>
    <n v="4000"/>
    <x v="1"/>
  </r>
  <r>
    <d v="2023-05-16T00:00:00"/>
    <x v="5"/>
    <x v="7"/>
    <x v="6"/>
    <s v="Credit Card"/>
    <n v="2853"/>
    <x v="1"/>
    <x v="0"/>
    <n v="5"/>
    <n v="10000"/>
    <x v="1"/>
  </r>
  <r>
    <d v="2023-12-09T00:00:00"/>
    <x v="1"/>
    <x v="2"/>
    <x v="3"/>
    <s v="Debit Card"/>
    <n v="2753"/>
    <x v="1"/>
    <x v="0"/>
    <n v="12"/>
    <n v="5000"/>
    <x v="1"/>
  </r>
  <r>
    <d v="2023-12-01T00:00:00"/>
    <x v="1"/>
    <x v="3"/>
    <x v="7"/>
    <s v="Debit Card"/>
    <n v="4621"/>
    <x v="1"/>
    <x v="0"/>
    <n v="12"/>
    <n v="1000"/>
    <x v="0"/>
  </r>
  <r>
    <d v="2023-10-07T00:00:00"/>
    <x v="0"/>
    <x v="5"/>
    <x v="1"/>
    <s v="Credit Card"/>
    <n v="1580"/>
    <x v="0"/>
    <x v="0"/>
    <n v="10"/>
    <n v="3000"/>
    <x v="1"/>
  </r>
  <r>
    <d v="2024-09-17T00:00:00"/>
    <x v="9"/>
    <x v="2"/>
    <x v="2"/>
    <s v="Cash"/>
    <n v="4521"/>
    <x v="1"/>
    <x v="1"/>
    <n v="9"/>
    <n v="5000"/>
    <x v="1"/>
  </r>
  <r>
    <d v="2023-06-21T00:00:00"/>
    <x v="10"/>
    <x v="0"/>
    <x v="1"/>
    <s v="UPI"/>
    <n v="3714"/>
    <x v="0"/>
    <x v="0"/>
    <n v="6"/>
    <n v="2000"/>
    <x v="0"/>
  </r>
  <r>
    <d v="2024-11-14T00:00:00"/>
    <x v="11"/>
    <x v="4"/>
    <x v="0"/>
    <s v="UPI"/>
    <n v="2392"/>
    <x v="1"/>
    <x v="0"/>
    <n v="11"/>
    <n v="4000"/>
    <x v="1"/>
  </r>
  <r>
    <d v="2023-08-19T00:00:00"/>
    <x v="4"/>
    <x v="7"/>
    <x v="7"/>
    <s v="Debit Card"/>
    <n v="4505"/>
    <x v="1"/>
    <x v="0"/>
    <n v="8"/>
    <n v="10000"/>
    <x v="1"/>
  </r>
  <r>
    <d v="2023-10-01T00:00:00"/>
    <x v="0"/>
    <x v="8"/>
    <x v="3"/>
    <s v="Cash"/>
    <n v="427"/>
    <x v="1"/>
    <x v="1"/>
    <n v="10"/>
    <n v="7000"/>
    <x v="1"/>
  </r>
  <r>
    <d v="2023-12-20T00:00:00"/>
    <x v="1"/>
    <x v="8"/>
    <x v="2"/>
    <s v="UPI"/>
    <n v="663"/>
    <x v="1"/>
    <x v="0"/>
    <n v="12"/>
    <n v="7000"/>
    <x v="1"/>
  </r>
  <r>
    <d v="2023-04-08T00:00:00"/>
    <x v="6"/>
    <x v="2"/>
    <x v="9"/>
    <s v="Debit Card"/>
    <n v="4408"/>
    <x v="1"/>
    <x v="0"/>
    <n v="4"/>
    <n v="5000"/>
    <x v="1"/>
  </r>
  <r>
    <d v="2024-10-20T00:00:00"/>
    <x v="0"/>
    <x v="4"/>
    <x v="2"/>
    <s v="UPI"/>
    <n v="4641"/>
    <x v="1"/>
    <x v="0"/>
    <n v="10"/>
    <n v="4000"/>
    <x v="0"/>
  </r>
  <r>
    <d v="2024-09-01T00:00:00"/>
    <x v="9"/>
    <x v="7"/>
    <x v="0"/>
    <s v="Credit Card"/>
    <n v="1491"/>
    <x v="1"/>
    <x v="0"/>
    <n v="9"/>
    <n v="10000"/>
    <x v="1"/>
  </r>
  <r>
    <d v="2023-02-08T00:00:00"/>
    <x v="7"/>
    <x v="2"/>
    <x v="7"/>
    <s v="Cash"/>
    <n v="1332"/>
    <x v="1"/>
    <x v="1"/>
    <n v="2"/>
    <n v="5000"/>
    <x v="1"/>
  </r>
  <r>
    <d v="2023-02-19T00:00:00"/>
    <x v="7"/>
    <x v="7"/>
    <x v="4"/>
    <s v="Net Banking"/>
    <n v="3145"/>
    <x v="1"/>
    <x v="0"/>
    <n v="2"/>
    <n v="10000"/>
    <x v="1"/>
  </r>
  <r>
    <d v="2024-09-23T00:00:00"/>
    <x v="9"/>
    <x v="7"/>
    <x v="8"/>
    <s v="UPI"/>
    <n v="1977"/>
    <x v="1"/>
    <x v="0"/>
    <n v="9"/>
    <n v="10000"/>
    <x v="1"/>
  </r>
  <r>
    <d v="2024-06-03T00:00:00"/>
    <x v="10"/>
    <x v="5"/>
    <x v="9"/>
    <s v="UPI"/>
    <n v="3721"/>
    <x v="0"/>
    <x v="0"/>
    <n v="6"/>
    <n v="3000"/>
    <x v="0"/>
  </r>
  <r>
    <d v="2024-12-08T00:00:00"/>
    <x v="1"/>
    <x v="5"/>
    <x v="4"/>
    <s v="Credit Card"/>
    <n v="4596"/>
    <x v="0"/>
    <x v="0"/>
    <n v="12"/>
    <n v="3000"/>
    <x v="0"/>
  </r>
  <r>
    <d v="2023-12-14T00:00:00"/>
    <x v="1"/>
    <x v="3"/>
    <x v="4"/>
    <s v="Debit Card"/>
    <n v="158"/>
    <x v="1"/>
    <x v="0"/>
    <n v="12"/>
    <n v="1000"/>
    <x v="1"/>
  </r>
  <r>
    <d v="2023-11-25T00:00:00"/>
    <x v="11"/>
    <x v="6"/>
    <x v="9"/>
    <s v="UPI"/>
    <n v="4277"/>
    <x v="0"/>
    <x v="0"/>
    <n v="11"/>
    <n v="5500"/>
    <x v="1"/>
  </r>
  <r>
    <d v="2023-01-06T00:00:00"/>
    <x v="8"/>
    <x v="0"/>
    <x v="1"/>
    <s v="Cash"/>
    <n v="1787"/>
    <x v="0"/>
    <x v="1"/>
    <n v="1"/>
    <n v="2000"/>
    <x v="1"/>
  </r>
  <r>
    <d v="2023-04-02T00:00:00"/>
    <x v="6"/>
    <x v="7"/>
    <x v="0"/>
    <s v="Net Banking"/>
    <n v="466"/>
    <x v="1"/>
    <x v="0"/>
    <n v="4"/>
    <n v="10000"/>
    <x v="1"/>
  </r>
  <r>
    <d v="2024-08-22T00:00:00"/>
    <x v="4"/>
    <x v="5"/>
    <x v="1"/>
    <s v="UPI"/>
    <n v="759"/>
    <x v="0"/>
    <x v="0"/>
    <n v="8"/>
    <n v="3000"/>
    <x v="1"/>
  </r>
  <r>
    <d v="2024-04-13T00:00:00"/>
    <x v="6"/>
    <x v="2"/>
    <x v="7"/>
    <s v="Net Banking"/>
    <n v="3021"/>
    <x v="1"/>
    <x v="0"/>
    <n v="4"/>
    <n v="5000"/>
    <x v="1"/>
  </r>
  <r>
    <d v="2023-12-07T00:00:00"/>
    <x v="1"/>
    <x v="2"/>
    <x v="6"/>
    <s v="Credit Card"/>
    <n v="3810"/>
    <x v="1"/>
    <x v="0"/>
    <n v="12"/>
    <n v="5000"/>
    <x v="1"/>
  </r>
  <r>
    <d v="2024-01-09T00:00:00"/>
    <x v="8"/>
    <x v="3"/>
    <x v="2"/>
    <s v="Debit Card"/>
    <n v="3183"/>
    <x v="1"/>
    <x v="0"/>
    <n v="1"/>
    <n v="1000"/>
    <x v="0"/>
  </r>
  <r>
    <d v="2023-06-18T00:00:00"/>
    <x v="10"/>
    <x v="6"/>
    <x v="0"/>
    <s v="UPI"/>
    <n v="2632"/>
    <x v="0"/>
    <x v="0"/>
    <n v="6"/>
    <n v="5500"/>
    <x v="1"/>
  </r>
  <r>
    <d v="2023-02-10T00:00:00"/>
    <x v="7"/>
    <x v="7"/>
    <x v="1"/>
    <s v="UPI"/>
    <n v="1918"/>
    <x v="1"/>
    <x v="0"/>
    <n v="2"/>
    <n v="10000"/>
    <x v="1"/>
  </r>
  <r>
    <d v="2023-06-04T00:00:00"/>
    <x v="10"/>
    <x v="1"/>
    <x v="0"/>
    <s v="Debit Card"/>
    <n v="2244"/>
    <x v="1"/>
    <x v="0"/>
    <n v="6"/>
    <n v="5000"/>
    <x v="1"/>
  </r>
  <r>
    <d v="2024-04-02T00:00:00"/>
    <x v="6"/>
    <x v="0"/>
    <x v="6"/>
    <s v="Credit Card"/>
    <n v="94"/>
    <x v="0"/>
    <x v="0"/>
    <n v="4"/>
    <n v="2000"/>
    <x v="1"/>
  </r>
  <r>
    <d v="2024-02-20T00:00:00"/>
    <x v="7"/>
    <x v="3"/>
    <x v="8"/>
    <s v="Credit Card"/>
    <n v="3656"/>
    <x v="1"/>
    <x v="0"/>
    <n v="2"/>
    <n v="1000"/>
    <x v="0"/>
  </r>
  <r>
    <d v="2024-01-16T00:00:00"/>
    <x v="8"/>
    <x v="4"/>
    <x v="8"/>
    <s v="Cash"/>
    <n v="3888"/>
    <x v="1"/>
    <x v="1"/>
    <n v="1"/>
    <n v="4000"/>
    <x v="1"/>
  </r>
  <r>
    <d v="2023-12-27T00:00:00"/>
    <x v="1"/>
    <x v="6"/>
    <x v="4"/>
    <s v="Credit Card"/>
    <n v="176"/>
    <x v="0"/>
    <x v="0"/>
    <n v="12"/>
    <n v="5500"/>
    <x v="1"/>
  </r>
  <r>
    <d v="2023-09-27T00:00:00"/>
    <x v="9"/>
    <x v="3"/>
    <x v="0"/>
    <s v="Credit Card"/>
    <n v="3664"/>
    <x v="1"/>
    <x v="0"/>
    <n v="9"/>
    <n v="1000"/>
    <x v="0"/>
  </r>
  <r>
    <d v="2024-12-19T00:00:00"/>
    <x v="1"/>
    <x v="4"/>
    <x v="7"/>
    <s v="UPI"/>
    <n v="4859"/>
    <x v="1"/>
    <x v="0"/>
    <n v="12"/>
    <n v="4000"/>
    <x v="0"/>
  </r>
  <r>
    <d v="2023-01-26T00:00:00"/>
    <x v="8"/>
    <x v="3"/>
    <x v="0"/>
    <s v="Net Banking"/>
    <n v="3450"/>
    <x v="1"/>
    <x v="0"/>
    <n v="1"/>
    <n v="1000"/>
    <x v="0"/>
  </r>
  <r>
    <d v="2024-07-13T00:00:00"/>
    <x v="3"/>
    <x v="5"/>
    <x v="1"/>
    <s v="Credit Card"/>
    <n v="2224"/>
    <x v="0"/>
    <x v="0"/>
    <n v="7"/>
    <n v="3000"/>
    <x v="1"/>
  </r>
  <r>
    <d v="2023-01-31T00:00:00"/>
    <x v="8"/>
    <x v="4"/>
    <x v="7"/>
    <s v="UPI"/>
    <n v="4607"/>
    <x v="1"/>
    <x v="0"/>
    <n v="1"/>
    <n v="4000"/>
    <x v="0"/>
  </r>
  <r>
    <d v="2024-02-20T00:00:00"/>
    <x v="7"/>
    <x v="1"/>
    <x v="1"/>
    <s v="Net Banking"/>
    <n v="1858"/>
    <x v="1"/>
    <x v="0"/>
    <n v="2"/>
    <n v="5000"/>
    <x v="1"/>
  </r>
  <r>
    <d v="2023-09-05T00:00:00"/>
    <x v="9"/>
    <x v="7"/>
    <x v="5"/>
    <s v="Cash"/>
    <n v="2314"/>
    <x v="1"/>
    <x v="1"/>
    <n v="9"/>
    <n v="10000"/>
    <x v="1"/>
  </r>
  <r>
    <d v="2024-08-19T00:00:00"/>
    <x v="4"/>
    <x v="5"/>
    <x v="3"/>
    <s v="UPI"/>
    <n v="3731"/>
    <x v="0"/>
    <x v="0"/>
    <n v="8"/>
    <n v="3000"/>
    <x v="0"/>
  </r>
  <r>
    <d v="2024-05-15T00:00:00"/>
    <x v="5"/>
    <x v="8"/>
    <x v="2"/>
    <s v="Credit Card"/>
    <n v="3198"/>
    <x v="1"/>
    <x v="0"/>
    <n v="5"/>
    <n v="7000"/>
    <x v="1"/>
  </r>
  <r>
    <d v="2024-01-04T00:00:00"/>
    <x v="8"/>
    <x v="5"/>
    <x v="5"/>
    <s v="UPI"/>
    <n v="4414"/>
    <x v="0"/>
    <x v="0"/>
    <n v="1"/>
    <n v="3000"/>
    <x v="0"/>
  </r>
  <r>
    <d v="2024-06-07T00:00:00"/>
    <x v="10"/>
    <x v="6"/>
    <x v="7"/>
    <s v="Net Banking"/>
    <n v="1121"/>
    <x v="0"/>
    <x v="0"/>
    <n v="6"/>
    <n v="5500"/>
    <x v="1"/>
  </r>
  <r>
    <d v="2023-11-07T00:00:00"/>
    <x v="11"/>
    <x v="0"/>
    <x v="7"/>
    <s v="UPI"/>
    <n v="1103"/>
    <x v="0"/>
    <x v="0"/>
    <n v="11"/>
    <n v="2000"/>
    <x v="1"/>
  </r>
  <r>
    <d v="2024-04-02T00:00:00"/>
    <x v="6"/>
    <x v="2"/>
    <x v="7"/>
    <s v="UPI"/>
    <n v="4189"/>
    <x v="1"/>
    <x v="0"/>
    <n v="4"/>
    <n v="5000"/>
    <x v="1"/>
  </r>
  <r>
    <d v="2024-11-08T00:00:00"/>
    <x v="11"/>
    <x v="3"/>
    <x v="0"/>
    <s v="Net Banking"/>
    <n v="200"/>
    <x v="1"/>
    <x v="0"/>
    <n v="11"/>
    <n v="1000"/>
    <x v="1"/>
  </r>
  <r>
    <d v="2024-02-26T00:00:00"/>
    <x v="7"/>
    <x v="3"/>
    <x v="3"/>
    <s v="Debit Card"/>
    <n v="4713"/>
    <x v="1"/>
    <x v="0"/>
    <n v="2"/>
    <n v="1000"/>
    <x v="0"/>
  </r>
  <r>
    <d v="2024-08-05T00:00:00"/>
    <x v="4"/>
    <x v="5"/>
    <x v="6"/>
    <s v="UPI"/>
    <n v="1171"/>
    <x v="0"/>
    <x v="0"/>
    <n v="8"/>
    <n v="3000"/>
    <x v="1"/>
  </r>
  <r>
    <d v="2023-06-21T00:00:00"/>
    <x v="10"/>
    <x v="5"/>
    <x v="2"/>
    <s v="Net Banking"/>
    <n v="3698"/>
    <x v="0"/>
    <x v="0"/>
    <n v="6"/>
    <n v="3000"/>
    <x v="0"/>
  </r>
  <r>
    <d v="2023-09-09T00:00:00"/>
    <x v="9"/>
    <x v="8"/>
    <x v="4"/>
    <s v="UPI"/>
    <n v="3550"/>
    <x v="1"/>
    <x v="0"/>
    <n v="9"/>
    <n v="7000"/>
    <x v="1"/>
  </r>
  <r>
    <d v="2024-12-23T00:00:00"/>
    <x v="1"/>
    <x v="8"/>
    <x v="8"/>
    <s v="Net Banking"/>
    <n v="1154"/>
    <x v="1"/>
    <x v="0"/>
    <n v="12"/>
    <n v="7000"/>
    <x v="1"/>
  </r>
  <r>
    <d v="2024-09-29T00:00:00"/>
    <x v="9"/>
    <x v="1"/>
    <x v="1"/>
    <s v="Cash"/>
    <n v="947"/>
    <x v="1"/>
    <x v="1"/>
    <n v="9"/>
    <n v="5000"/>
    <x v="1"/>
  </r>
  <r>
    <d v="2024-10-08T00:00:00"/>
    <x v="0"/>
    <x v="8"/>
    <x v="5"/>
    <s v="UPI"/>
    <n v="1688"/>
    <x v="1"/>
    <x v="0"/>
    <n v="10"/>
    <n v="7000"/>
    <x v="1"/>
  </r>
  <r>
    <d v="2023-11-09T00:00:00"/>
    <x v="11"/>
    <x v="0"/>
    <x v="5"/>
    <s v="UPI"/>
    <n v="2202"/>
    <x v="0"/>
    <x v="0"/>
    <n v="11"/>
    <n v="2000"/>
    <x v="0"/>
  </r>
  <r>
    <d v="2023-08-06T00:00:00"/>
    <x v="4"/>
    <x v="7"/>
    <x v="6"/>
    <s v="Net Banking"/>
    <n v="822"/>
    <x v="1"/>
    <x v="0"/>
    <n v="8"/>
    <n v="10000"/>
    <x v="1"/>
  </r>
  <r>
    <d v="2024-12-21T00:00:00"/>
    <x v="1"/>
    <x v="6"/>
    <x v="6"/>
    <s v="Credit Card"/>
    <n v="2128"/>
    <x v="0"/>
    <x v="0"/>
    <n v="12"/>
    <n v="5500"/>
    <x v="1"/>
  </r>
  <r>
    <d v="2023-12-20T00:00:00"/>
    <x v="1"/>
    <x v="2"/>
    <x v="3"/>
    <s v="Debit Card"/>
    <n v="1393"/>
    <x v="1"/>
    <x v="0"/>
    <n v="12"/>
    <n v="5000"/>
    <x v="1"/>
  </r>
  <r>
    <d v="2023-10-16T00:00:00"/>
    <x v="0"/>
    <x v="1"/>
    <x v="1"/>
    <s v="UPI"/>
    <n v="2505"/>
    <x v="1"/>
    <x v="0"/>
    <n v="10"/>
    <n v="5000"/>
    <x v="1"/>
  </r>
  <r>
    <d v="2023-03-03T00:00:00"/>
    <x v="2"/>
    <x v="8"/>
    <x v="5"/>
    <s v="Net Banking"/>
    <n v="3642"/>
    <x v="1"/>
    <x v="0"/>
    <n v="3"/>
    <n v="7000"/>
    <x v="1"/>
  </r>
  <r>
    <d v="2024-12-23T00:00:00"/>
    <x v="1"/>
    <x v="6"/>
    <x v="3"/>
    <s v="Net Banking"/>
    <n v="4321"/>
    <x v="0"/>
    <x v="0"/>
    <n v="12"/>
    <n v="5500"/>
    <x v="1"/>
  </r>
  <r>
    <d v="2024-05-24T00:00:00"/>
    <x v="5"/>
    <x v="8"/>
    <x v="3"/>
    <s v="UPI"/>
    <n v="2784"/>
    <x v="1"/>
    <x v="0"/>
    <n v="5"/>
    <n v="7000"/>
    <x v="1"/>
  </r>
  <r>
    <d v="2024-09-17T00:00:00"/>
    <x v="9"/>
    <x v="7"/>
    <x v="2"/>
    <s v="Net Banking"/>
    <n v="4868"/>
    <x v="1"/>
    <x v="0"/>
    <n v="9"/>
    <n v="10000"/>
    <x v="1"/>
  </r>
  <r>
    <d v="2023-07-08T00:00:00"/>
    <x v="3"/>
    <x v="0"/>
    <x v="1"/>
    <s v="Credit Card"/>
    <n v="1847"/>
    <x v="0"/>
    <x v="0"/>
    <n v="7"/>
    <n v="2000"/>
    <x v="1"/>
  </r>
  <r>
    <d v="2023-11-23T00:00:00"/>
    <x v="11"/>
    <x v="5"/>
    <x v="6"/>
    <s v="Debit Card"/>
    <n v="3234"/>
    <x v="0"/>
    <x v="0"/>
    <n v="11"/>
    <n v="3000"/>
    <x v="0"/>
  </r>
  <r>
    <d v="2023-11-30T00:00:00"/>
    <x v="11"/>
    <x v="0"/>
    <x v="7"/>
    <s v="Cash"/>
    <n v="3063"/>
    <x v="0"/>
    <x v="1"/>
    <n v="11"/>
    <n v="2000"/>
    <x v="0"/>
  </r>
  <r>
    <d v="2024-04-29T00:00:00"/>
    <x v="6"/>
    <x v="5"/>
    <x v="2"/>
    <s v="Credit Card"/>
    <n v="717"/>
    <x v="0"/>
    <x v="0"/>
    <n v="4"/>
    <n v="3000"/>
    <x v="1"/>
  </r>
  <r>
    <d v="2023-12-13T00:00:00"/>
    <x v="1"/>
    <x v="8"/>
    <x v="8"/>
    <s v="Net Banking"/>
    <n v="1026"/>
    <x v="1"/>
    <x v="0"/>
    <n v="12"/>
    <n v="7000"/>
    <x v="1"/>
  </r>
  <r>
    <d v="2023-12-23T00:00:00"/>
    <x v="1"/>
    <x v="7"/>
    <x v="7"/>
    <s v="Cash"/>
    <n v="2632"/>
    <x v="1"/>
    <x v="1"/>
    <n v="12"/>
    <n v="10000"/>
    <x v="1"/>
  </r>
  <r>
    <d v="2024-08-13T00:00:00"/>
    <x v="4"/>
    <x v="6"/>
    <x v="1"/>
    <s v="Debit Card"/>
    <n v="2129"/>
    <x v="0"/>
    <x v="0"/>
    <n v="8"/>
    <n v="5500"/>
    <x v="1"/>
  </r>
  <r>
    <d v="2024-12-26T00:00:00"/>
    <x v="1"/>
    <x v="2"/>
    <x v="1"/>
    <s v="UPI"/>
    <n v="4013"/>
    <x v="1"/>
    <x v="0"/>
    <n v="12"/>
    <n v="5000"/>
    <x v="1"/>
  </r>
  <r>
    <d v="2023-07-19T00:00:00"/>
    <x v="3"/>
    <x v="6"/>
    <x v="4"/>
    <s v="Net Banking"/>
    <n v="2265"/>
    <x v="0"/>
    <x v="0"/>
    <n v="7"/>
    <n v="5500"/>
    <x v="1"/>
  </r>
  <r>
    <d v="2023-03-22T00:00:00"/>
    <x v="2"/>
    <x v="6"/>
    <x v="1"/>
    <s v="Cash"/>
    <n v="261"/>
    <x v="0"/>
    <x v="1"/>
    <n v="3"/>
    <n v="5500"/>
    <x v="1"/>
  </r>
  <r>
    <d v="2023-02-10T00:00:00"/>
    <x v="7"/>
    <x v="1"/>
    <x v="3"/>
    <s v="Net Banking"/>
    <n v="3449"/>
    <x v="1"/>
    <x v="0"/>
    <n v="2"/>
    <n v="5000"/>
    <x v="1"/>
  </r>
  <r>
    <d v="2024-12-03T00:00:00"/>
    <x v="1"/>
    <x v="8"/>
    <x v="0"/>
    <s v="UPI"/>
    <n v="2967"/>
    <x v="1"/>
    <x v="0"/>
    <n v="12"/>
    <n v="7000"/>
    <x v="1"/>
  </r>
  <r>
    <d v="2024-06-21T00:00:00"/>
    <x v="10"/>
    <x v="4"/>
    <x v="9"/>
    <s v="Cash"/>
    <n v="3401"/>
    <x v="1"/>
    <x v="1"/>
    <n v="6"/>
    <n v="4000"/>
    <x v="1"/>
  </r>
  <r>
    <d v="2024-01-23T00:00:00"/>
    <x v="8"/>
    <x v="1"/>
    <x v="6"/>
    <s v="UPI"/>
    <n v="1947"/>
    <x v="1"/>
    <x v="0"/>
    <n v="1"/>
    <n v="5000"/>
    <x v="1"/>
  </r>
  <r>
    <d v="2024-12-24T00:00:00"/>
    <x v="1"/>
    <x v="1"/>
    <x v="9"/>
    <s v="Credit Card"/>
    <n v="2506"/>
    <x v="1"/>
    <x v="0"/>
    <n v="12"/>
    <n v="5000"/>
    <x v="1"/>
  </r>
  <r>
    <d v="2024-08-09T00:00:00"/>
    <x v="4"/>
    <x v="5"/>
    <x v="0"/>
    <s v="Debit Card"/>
    <n v="3219"/>
    <x v="0"/>
    <x v="0"/>
    <n v="8"/>
    <n v="3000"/>
    <x v="0"/>
  </r>
  <r>
    <d v="2024-02-24T00:00:00"/>
    <x v="7"/>
    <x v="2"/>
    <x v="1"/>
    <s v="Debit Card"/>
    <n v="4693"/>
    <x v="1"/>
    <x v="0"/>
    <n v="2"/>
    <n v="5000"/>
    <x v="1"/>
  </r>
  <r>
    <d v="2024-01-01T00:00:00"/>
    <x v="8"/>
    <x v="7"/>
    <x v="7"/>
    <s v="Debit Card"/>
    <n v="1196"/>
    <x v="1"/>
    <x v="0"/>
    <n v="1"/>
    <n v="10000"/>
    <x v="1"/>
  </r>
  <r>
    <d v="2024-11-01T00:00:00"/>
    <x v="11"/>
    <x v="2"/>
    <x v="6"/>
    <s v="Net Banking"/>
    <n v="495"/>
    <x v="1"/>
    <x v="0"/>
    <n v="11"/>
    <n v="5000"/>
    <x v="1"/>
  </r>
  <r>
    <d v="2023-06-27T00:00:00"/>
    <x v="10"/>
    <x v="1"/>
    <x v="0"/>
    <s v="Credit Card"/>
    <n v="3603"/>
    <x v="1"/>
    <x v="0"/>
    <n v="6"/>
    <n v="5000"/>
    <x v="1"/>
  </r>
  <r>
    <d v="2024-04-18T00:00:00"/>
    <x v="6"/>
    <x v="1"/>
    <x v="6"/>
    <s v="Net Banking"/>
    <n v="262"/>
    <x v="1"/>
    <x v="0"/>
    <n v="4"/>
    <n v="5000"/>
    <x v="1"/>
  </r>
  <r>
    <d v="2024-01-17T00:00:00"/>
    <x v="8"/>
    <x v="1"/>
    <x v="3"/>
    <s v="Credit Card"/>
    <n v="1767"/>
    <x v="1"/>
    <x v="0"/>
    <n v="1"/>
    <n v="5000"/>
    <x v="1"/>
  </r>
  <r>
    <d v="2024-01-18T00:00:00"/>
    <x v="8"/>
    <x v="2"/>
    <x v="1"/>
    <s v="Cash"/>
    <n v="2430"/>
    <x v="1"/>
    <x v="1"/>
    <n v="1"/>
    <n v="5000"/>
    <x v="1"/>
  </r>
  <r>
    <d v="2023-08-04T00:00:00"/>
    <x v="4"/>
    <x v="3"/>
    <x v="9"/>
    <s v="UPI"/>
    <n v="4858"/>
    <x v="1"/>
    <x v="0"/>
    <n v="8"/>
    <n v="1000"/>
    <x v="0"/>
  </r>
  <r>
    <d v="2024-06-18T00:00:00"/>
    <x v="10"/>
    <x v="4"/>
    <x v="6"/>
    <s v="Debit Card"/>
    <n v="1713"/>
    <x v="1"/>
    <x v="0"/>
    <n v="6"/>
    <n v="4000"/>
    <x v="1"/>
  </r>
  <r>
    <d v="2024-02-17T00:00:00"/>
    <x v="7"/>
    <x v="1"/>
    <x v="1"/>
    <s v="Cash"/>
    <n v="2323"/>
    <x v="1"/>
    <x v="1"/>
    <n v="2"/>
    <n v="5000"/>
    <x v="1"/>
  </r>
  <r>
    <d v="2024-03-13T00:00:00"/>
    <x v="2"/>
    <x v="5"/>
    <x v="9"/>
    <s v="Cash"/>
    <n v="3743"/>
    <x v="0"/>
    <x v="1"/>
    <n v="3"/>
    <n v="3000"/>
    <x v="0"/>
  </r>
  <r>
    <d v="2023-10-07T00:00:00"/>
    <x v="0"/>
    <x v="7"/>
    <x v="5"/>
    <s v="Debit Card"/>
    <n v="1603"/>
    <x v="1"/>
    <x v="0"/>
    <n v="10"/>
    <n v="10000"/>
    <x v="1"/>
  </r>
  <r>
    <d v="2023-06-19T00:00:00"/>
    <x v="10"/>
    <x v="4"/>
    <x v="3"/>
    <s v="Debit Card"/>
    <n v="3456"/>
    <x v="1"/>
    <x v="0"/>
    <n v="6"/>
    <n v="4000"/>
    <x v="1"/>
  </r>
  <r>
    <d v="2023-04-16T00:00:00"/>
    <x v="6"/>
    <x v="6"/>
    <x v="5"/>
    <s v="UPI"/>
    <n v="4918"/>
    <x v="0"/>
    <x v="0"/>
    <n v="4"/>
    <n v="5500"/>
    <x v="1"/>
  </r>
  <r>
    <d v="2023-10-01T00:00:00"/>
    <x v="0"/>
    <x v="5"/>
    <x v="5"/>
    <s v="Credit Card"/>
    <n v="2494"/>
    <x v="0"/>
    <x v="0"/>
    <n v="10"/>
    <n v="3000"/>
    <x v="1"/>
  </r>
  <r>
    <d v="2024-01-28T00:00:00"/>
    <x v="8"/>
    <x v="4"/>
    <x v="7"/>
    <s v="Debit Card"/>
    <n v="808"/>
    <x v="1"/>
    <x v="0"/>
    <n v="1"/>
    <n v="4000"/>
    <x v="1"/>
  </r>
  <r>
    <d v="2023-10-10T00:00:00"/>
    <x v="0"/>
    <x v="5"/>
    <x v="5"/>
    <s v="UPI"/>
    <n v="4956"/>
    <x v="0"/>
    <x v="0"/>
    <n v="10"/>
    <n v="3000"/>
    <x v="0"/>
  </r>
  <r>
    <d v="2023-10-05T00:00:00"/>
    <x v="0"/>
    <x v="6"/>
    <x v="4"/>
    <s v="UPI"/>
    <n v="3436"/>
    <x v="0"/>
    <x v="0"/>
    <n v="10"/>
    <n v="5500"/>
    <x v="1"/>
  </r>
  <r>
    <d v="2023-06-04T00:00:00"/>
    <x v="10"/>
    <x v="8"/>
    <x v="6"/>
    <s v="Cash"/>
    <n v="3689"/>
    <x v="1"/>
    <x v="1"/>
    <n v="6"/>
    <n v="7000"/>
    <x v="1"/>
  </r>
  <r>
    <d v="2023-01-05T00:00:00"/>
    <x v="8"/>
    <x v="6"/>
    <x v="5"/>
    <s v="UPI"/>
    <n v="4034"/>
    <x v="0"/>
    <x v="0"/>
    <n v="1"/>
    <n v="5500"/>
    <x v="1"/>
  </r>
  <r>
    <d v="2023-07-30T00:00:00"/>
    <x v="3"/>
    <x v="5"/>
    <x v="7"/>
    <s v="Debit Card"/>
    <n v="1610"/>
    <x v="0"/>
    <x v="0"/>
    <n v="7"/>
    <n v="3000"/>
    <x v="1"/>
  </r>
  <r>
    <d v="2023-04-29T00:00:00"/>
    <x v="6"/>
    <x v="5"/>
    <x v="5"/>
    <s v="Cash"/>
    <n v="1927"/>
    <x v="0"/>
    <x v="1"/>
    <n v="4"/>
    <n v="3000"/>
    <x v="1"/>
  </r>
  <r>
    <d v="2023-12-25T00:00:00"/>
    <x v="1"/>
    <x v="0"/>
    <x v="8"/>
    <s v="Cash"/>
    <n v="1445"/>
    <x v="0"/>
    <x v="1"/>
    <n v="12"/>
    <n v="2000"/>
    <x v="1"/>
  </r>
  <r>
    <d v="2023-03-01T00:00:00"/>
    <x v="2"/>
    <x v="1"/>
    <x v="8"/>
    <s v="Net Banking"/>
    <n v="1824"/>
    <x v="1"/>
    <x v="0"/>
    <n v="3"/>
    <n v="5000"/>
    <x v="1"/>
  </r>
  <r>
    <d v="2024-10-25T00:00:00"/>
    <x v="0"/>
    <x v="2"/>
    <x v="4"/>
    <s v="UPI"/>
    <n v="2807"/>
    <x v="1"/>
    <x v="0"/>
    <n v="10"/>
    <n v="5000"/>
    <x v="1"/>
  </r>
  <r>
    <d v="2023-06-29T00:00:00"/>
    <x v="10"/>
    <x v="4"/>
    <x v="5"/>
    <s v="Cash"/>
    <n v="3006"/>
    <x v="1"/>
    <x v="1"/>
    <n v="6"/>
    <n v="4000"/>
    <x v="1"/>
  </r>
  <r>
    <d v="2023-08-29T00:00:00"/>
    <x v="4"/>
    <x v="6"/>
    <x v="2"/>
    <s v="Credit Card"/>
    <n v="3798"/>
    <x v="0"/>
    <x v="0"/>
    <n v="8"/>
    <n v="5500"/>
    <x v="1"/>
  </r>
  <r>
    <d v="2024-04-18T00:00:00"/>
    <x v="6"/>
    <x v="7"/>
    <x v="1"/>
    <s v="Debit Card"/>
    <n v="1180"/>
    <x v="1"/>
    <x v="0"/>
    <n v="4"/>
    <n v="10000"/>
    <x v="1"/>
  </r>
  <r>
    <d v="2024-08-01T00:00:00"/>
    <x v="4"/>
    <x v="0"/>
    <x v="5"/>
    <s v="Cash"/>
    <n v="1182"/>
    <x v="0"/>
    <x v="1"/>
    <n v="8"/>
    <n v="2000"/>
    <x v="1"/>
  </r>
  <r>
    <d v="2024-07-12T00:00:00"/>
    <x v="3"/>
    <x v="3"/>
    <x v="3"/>
    <s v="Debit Card"/>
    <n v="292"/>
    <x v="1"/>
    <x v="0"/>
    <n v="7"/>
    <n v="1000"/>
    <x v="1"/>
  </r>
  <r>
    <d v="2024-12-01T00:00:00"/>
    <x v="1"/>
    <x v="4"/>
    <x v="8"/>
    <s v="Credit Card"/>
    <n v="4742"/>
    <x v="1"/>
    <x v="0"/>
    <n v="12"/>
    <n v="4000"/>
    <x v="0"/>
  </r>
  <r>
    <d v="2023-12-20T00:00:00"/>
    <x v="1"/>
    <x v="7"/>
    <x v="8"/>
    <s v="Cash"/>
    <n v="602"/>
    <x v="1"/>
    <x v="1"/>
    <n v="12"/>
    <n v="10000"/>
    <x v="1"/>
  </r>
  <r>
    <d v="2024-01-29T00:00:00"/>
    <x v="8"/>
    <x v="3"/>
    <x v="7"/>
    <s v="Credit Card"/>
    <n v="4495"/>
    <x v="1"/>
    <x v="0"/>
    <n v="1"/>
    <n v="1000"/>
    <x v="0"/>
  </r>
  <r>
    <d v="2024-03-30T00:00:00"/>
    <x v="2"/>
    <x v="3"/>
    <x v="4"/>
    <s v="Credit Card"/>
    <n v="3293"/>
    <x v="1"/>
    <x v="0"/>
    <n v="3"/>
    <n v="1000"/>
    <x v="0"/>
  </r>
  <r>
    <d v="2023-08-04T00:00:00"/>
    <x v="4"/>
    <x v="3"/>
    <x v="5"/>
    <s v="Cash"/>
    <n v="4032"/>
    <x v="1"/>
    <x v="1"/>
    <n v="8"/>
    <n v="1000"/>
    <x v="0"/>
  </r>
  <r>
    <d v="2023-08-01T00:00:00"/>
    <x v="4"/>
    <x v="2"/>
    <x v="5"/>
    <s v="Credit Card"/>
    <n v="3900"/>
    <x v="1"/>
    <x v="0"/>
    <n v="8"/>
    <n v="5000"/>
    <x v="1"/>
  </r>
  <r>
    <d v="2024-07-06T00:00:00"/>
    <x v="3"/>
    <x v="4"/>
    <x v="6"/>
    <s v="Cash"/>
    <n v="1425"/>
    <x v="1"/>
    <x v="1"/>
    <n v="7"/>
    <n v="4000"/>
    <x v="1"/>
  </r>
  <r>
    <d v="2024-01-20T00:00:00"/>
    <x v="8"/>
    <x v="1"/>
    <x v="0"/>
    <s v="Net Banking"/>
    <n v="1371"/>
    <x v="1"/>
    <x v="0"/>
    <n v="1"/>
    <n v="5000"/>
    <x v="1"/>
  </r>
  <r>
    <d v="2023-03-29T00:00:00"/>
    <x v="2"/>
    <x v="2"/>
    <x v="6"/>
    <s v="Debit Card"/>
    <n v="556"/>
    <x v="1"/>
    <x v="0"/>
    <n v="3"/>
    <n v="5000"/>
    <x v="1"/>
  </r>
  <r>
    <d v="2023-02-25T00:00:00"/>
    <x v="7"/>
    <x v="5"/>
    <x v="2"/>
    <s v="Debit Card"/>
    <n v="2724"/>
    <x v="0"/>
    <x v="0"/>
    <n v="2"/>
    <n v="3000"/>
    <x v="1"/>
  </r>
  <r>
    <d v="2024-10-03T00:00:00"/>
    <x v="0"/>
    <x v="0"/>
    <x v="7"/>
    <s v="Net Banking"/>
    <n v="305"/>
    <x v="0"/>
    <x v="0"/>
    <n v="10"/>
    <n v="2000"/>
    <x v="1"/>
  </r>
  <r>
    <d v="2024-01-06T00:00:00"/>
    <x v="8"/>
    <x v="8"/>
    <x v="6"/>
    <s v="Credit Card"/>
    <n v="1966"/>
    <x v="1"/>
    <x v="0"/>
    <n v="1"/>
    <n v="7000"/>
    <x v="1"/>
  </r>
  <r>
    <d v="2023-12-25T00:00:00"/>
    <x v="1"/>
    <x v="5"/>
    <x v="1"/>
    <s v="Cash"/>
    <n v="2641"/>
    <x v="0"/>
    <x v="1"/>
    <n v="12"/>
    <n v="3000"/>
    <x v="1"/>
  </r>
  <r>
    <d v="2023-08-03T00:00:00"/>
    <x v="4"/>
    <x v="4"/>
    <x v="5"/>
    <s v="Debit Card"/>
    <n v="4175"/>
    <x v="1"/>
    <x v="0"/>
    <n v="8"/>
    <n v="4000"/>
    <x v="0"/>
  </r>
  <r>
    <d v="2024-07-28T00:00:00"/>
    <x v="3"/>
    <x v="5"/>
    <x v="0"/>
    <s v="Net Banking"/>
    <n v="2010"/>
    <x v="0"/>
    <x v="0"/>
    <n v="7"/>
    <n v="3000"/>
    <x v="1"/>
  </r>
  <r>
    <d v="2023-05-27T00:00:00"/>
    <x v="5"/>
    <x v="2"/>
    <x v="1"/>
    <s v="Credit Card"/>
    <n v="4116"/>
    <x v="1"/>
    <x v="0"/>
    <n v="5"/>
    <n v="5000"/>
    <x v="1"/>
  </r>
  <r>
    <d v="2024-06-02T00:00:00"/>
    <x v="10"/>
    <x v="1"/>
    <x v="8"/>
    <s v="Debit Card"/>
    <n v="3979"/>
    <x v="1"/>
    <x v="0"/>
    <n v="6"/>
    <n v="5000"/>
    <x v="1"/>
  </r>
  <r>
    <d v="2023-05-15T00:00:00"/>
    <x v="5"/>
    <x v="2"/>
    <x v="8"/>
    <s v="Cash"/>
    <n v="2498"/>
    <x v="1"/>
    <x v="1"/>
    <n v="5"/>
    <n v="5000"/>
    <x v="1"/>
  </r>
  <r>
    <d v="2024-07-03T00:00:00"/>
    <x v="3"/>
    <x v="4"/>
    <x v="4"/>
    <s v="Cash"/>
    <n v="1982"/>
    <x v="1"/>
    <x v="1"/>
    <n v="7"/>
    <n v="4000"/>
    <x v="1"/>
  </r>
  <r>
    <d v="2023-06-30T00:00:00"/>
    <x v="10"/>
    <x v="2"/>
    <x v="2"/>
    <s v="Credit Card"/>
    <n v="1372"/>
    <x v="1"/>
    <x v="0"/>
    <n v="6"/>
    <n v="5000"/>
    <x v="1"/>
  </r>
  <r>
    <d v="2024-09-25T00:00:00"/>
    <x v="9"/>
    <x v="0"/>
    <x v="5"/>
    <s v="Credit Card"/>
    <n v="1163"/>
    <x v="0"/>
    <x v="0"/>
    <n v="9"/>
    <n v="2000"/>
    <x v="1"/>
  </r>
  <r>
    <d v="2024-04-09T00:00:00"/>
    <x v="6"/>
    <x v="5"/>
    <x v="7"/>
    <s v="Net Banking"/>
    <n v="4150"/>
    <x v="0"/>
    <x v="0"/>
    <n v="4"/>
    <n v="3000"/>
    <x v="0"/>
  </r>
  <r>
    <d v="2023-12-24T00:00:00"/>
    <x v="1"/>
    <x v="7"/>
    <x v="7"/>
    <s v="Net Banking"/>
    <n v="3553"/>
    <x v="1"/>
    <x v="0"/>
    <n v="12"/>
    <n v="10000"/>
    <x v="1"/>
  </r>
  <r>
    <d v="2024-06-03T00:00:00"/>
    <x v="10"/>
    <x v="8"/>
    <x v="0"/>
    <s v="Debit Card"/>
    <n v="2839"/>
    <x v="1"/>
    <x v="0"/>
    <n v="6"/>
    <n v="7000"/>
    <x v="1"/>
  </r>
  <r>
    <d v="2023-09-18T00:00:00"/>
    <x v="9"/>
    <x v="0"/>
    <x v="0"/>
    <s v="Debit Card"/>
    <n v="72"/>
    <x v="0"/>
    <x v="0"/>
    <n v="9"/>
    <n v="2000"/>
    <x v="1"/>
  </r>
  <r>
    <d v="2024-11-19T00:00:00"/>
    <x v="11"/>
    <x v="3"/>
    <x v="7"/>
    <s v="Credit Card"/>
    <n v="756"/>
    <x v="1"/>
    <x v="0"/>
    <n v="11"/>
    <n v="1000"/>
    <x v="1"/>
  </r>
  <r>
    <d v="2023-12-15T00:00:00"/>
    <x v="1"/>
    <x v="0"/>
    <x v="5"/>
    <s v="Credit Card"/>
    <n v="2163"/>
    <x v="0"/>
    <x v="0"/>
    <n v="12"/>
    <n v="2000"/>
    <x v="0"/>
  </r>
  <r>
    <d v="2024-02-03T00:00:00"/>
    <x v="7"/>
    <x v="2"/>
    <x v="7"/>
    <s v="Cash"/>
    <n v="616"/>
    <x v="1"/>
    <x v="1"/>
    <n v="2"/>
    <n v="5000"/>
    <x v="1"/>
  </r>
  <r>
    <d v="2024-06-20T00:00:00"/>
    <x v="10"/>
    <x v="7"/>
    <x v="0"/>
    <s v="UPI"/>
    <n v="1022"/>
    <x v="1"/>
    <x v="0"/>
    <n v="6"/>
    <n v="10000"/>
    <x v="1"/>
  </r>
  <r>
    <d v="2023-12-09T00:00:00"/>
    <x v="1"/>
    <x v="8"/>
    <x v="8"/>
    <s v="Debit Card"/>
    <n v="2080"/>
    <x v="1"/>
    <x v="0"/>
    <n v="12"/>
    <n v="7000"/>
    <x v="1"/>
  </r>
  <r>
    <d v="2024-12-22T00:00:00"/>
    <x v="1"/>
    <x v="2"/>
    <x v="1"/>
    <s v="UPI"/>
    <n v="997"/>
    <x v="1"/>
    <x v="0"/>
    <n v="12"/>
    <n v="5000"/>
    <x v="1"/>
  </r>
  <r>
    <d v="2023-04-23T00:00:00"/>
    <x v="6"/>
    <x v="4"/>
    <x v="0"/>
    <s v="Debit Card"/>
    <n v="1103"/>
    <x v="1"/>
    <x v="0"/>
    <n v="4"/>
    <n v="4000"/>
    <x v="1"/>
  </r>
  <r>
    <d v="2024-12-19T00:00:00"/>
    <x v="1"/>
    <x v="4"/>
    <x v="4"/>
    <s v="UPI"/>
    <n v="446"/>
    <x v="1"/>
    <x v="0"/>
    <n v="12"/>
    <n v="4000"/>
    <x v="1"/>
  </r>
  <r>
    <d v="2023-09-19T00:00:00"/>
    <x v="9"/>
    <x v="7"/>
    <x v="1"/>
    <s v="Cash"/>
    <n v="2308"/>
    <x v="1"/>
    <x v="1"/>
    <n v="9"/>
    <n v="10000"/>
    <x v="1"/>
  </r>
  <r>
    <d v="2024-06-14T00:00:00"/>
    <x v="10"/>
    <x v="2"/>
    <x v="7"/>
    <s v="Credit Card"/>
    <n v="2480"/>
    <x v="1"/>
    <x v="0"/>
    <n v="6"/>
    <n v="5000"/>
    <x v="1"/>
  </r>
  <r>
    <d v="2023-09-12T00:00:00"/>
    <x v="9"/>
    <x v="5"/>
    <x v="3"/>
    <s v="Net Banking"/>
    <n v="1199"/>
    <x v="0"/>
    <x v="0"/>
    <n v="9"/>
    <n v="3000"/>
    <x v="1"/>
  </r>
  <r>
    <d v="2024-02-08T00:00:00"/>
    <x v="7"/>
    <x v="7"/>
    <x v="1"/>
    <s v="Cash"/>
    <n v="2269"/>
    <x v="1"/>
    <x v="1"/>
    <n v="2"/>
    <n v="10000"/>
    <x v="1"/>
  </r>
  <r>
    <d v="2024-06-23T00:00:00"/>
    <x v="10"/>
    <x v="1"/>
    <x v="8"/>
    <s v="Cash"/>
    <n v="2037"/>
    <x v="1"/>
    <x v="1"/>
    <n v="6"/>
    <n v="5000"/>
    <x v="1"/>
  </r>
  <r>
    <d v="2023-06-18T00:00:00"/>
    <x v="10"/>
    <x v="3"/>
    <x v="7"/>
    <s v="Credit Card"/>
    <n v="574"/>
    <x v="1"/>
    <x v="0"/>
    <n v="6"/>
    <n v="1000"/>
    <x v="1"/>
  </r>
  <r>
    <d v="2024-08-06T00:00:00"/>
    <x v="4"/>
    <x v="3"/>
    <x v="5"/>
    <s v="Net Banking"/>
    <n v="1503"/>
    <x v="1"/>
    <x v="0"/>
    <n v="8"/>
    <n v="1000"/>
    <x v="0"/>
  </r>
  <r>
    <d v="2024-03-26T00:00:00"/>
    <x v="2"/>
    <x v="1"/>
    <x v="5"/>
    <s v="Cash"/>
    <n v="1633"/>
    <x v="1"/>
    <x v="1"/>
    <n v="3"/>
    <n v="5000"/>
    <x v="1"/>
  </r>
  <r>
    <d v="2024-12-13T00:00:00"/>
    <x v="1"/>
    <x v="6"/>
    <x v="1"/>
    <s v="Debit Card"/>
    <n v="2459"/>
    <x v="0"/>
    <x v="0"/>
    <n v="12"/>
    <n v="5500"/>
    <x v="1"/>
  </r>
  <r>
    <d v="2024-02-18T00:00:00"/>
    <x v="7"/>
    <x v="4"/>
    <x v="0"/>
    <s v="Credit Card"/>
    <n v="4595"/>
    <x v="1"/>
    <x v="0"/>
    <n v="2"/>
    <n v="4000"/>
    <x v="0"/>
  </r>
  <r>
    <d v="2024-03-13T00:00:00"/>
    <x v="2"/>
    <x v="6"/>
    <x v="3"/>
    <s v="UPI"/>
    <n v="2873"/>
    <x v="0"/>
    <x v="0"/>
    <n v="3"/>
    <n v="5500"/>
    <x v="1"/>
  </r>
  <r>
    <d v="2023-09-28T00:00:00"/>
    <x v="9"/>
    <x v="7"/>
    <x v="4"/>
    <s v="Credit Card"/>
    <n v="4588"/>
    <x v="1"/>
    <x v="0"/>
    <n v="9"/>
    <n v="10000"/>
    <x v="1"/>
  </r>
  <r>
    <d v="2024-10-24T00:00:00"/>
    <x v="0"/>
    <x v="4"/>
    <x v="8"/>
    <s v="Net Banking"/>
    <n v="532"/>
    <x v="1"/>
    <x v="0"/>
    <n v="10"/>
    <n v="4000"/>
    <x v="1"/>
  </r>
  <r>
    <d v="2024-09-02T00:00:00"/>
    <x v="9"/>
    <x v="1"/>
    <x v="0"/>
    <s v="Cash"/>
    <n v="3021"/>
    <x v="1"/>
    <x v="1"/>
    <n v="9"/>
    <n v="5000"/>
    <x v="1"/>
  </r>
  <r>
    <d v="2024-05-09T00:00:00"/>
    <x v="5"/>
    <x v="1"/>
    <x v="6"/>
    <s v="Cash"/>
    <n v="2125"/>
    <x v="1"/>
    <x v="1"/>
    <n v="5"/>
    <n v="5000"/>
    <x v="1"/>
  </r>
  <r>
    <d v="2024-09-15T00:00:00"/>
    <x v="9"/>
    <x v="6"/>
    <x v="5"/>
    <s v="UPI"/>
    <n v="3188"/>
    <x v="0"/>
    <x v="0"/>
    <n v="9"/>
    <n v="5500"/>
    <x v="1"/>
  </r>
  <r>
    <d v="2023-01-17T00:00:00"/>
    <x v="8"/>
    <x v="1"/>
    <x v="0"/>
    <s v="Net Banking"/>
    <n v="4543"/>
    <x v="1"/>
    <x v="0"/>
    <n v="1"/>
    <n v="5000"/>
    <x v="1"/>
  </r>
  <r>
    <d v="2024-02-24T00:00:00"/>
    <x v="7"/>
    <x v="0"/>
    <x v="5"/>
    <s v="Cash"/>
    <n v="2311"/>
    <x v="0"/>
    <x v="1"/>
    <n v="2"/>
    <n v="2000"/>
    <x v="0"/>
  </r>
  <r>
    <d v="2024-04-25T00:00:00"/>
    <x v="6"/>
    <x v="2"/>
    <x v="7"/>
    <s v="Debit Card"/>
    <n v="796"/>
    <x v="1"/>
    <x v="0"/>
    <n v="4"/>
    <n v="5000"/>
    <x v="1"/>
  </r>
  <r>
    <d v="2024-05-30T00:00:00"/>
    <x v="5"/>
    <x v="1"/>
    <x v="0"/>
    <s v="Cash"/>
    <n v="3850"/>
    <x v="1"/>
    <x v="1"/>
    <n v="5"/>
    <n v="5000"/>
    <x v="1"/>
  </r>
  <r>
    <d v="2024-11-16T00:00:00"/>
    <x v="11"/>
    <x v="7"/>
    <x v="8"/>
    <s v="Credit Card"/>
    <n v="4737"/>
    <x v="1"/>
    <x v="0"/>
    <n v="11"/>
    <n v="10000"/>
    <x v="1"/>
  </r>
  <r>
    <d v="2024-11-06T00:00:00"/>
    <x v="11"/>
    <x v="8"/>
    <x v="0"/>
    <s v="Cash"/>
    <n v="3377"/>
    <x v="1"/>
    <x v="1"/>
    <n v="11"/>
    <n v="7000"/>
    <x v="1"/>
  </r>
  <r>
    <d v="2024-09-12T00:00:00"/>
    <x v="9"/>
    <x v="6"/>
    <x v="4"/>
    <s v="Net Banking"/>
    <n v="2850"/>
    <x v="0"/>
    <x v="0"/>
    <n v="9"/>
    <n v="5500"/>
    <x v="1"/>
  </r>
  <r>
    <d v="2024-12-12T00:00:00"/>
    <x v="1"/>
    <x v="0"/>
    <x v="3"/>
    <s v="Net Banking"/>
    <n v="167"/>
    <x v="0"/>
    <x v="0"/>
    <n v="12"/>
    <n v="2000"/>
    <x v="1"/>
  </r>
  <r>
    <d v="2024-01-27T00:00:00"/>
    <x v="8"/>
    <x v="8"/>
    <x v="0"/>
    <s v="Credit Card"/>
    <n v="678"/>
    <x v="1"/>
    <x v="0"/>
    <n v="1"/>
    <n v="7000"/>
    <x v="1"/>
  </r>
  <r>
    <d v="2023-12-04T00:00:00"/>
    <x v="1"/>
    <x v="0"/>
    <x v="6"/>
    <s v="Net Banking"/>
    <n v="3745"/>
    <x v="0"/>
    <x v="0"/>
    <n v="12"/>
    <n v="2000"/>
    <x v="0"/>
  </r>
  <r>
    <d v="2023-05-24T00:00:00"/>
    <x v="5"/>
    <x v="0"/>
    <x v="0"/>
    <s v="Credit Card"/>
    <n v="4221"/>
    <x v="0"/>
    <x v="0"/>
    <n v="5"/>
    <n v="2000"/>
    <x v="0"/>
  </r>
  <r>
    <d v="2023-11-29T00:00:00"/>
    <x v="11"/>
    <x v="1"/>
    <x v="5"/>
    <s v="Debit Card"/>
    <n v="1831"/>
    <x v="1"/>
    <x v="0"/>
    <n v="11"/>
    <n v="5000"/>
    <x v="1"/>
  </r>
  <r>
    <d v="2023-01-22T00:00:00"/>
    <x v="8"/>
    <x v="1"/>
    <x v="6"/>
    <s v="UPI"/>
    <n v="2202"/>
    <x v="1"/>
    <x v="0"/>
    <n v="1"/>
    <n v="5000"/>
    <x v="1"/>
  </r>
  <r>
    <d v="2023-02-10T00:00:00"/>
    <x v="7"/>
    <x v="4"/>
    <x v="0"/>
    <s v="UPI"/>
    <n v="2362"/>
    <x v="1"/>
    <x v="0"/>
    <n v="2"/>
    <n v="4000"/>
    <x v="1"/>
  </r>
  <r>
    <d v="2023-05-09T00:00:00"/>
    <x v="5"/>
    <x v="4"/>
    <x v="5"/>
    <s v="Net Banking"/>
    <n v="4334"/>
    <x v="1"/>
    <x v="0"/>
    <n v="5"/>
    <n v="4000"/>
    <x v="0"/>
  </r>
  <r>
    <d v="2024-05-19T00:00:00"/>
    <x v="5"/>
    <x v="3"/>
    <x v="3"/>
    <s v="Net Banking"/>
    <n v="3118"/>
    <x v="1"/>
    <x v="0"/>
    <n v="5"/>
    <n v="1000"/>
    <x v="0"/>
  </r>
  <r>
    <d v="2024-11-22T00:00:00"/>
    <x v="11"/>
    <x v="0"/>
    <x v="8"/>
    <s v="UPI"/>
    <n v="1887"/>
    <x v="0"/>
    <x v="0"/>
    <n v="11"/>
    <n v="2000"/>
    <x v="1"/>
  </r>
  <r>
    <d v="2024-07-09T00:00:00"/>
    <x v="3"/>
    <x v="0"/>
    <x v="5"/>
    <s v="Cash"/>
    <n v="1045"/>
    <x v="0"/>
    <x v="1"/>
    <n v="7"/>
    <n v="2000"/>
    <x v="1"/>
  </r>
  <r>
    <d v="2024-08-23T00:00:00"/>
    <x v="4"/>
    <x v="3"/>
    <x v="0"/>
    <s v="Net Banking"/>
    <n v="4561"/>
    <x v="1"/>
    <x v="0"/>
    <n v="8"/>
    <n v="1000"/>
    <x v="0"/>
  </r>
  <r>
    <d v="2023-10-26T00:00:00"/>
    <x v="0"/>
    <x v="8"/>
    <x v="6"/>
    <s v="Net Banking"/>
    <n v="3930"/>
    <x v="1"/>
    <x v="0"/>
    <n v="10"/>
    <n v="7000"/>
    <x v="1"/>
  </r>
  <r>
    <d v="2023-05-12T00:00:00"/>
    <x v="5"/>
    <x v="8"/>
    <x v="0"/>
    <s v="UPI"/>
    <n v="3329"/>
    <x v="1"/>
    <x v="0"/>
    <n v="5"/>
    <n v="7000"/>
    <x v="1"/>
  </r>
  <r>
    <d v="2024-10-02T00:00:00"/>
    <x v="0"/>
    <x v="2"/>
    <x v="1"/>
    <s v="Cash"/>
    <n v="4615"/>
    <x v="1"/>
    <x v="1"/>
    <n v="10"/>
    <n v="5000"/>
    <x v="1"/>
  </r>
  <r>
    <d v="2023-09-27T00:00:00"/>
    <x v="9"/>
    <x v="2"/>
    <x v="5"/>
    <s v="UPI"/>
    <n v="3329"/>
    <x v="1"/>
    <x v="0"/>
    <n v="9"/>
    <n v="5000"/>
    <x v="1"/>
  </r>
  <r>
    <d v="2024-08-28T00:00:00"/>
    <x v="4"/>
    <x v="2"/>
    <x v="2"/>
    <s v="UPI"/>
    <n v="2345"/>
    <x v="1"/>
    <x v="0"/>
    <n v="8"/>
    <n v="5000"/>
    <x v="1"/>
  </r>
  <r>
    <d v="2023-03-19T00:00:00"/>
    <x v="2"/>
    <x v="1"/>
    <x v="0"/>
    <s v="UPI"/>
    <n v="731"/>
    <x v="1"/>
    <x v="0"/>
    <n v="3"/>
    <n v="5000"/>
    <x v="1"/>
  </r>
  <r>
    <d v="2023-03-10T00:00:00"/>
    <x v="2"/>
    <x v="4"/>
    <x v="6"/>
    <s v="Credit Card"/>
    <n v="3081"/>
    <x v="1"/>
    <x v="0"/>
    <n v="3"/>
    <n v="4000"/>
    <x v="1"/>
  </r>
  <r>
    <d v="2024-07-01T00:00:00"/>
    <x v="3"/>
    <x v="7"/>
    <x v="4"/>
    <s v="Cash"/>
    <n v="4225"/>
    <x v="1"/>
    <x v="1"/>
    <n v="7"/>
    <n v="10000"/>
    <x v="1"/>
  </r>
  <r>
    <d v="2024-12-26T00:00:00"/>
    <x v="1"/>
    <x v="5"/>
    <x v="3"/>
    <s v="Credit Card"/>
    <n v="4291"/>
    <x v="0"/>
    <x v="0"/>
    <n v="12"/>
    <n v="3000"/>
    <x v="0"/>
  </r>
  <r>
    <d v="2024-07-31T00:00:00"/>
    <x v="3"/>
    <x v="3"/>
    <x v="3"/>
    <s v="Net Banking"/>
    <n v="3257"/>
    <x v="1"/>
    <x v="0"/>
    <n v="7"/>
    <n v="1000"/>
    <x v="0"/>
  </r>
  <r>
    <d v="2023-02-17T00:00:00"/>
    <x v="7"/>
    <x v="2"/>
    <x v="5"/>
    <s v="Debit Card"/>
    <n v="3843"/>
    <x v="1"/>
    <x v="0"/>
    <n v="2"/>
    <n v="5000"/>
    <x v="1"/>
  </r>
  <r>
    <d v="2024-07-29T00:00:00"/>
    <x v="3"/>
    <x v="0"/>
    <x v="8"/>
    <s v="UPI"/>
    <n v="2036"/>
    <x v="0"/>
    <x v="0"/>
    <n v="7"/>
    <n v="2000"/>
    <x v="0"/>
  </r>
  <r>
    <d v="2023-05-07T00:00:00"/>
    <x v="5"/>
    <x v="3"/>
    <x v="6"/>
    <s v="Credit Card"/>
    <n v="1313"/>
    <x v="1"/>
    <x v="0"/>
    <n v="5"/>
    <n v="1000"/>
    <x v="0"/>
  </r>
  <r>
    <d v="2024-05-11T00:00:00"/>
    <x v="5"/>
    <x v="4"/>
    <x v="2"/>
    <s v="UPI"/>
    <n v="3544"/>
    <x v="1"/>
    <x v="0"/>
    <n v="5"/>
    <n v="4000"/>
    <x v="1"/>
  </r>
  <r>
    <d v="2023-05-13T00:00:00"/>
    <x v="5"/>
    <x v="8"/>
    <x v="8"/>
    <s v="Net Banking"/>
    <n v="4788"/>
    <x v="1"/>
    <x v="0"/>
    <n v="5"/>
    <n v="7000"/>
    <x v="1"/>
  </r>
  <r>
    <d v="2023-10-25T00:00:00"/>
    <x v="0"/>
    <x v="2"/>
    <x v="5"/>
    <s v="Credit Card"/>
    <n v="2187"/>
    <x v="1"/>
    <x v="0"/>
    <n v="10"/>
    <n v="5000"/>
    <x v="1"/>
  </r>
  <r>
    <d v="2024-05-06T00:00:00"/>
    <x v="5"/>
    <x v="2"/>
    <x v="8"/>
    <s v="Credit Card"/>
    <n v="407"/>
    <x v="1"/>
    <x v="0"/>
    <n v="5"/>
    <n v="5000"/>
    <x v="1"/>
  </r>
  <r>
    <d v="2024-02-23T00:00:00"/>
    <x v="7"/>
    <x v="2"/>
    <x v="8"/>
    <s v="Debit Card"/>
    <n v="865"/>
    <x v="1"/>
    <x v="0"/>
    <n v="2"/>
    <n v="5000"/>
    <x v="1"/>
  </r>
  <r>
    <d v="2024-08-21T00:00:00"/>
    <x v="4"/>
    <x v="4"/>
    <x v="9"/>
    <s v="Net Banking"/>
    <n v="4497"/>
    <x v="1"/>
    <x v="0"/>
    <n v="8"/>
    <n v="4000"/>
    <x v="0"/>
  </r>
  <r>
    <d v="2023-10-19T00:00:00"/>
    <x v="0"/>
    <x v="2"/>
    <x v="6"/>
    <s v="Credit Card"/>
    <n v="4879"/>
    <x v="1"/>
    <x v="0"/>
    <n v="10"/>
    <n v="5000"/>
    <x v="1"/>
  </r>
  <r>
    <d v="2023-09-27T00:00:00"/>
    <x v="9"/>
    <x v="8"/>
    <x v="5"/>
    <s v="Credit Card"/>
    <n v="1055"/>
    <x v="1"/>
    <x v="0"/>
    <n v="9"/>
    <n v="7000"/>
    <x v="1"/>
  </r>
  <r>
    <d v="2024-04-05T00:00:00"/>
    <x v="6"/>
    <x v="8"/>
    <x v="2"/>
    <s v="Debit Card"/>
    <n v="1419"/>
    <x v="1"/>
    <x v="0"/>
    <n v="4"/>
    <n v="7000"/>
    <x v="1"/>
  </r>
  <r>
    <d v="2023-01-15T00:00:00"/>
    <x v="8"/>
    <x v="8"/>
    <x v="5"/>
    <s v="Cash"/>
    <n v="3349"/>
    <x v="1"/>
    <x v="1"/>
    <n v="1"/>
    <n v="7000"/>
    <x v="1"/>
  </r>
  <r>
    <d v="2024-11-07T00:00:00"/>
    <x v="11"/>
    <x v="4"/>
    <x v="1"/>
    <s v="Net Banking"/>
    <n v="2253"/>
    <x v="1"/>
    <x v="0"/>
    <n v="11"/>
    <n v="4000"/>
    <x v="1"/>
  </r>
  <r>
    <d v="2023-12-16T00:00:00"/>
    <x v="1"/>
    <x v="3"/>
    <x v="8"/>
    <s v="Net Banking"/>
    <n v="50"/>
    <x v="1"/>
    <x v="0"/>
    <n v="12"/>
    <n v="1000"/>
    <x v="1"/>
  </r>
  <r>
    <d v="2023-08-19T00:00:00"/>
    <x v="4"/>
    <x v="4"/>
    <x v="8"/>
    <s v="Debit Card"/>
    <n v="348"/>
    <x v="1"/>
    <x v="0"/>
    <n v="8"/>
    <n v="4000"/>
    <x v="1"/>
  </r>
  <r>
    <d v="2024-09-10T00:00:00"/>
    <x v="9"/>
    <x v="7"/>
    <x v="6"/>
    <s v="UPI"/>
    <n v="1223"/>
    <x v="1"/>
    <x v="0"/>
    <n v="9"/>
    <n v="10000"/>
    <x v="1"/>
  </r>
  <r>
    <d v="2024-11-20T00:00:00"/>
    <x v="11"/>
    <x v="3"/>
    <x v="2"/>
    <s v="Cash"/>
    <n v="1855"/>
    <x v="1"/>
    <x v="1"/>
    <n v="11"/>
    <n v="1000"/>
    <x v="0"/>
  </r>
  <r>
    <d v="2023-03-16T00:00:00"/>
    <x v="2"/>
    <x v="7"/>
    <x v="4"/>
    <s v="Cash"/>
    <n v="4352"/>
    <x v="1"/>
    <x v="1"/>
    <n v="3"/>
    <n v="10000"/>
    <x v="1"/>
  </r>
  <r>
    <d v="2024-02-08T00:00:00"/>
    <x v="7"/>
    <x v="5"/>
    <x v="4"/>
    <s v="UPI"/>
    <n v="621"/>
    <x v="0"/>
    <x v="0"/>
    <n v="2"/>
    <n v="3000"/>
    <x v="1"/>
  </r>
  <r>
    <d v="2024-02-04T00:00:00"/>
    <x v="7"/>
    <x v="1"/>
    <x v="7"/>
    <s v="Credit Card"/>
    <n v="4314"/>
    <x v="1"/>
    <x v="0"/>
    <n v="2"/>
    <n v="5000"/>
    <x v="1"/>
  </r>
  <r>
    <d v="2023-07-22T00:00:00"/>
    <x v="3"/>
    <x v="7"/>
    <x v="8"/>
    <s v="Debit Card"/>
    <n v="1284"/>
    <x v="1"/>
    <x v="0"/>
    <n v="7"/>
    <n v="10000"/>
    <x v="1"/>
  </r>
  <r>
    <d v="2023-10-14T00:00:00"/>
    <x v="0"/>
    <x v="2"/>
    <x v="7"/>
    <s v="UPI"/>
    <n v="392"/>
    <x v="1"/>
    <x v="0"/>
    <n v="10"/>
    <n v="5000"/>
    <x v="1"/>
  </r>
  <r>
    <d v="2023-11-03T00:00:00"/>
    <x v="11"/>
    <x v="8"/>
    <x v="4"/>
    <s v="Debit Card"/>
    <n v="4067"/>
    <x v="1"/>
    <x v="0"/>
    <n v="11"/>
    <n v="7000"/>
    <x v="1"/>
  </r>
  <r>
    <d v="2023-04-08T00:00:00"/>
    <x v="6"/>
    <x v="4"/>
    <x v="5"/>
    <s v="Debit Card"/>
    <n v="2673"/>
    <x v="1"/>
    <x v="0"/>
    <n v="4"/>
    <n v="4000"/>
    <x v="1"/>
  </r>
  <r>
    <d v="2024-01-19T00:00:00"/>
    <x v="8"/>
    <x v="3"/>
    <x v="2"/>
    <s v="Net Banking"/>
    <n v="3129"/>
    <x v="1"/>
    <x v="0"/>
    <n v="1"/>
    <n v="1000"/>
    <x v="0"/>
  </r>
  <r>
    <d v="2023-02-20T00:00:00"/>
    <x v="7"/>
    <x v="0"/>
    <x v="8"/>
    <s v="Debit Card"/>
    <n v="353"/>
    <x v="0"/>
    <x v="0"/>
    <n v="2"/>
    <n v="2000"/>
    <x v="1"/>
  </r>
  <r>
    <d v="2024-04-03T00:00:00"/>
    <x v="6"/>
    <x v="0"/>
    <x v="6"/>
    <s v="Credit Card"/>
    <n v="2042"/>
    <x v="0"/>
    <x v="0"/>
    <n v="4"/>
    <n v="2000"/>
    <x v="0"/>
  </r>
  <r>
    <d v="2023-05-09T00:00:00"/>
    <x v="5"/>
    <x v="7"/>
    <x v="0"/>
    <s v="UPI"/>
    <n v="1430"/>
    <x v="1"/>
    <x v="0"/>
    <n v="5"/>
    <n v="10000"/>
    <x v="1"/>
  </r>
  <r>
    <d v="2024-03-25T00:00:00"/>
    <x v="2"/>
    <x v="5"/>
    <x v="1"/>
    <s v="Cash"/>
    <n v="3773"/>
    <x v="0"/>
    <x v="1"/>
    <n v="3"/>
    <n v="3000"/>
    <x v="0"/>
  </r>
  <r>
    <d v="2023-01-29T00:00:00"/>
    <x v="8"/>
    <x v="2"/>
    <x v="5"/>
    <s v="Credit Card"/>
    <n v="1383"/>
    <x v="1"/>
    <x v="0"/>
    <n v="1"/>
    <n v="5000"/>
    <x v="1"/>
  </r>
  <r>
    <d v="2023-02-28T00:00:00"/>
    <x v="7"/>
    <x v="1"/>
    <x v="2"/>
    <s v="Net Banking"/>
    <n v="900"/>
    <x v="1"/>
    <x v="0"/>
    <n v="2"/>
    <n v="5000"/>
    <x v="1"/>
  </r>
  <r>
    <d v="2024-04-16T00:00:00"/>
    <x v="6"/>
    <x v="1"/>
    <x v="2"/>
    <s v="Net Banking"/>
    <n v="3319"/>
    <x v="1"/>
    <x v="0"/>
    <n v="4"/>
    <n v="5000"/>
    <x v="1"/>
  </r>
  <r>
    <d v="2024-02-26T00:00:00"/>
    <x v="7"/>
    <x v="3"/>
    <x v="6"/>
    <s v="Net Banking"/>
    <n v="3405"/>
    <x v="1"/>
    <x v="0"/>
    <n v="2"/>
    <n v="1000"/>
    <x v="0"/>
  </r>
  <r>
    <d v="2023-12-11T00:00:00"/>
    <x v="1"/>
    <x v="3"/>
    <x v="4"/>
    <s v="Debit Card"/>
    <n v="944"/>
    <x v="1"/>
    <x v="0"/>
    <n v="12"/>
    <n v="1000"/>
    <x v="1"/>
  </r>
  <r>
    <d v="2024-10-15T00:00:00"/>
    <x v="0"/>
    <x v="2"/>
    <x v="2"/>
    <s v="UPI"/>
    <n v="174"/>
    <x v="1"/>
    <x v="0"/>
    <n v="10"/>
    <n v="5000"/>
    <x v="1"/>
  </r>
  <r>
    <d v="2024-06-28T00:00:00"/>
    <x v="10"/>
    <x v="5"/>
    <x v="0"/>
    <s v="UPI"/>
    <n v="2039"/>
    <x v="0"/>
    <x v="0"/>
    <n v="6"/>
    <n v="3000"/>
    <x v="1"/>
  </r>
  <r>
    <d v="2024-03-24T00:00:00"/>
    <x v="2"/>
    <x v="0"/>
    <x v="8"/>
    <s v="Net Banking"/>
    <n v="461"/>
    <x v="0"/>
    <x v="0"/>
    <n v="3"/>
    <n v="2000"/>
    <x v="1"/>
  </r>
  <r>
    <d v="2024-10-03T00:00:00"/>
    <x v="0"/>
    <x v="8"/>
    <x v="4"/>
    <s v="Net Banking"/>
    <n v="2720"/>
    <x v="1"/>
    <x v="0"/>
    <n v="10"/>
    <n v="7000"/>
    <x v="1"/>
  </r>
  <r>
    <d v="2023-08-20T00:00:00"/>
    <x v="4"/>
    <x v="3"/>
    <x v="9"/>
    <s v="Cash"/>
    <n v="2928"/>
    <x v="1"/>
    <x v="1"/>
    <n v="8"/>
    <n v="1000"/>
    <x v="0"/>
  </r>
  <r>
    <d v="2023-05-21T00:00:00"/>
    <x v="5"/>
    <x v="4"/>
    <x v="3"/>
    <s v="Net Banking"/>
    <n v="2214"/>
    <x v="1"/>
    <x v="0"/>
    <n v="5"/>
    <n v="4000"/>
    <x v="1"/>
  </r>
  <r>
    <d v="2024-09-20T00:00:00"/>
    <x v="9"/>
    <x v="2"/>
    <x v="6"/>
    <s v="Credit Card"/>
    <n v="4181"/>
    <x v="1"/>
    <x v="0"/>
    <n v="9"/>
    <n v="5000"/>
    <x v="1"/>
  </r>
  <r>
    <d v="2023-11-11T00:00:00"/>
    <x v="11"/>
    <x v="1"/>
    <x v="5"/>
    <s v="UPI"/>
    <n v="1266"/>
    <x v="1"/>
    <x v="0"/>
    <n v="11"/>
    <n v="5000"/>
    <x v="1"/>
  </r>
  <r>
    <d v="2024-04-06T00:00:00"/>
    <x v="6"/>
    <x v="4"/>
    <x v="0"/>
    <s v="Debit Card"/>
    <n v="3610"/>
    <x v="1"/>
    <x v="0"/>
    <n v="4"/>
    <n v="4000"/>
    <x v="1"/>
  </r>
  <r>
    <d v="2024-04-28T00:00:00"/>
    <x v="6"/>
    <x v="5"/>
    <x v="5"/>
    <s v="Debit Card"/>
    <n v="3271"/>
    <x v="0"/>
    <x v="0"/>
    <n v="4"/>
    <n v="3000"/>
    <x v="0"/>
  </r>
  <r>
    <d v="2023-05-15T00:00:00"/>
    <x v="5"/>
    <x v="3"/>
    <x v="9"/>
    <s v="Credit Card"/>
    <n v="4806"/>
    <x v="1"/>
    <x v="0"/>
    <n v="5"/>
    <n v="1000"/>
    <x v="0"/>
  </r>
  <r>
    <d v="2024-09-21T00:00:00"/>
    <x v="9"/>
    <x v="0"/>
    <x v="2"/>
    <s v="Credit Card"/>
    <n v="3322"/>
    <x v="0"/>
    <x v="0"/>
    <n v="9"/>
    <n v="2000"/>
    <x v="0"/>
  </r>
  <r>
    <d v="2024-04-12T00:00:00"/>
    <x v="6"/>
    <x v="6"/>
    <x v="6"/>
    <s v="Net Banking"/>
    <n v="3594"/>
    <x v="0"/>
    <x v="0"/>
    <n v="4"/>
    <n v="5500"/>
    <x v="1"/>
  </r>
  <r>
    <d v="2023-08-16T00:00:00"/>
    <x v="4"/>
    <x v="2"/>
    <x v="0"/>
    <s v="Credit Card"/>
    <n v="1953"/>
    <x v="1"/>
    <x v="0"/>
    <n v="8"/>
    <n v="5000"/>
    <x v="1"/>
  </r>
  <r>
    <d v="2023-09-19T00:00:00"/>
    <x v="9"/>
    <x v="7"/>
    <x v="6"/>
    <s v="Debit Card"/>
    <n v="1346"/>
    <x v="1"/>
    <x v="0"/>
    <n v="9"/>
    <n v="10000"/>
    <x v="1"/>
  </r>
  <r>
    <d v="2023-06-30T00:00:00"/>
    <x v="10"/>
    <x v="7"/>
    <x v="7"/>
    <s v="UPI"/>
    <n v="4017"/>
    <x v="1"/>
    <x v="0"/>
    <n v="6"/>
    <n v="10000"/>
    <x v="1"/>
  </r>
  <r>
    <d v="2024-04-09T00:00:00"/>
    <x v="6"/>
    <x v="3"/>
    <x v="0"/>
    <s v="Credit Card"/>
    <n v="982"/>
    <x v="1"/>
    <x v="0"/>
    <n v="4"/>
    <n v="1000"/>
    <x v="1"/>
  </r>
  <r>
    <d v="2024-12-02T00:00:00"/>
    <x v="1"/>
    <x v="3"/>
    <x v="1"/>
    <s v="Credit Card"/>
    <n v="1797"/>
    <x v="1"/>
    <x v="0"/>
    <n v="12"/>
    <n v="1000"/>
    <x v="0"/>
  </r>
  <r>
    <d v="2023-04-17T00:00:00"/>
    <x v="6"/>
    <x v="0"/>
    <x v="0"/>
    <s v="Credit Card"/>
    <n v="144"/>
    <x v="0"/>
    <x v="0"/>
    <n v="4"/>
    <n v="2000"/>
    <x v="1"/>
  </r>
  <r>
    <d v="2023-12-28T00:00:00"/>
    <x v="1"/>
    <x v="8"/>
    <x v="7"/>
    <s v="Debit Card"/>
    <n v="3505"/>
    <x v="1"/>
    <x v="0"/>
    <n v="12"/>
    <n v="7000"/>
    <x v="1"/>
  </r>
  <r>
    <d v="2023-08-03T00:00:00"/>
    <x v="4"/>
    <x v="1"/>
    <x v="0"/>
    <s v="Credit Card"/>
    <n v="1593"/>
    <x v="1"/>
    <x v="0"/>
    <n v="8"/>
    <n v="5000"/>
    <x v="1"/>
  </r>
  <r>
    <d v="2024-11-13T00:00:00"/>
    <x v="11"/>
    <x v="4"/>
    <x v="0"/>
    <s v="UPI"/>
    <n v="3774"/>
    <x v="1"/>
    <x v="0"/>
    <n v="11"/>
    <n v="4000"/>
    <x v="1"/>
  </r>
  <r>
    <d v="2024-06-30T00:00:00"/>
    <x v="10"/>
    <x v="2"/>
    <x v="5"/>
    <s v="Credit Card"/>
    <n v="2248"/>
    <x v="1"/>
    <x v="0"/>
    <n v="6"/>
    <n v="5000"/>
    <x v="1"/>
  </r>
  <r>
    <d v="2024-03-12T00:00:00"/>
    <x v="2"/>
    <x v="2"/>
    <x v="0"/>
    <s v="Debit Card"/>
    <n v="4639"/>
    <x v="1"/>
    <x v="0"/>
    <n v="3"/>
    <n v="5000"/>
    <x v="1"/>
  </r>
  <r>
    <d v="2023-06-20T00:00:00"/>
    <x v="10"/>
    <x v="8"/>
    <x v="8"/>
    <s v="Debit Card"/>
    <n v="3309"/>
    <x v="1"/>
    <x v="0"/>
    <n v="6"/>
    <n v="7000"/>
    <x v="1"/>
  </r>
  <r>
    <d v="2023-08-02T00:00:00"/>
    <x v="4"/>
    <x v="3"/>
    <x v="4"/>
    <s v="UPI"/>
    <n v="4850"/>
    <x v="1"/>
    <x v="0"/>
    <n v="8"/>
    <n v="1000"/>
    <x v="0"/>
  </r>
  <r>
    <d v="2023-10-29T00:00:00"/>
    <x v="0"/>
    <x v="2"/>
    <x v="6"/>
    <s v="UPI"/>
    <n v="1690"/>
    <x v="1"/>
    <x v="0"/>
    <n v="10"/>
    <n v="5000"/>
    <x v="1"/>
  </r>
  <r>
    <d v="2024-04-04T00:00:00"/>
    <x v="6"/>
    <x v="4"/>
    <x v="4"/>
    <s v="UPI"/>
    <n v="1404"/>
    <x v="1"/>
    <x v="0"/>
    <n v="4"/>
    <n v="4000"/>
    <x v="1"/>
  </r>
  <r>
    <d v="2024-11-16T00:00:00"/>
    <x v="11"/>
    <x v="0"/>
    <x v="2"/>
    <s v="Cash"/>
    <n v="1478"/>
    <x v="0"/>
    <x v="1"/>
    <n v="11"/>
    <n v="2000"/>
    <x v="1"/>
  </r>
  <r>
    <d v="2024-03-31T00:00:00"/>
    <x v="2"/>
    <x v="3"/>
    <x v="0"/>
    <s v="UPI"/>
    <n v="1278"/>
    <x v="1"/>
    <x v="0"/>
    <n v="3"/>
    <n v="1000"/>
    <x v="0"/>
  </r>
  <r>
    <d v="2023-10-14T00:00:00"/>
    <x v="0"/>
    <x v="8"/>
    <x v="4"/>
    <s v="Debit Card"/>
    <n v="339"/>
    <x v="1"/>
    <x v="0"/>
    <n v="10"/>
    <n v="7000"/>
    <x v="1"/>
  </r>
  <r>
    <d v="2023-01-30T00:00:00"/>
    <x v="8"/>
    <x v="7"/>
    <x v="9"/>
    <s v="Debit Card"/>
    <n v="3035"/>
    <x v="1"/>
    <x v="0"/>
    <n v="1"/>
    <n v="10000"/>
    <x v="1"/>
  </r>
  <r>
    <d v="2023-11-04T00:00:00"/>
    <x v="11"/>
    <x v="2"/>
    <x v="0"/>
    <s v="Cash"/>
    <n v="4572"/>
    <x v="1"/>
    <x v="1"/>
    <n v="11"/>
    <n v="5000"/>
    <x v="1"/>
  </r>
  <r>
    <d v="2024-10-04T00:00:00"/>
    <x v="0"/>
    <x v="1"/>
    <x v="2"/>
    <s v="UPI"/>
    <n v="656"/>
    <x v="1"/>
    <x v="0"/>
    <n v="10"/>
    <n v="5000"/>
    <x v="1"/>
  </r>
  <r>
    <d v="2023-03-09T00:00:00"/>
    <x v="2"/>
    <x v="6"/>
    <x v="9"/>
    <s v="Net Banking"/>
    <n v="4726"/>
    <x v="0"/>
    <x v="0"/>
    <n v="3"/>
    <n v="5500"/>
    <x v="1"/>
  </r>
  <r>
    <d v="2023-04-14T00:00:00"/>
    <x v="6"/>
    <x v="8"/>
    <x v="2"/>
    <s v="Debit Card"/>
    <n v="4418"/>
    <x v="1"/>
    <x v="0"/>
    <n v="4"/>
    <n v="7000"/>
    <x v="1"/>
  </r>
  <r>
    <d v="2023-09-25T00:00:00"/>
    <x v="9"/>
    <x v="0"/>
    <x v="5"/>
    <s v="UPI"/>
    <n v="4177"/>
    <x v="0"/>
    <x v="0"/>
    <n v="9"/>
    <n v="2000"/>
    <x v="0"/>
  </r>
  <r>
    <d v="2024-09-15T00:00:00"/>
    <x v="9"/>
    <x v="6"/>
    <x v="3"/>
    <s v="UPI"/>
    <n v="3879"/>
    <x v="0"/>
    <x v="0"/>
    <n v="9"/>
    <n v="5500"/>
    <x v="1"/>
  </r>
  <r>
    <d v="2024-04-06T00:00:00"/>
    <x v="6"/>
    <x v="8"/>
    <x v="6"/>
    <s v="UPI"/>
    <n v="1552"/>
    <x v="1"/>
    <x v="0"/>
    <n v="4"/>
    <n v="7000"/>
    <x v="1"/>
  </r>
  <r>
    <d v="2023-07-19T00:00:00"/>
    <x v="3"/>
    <x v="2"/>
    <x v="6"/>
    <s v="Net Banking"/>
    <n v="1458"/>
    <x v="1"/>
    <x v="0"/>
    <n v="7"/>
    <n v="5000"/>
    <x v="1"/>
  </r>
  <r>
    <d v="2023-06-16T00:00:00"/>
    <x v="10"/>
    <x v="3"/>
    <x v="8"/>
    <s v="Cash"/>
    <n v="2521"/>
    <x v="1"/>
    <x v="1"/>
    <n v="6"/>
    <n v="1000"/>
    <x v="0"/>
  </r>
  <r>
    <d v="2024-05-24T00:00:00"/>
    <x v="5"/>
    <x v="5"/>
    <x v="7"/>
    <s v="Cash"/>
    <n v="3396"/>
    <x v="0"/>
    <x v="1"/>
    <n v="5"/>
    <n v="3000"/>
    <x v="0"/>
  </r>
  <r>
    <d v="2024-12-23T00:00:00"/>
    <x v="1"/>
    <x v="4"/>
    <x v="1"/>
    <s v="Net Banking"/>
    <n v="3253"/>
    <x v="1"/>
    <x v="0"/>
    <n v="12"/>
    <n v="4000"/>
    <x v="1"/>
  </r>
  <r>
    <d v="2023-12-29T00:00:00"/>
    <x v="1"/>
    <x v="5"/>
    <x v="1"/>
    <s v="Credit Card"/>
    <n v="3796"/>
    <x v="0"/>
    <x v="0"/>
    <n v="12"/>
    <n v="3000"/>
    <x v="0"/>
  </r>
  <r>
    <d v="2023-10-15T00:00:00"/>
    <x v="0"/>
    <x v="0"/>
    <x v="2"/>
    <s v="Net Banking"/>
    <n v="935"/>
    <x v="0"/>
    <x v="0"/>
    <n v="10"/>
    <n v="2000"/>
    <x v="1"/>
  </r>
  <r>
    <d v="2024-01-14T00:00:00"/>
    <x v="8"/>
    <x v="5"/>
    <x v="3"/>
    <s v="Net Banking"/>
    <n v="2236"/>
    <x v="0"/>
    <x v="0"/>
    <n v="1"/>
    <n v="3000"/>
    <x v="1"/>
  </r>
  <r>
    <d v="2023-08-27T00:00:00"/>
    <x v="4"/>
    <x v="1"/>
    <x v="5"/>
    <s v="Debit Card"/>
    <n v="1590"/>
    <x v="1"/>
    <x v="0"/>
    <n v="8"/>
    <n v="5000"/>
    <x v="1"/>
  </r>
  <r>
    <d v="2024-01-17T00:00:00"/>
    <x v="8"/>
    <x v="5"/>
    <x v="4"/>
    <s v="UPI"/>
    <n v="2057"/>
    <x v="0"/>
    <x v="0"/>
    <n v="1"/>
    <n v="3000"/>
    <x v="1"/>
  </r>
  <r>
    <d v="2024-07-13T00:00:00"/>
    <x v="3"/>
    <x v="8"/>
    <x v="8"/>
    <s v="Cash"/>
    <n v="1154"/>
    <x v="1"/>
    <x v="1"/>
    <n v="7"/>
    <n v="7000"/>
    <x v="1"/>
  </r>
  <r>
    <d v="2024-04-08T00:00:00"/>
    <x v="6"/>
    <x v="0"/>
    <x v="7"/>
    <s v="Credit Card"/>
    <n v="4629"/>
    <x v="0"/>
    <x v="0"/>
    <n v="4"/>
    <n v="2000"/>
    <x v="0"/>
  </r>
  <r>
    <d v="2023-02-06T00:00:00"/>
    <x v="7"/>
    <x v="5"/>
    <x v="0"/>
    <s v="UPI"/>
    <n v="2515"/>
    <x v="0"/>
    <x v="0"/>
    <n v="2"/>
    <n v="3000"/>
    <x v="1"/>
  </r>
  <r>
    <d v="2023-03-16T00:00:00"/>
    <x v="2"/>
    <x v="5"/>
    <x v="3"/>
    <s v="Credit Card"/>
    <n v="1748"/>
    <x v="0"/>
    <x v="0"/>
    <n v="3"/>
    <n v="3000"/>
    <x v="1"/>
  </r>
  <r>
    <d v="2024-09-11T00:00:00"/>
    <x v="9"/>
    <x v="2"/>
    <x v="6"/>
    <s v="Credit Card"/>
    <n v="3070"/>
    <x v="1"/>
    <x v="0"/>
    <n v="9"/>
    <n v="5000"/>
    <x v="1"/>
  </r>
  <r>
    <d v="2023-12-21T00:00:00"/>
    <x v="1"/>
    <x v="3"/>
    <x v="9"/>
    <s v="UPI"/>
    <n v="2940"/>
    <x v="1"/>
    <x v="0"/>
    <n v="12"/>
    <n v="1000"/>
    <x v="0"/>
  </r>
  <r>
    <d v="2024-02-22T00:00:00"/>
    <x v="7"/>
    <x v="0"/>
    <x v="3"/>
    <s v="Cash"/>
    <n v="3388"/>
    <x v="0"/>
    <x v="1"/>
    <n v="2"/>
    <n v="2000"/>
    <x v="0"/>
  </r>
  <r>
    <d v="2023-12-10T00:00:00"/>
    <x v="1"/>
    <x v="2"/>
    <x v="8"/>
    <s v="UPI"/>
    <n v="4868"/>
    <x v="1"/>
    <x v="0"/>
    <n v="12"/>
    <n v="5000"/>
    <x v="1"/>
  </r>
  <r>
    <d v="2024-06-23T00:00:00"/>
    <x v="10"/>
    <x v="3"/>
    <x v="8"/>
    <s v="Cash"/>
    <n v="55"/>
    <x v="1"/>
    <x v="1"/>
    <n v="6"/>
    <n v="1000"/>
    <x v="1"/>
  </r>
  <r>
    <d v="2023-02-14T00:00:00"/>
    <x v="7"/>
    <x v="4"/>
    <x v="8"/>
    <s v="Debit Card"/>
    <n v="1819"/>
    <x v="1"/>
    <x v="0"/>
    <n v="2"/>
    <n v="4000"/>
    <x v="1"/>
  </r>
  <r>
    <d v="2023-02-18T00:00:00"/>
    <x v="7"/>
    <x v="0"/>
    <x v="7"/>
    <s v="Cash"/>
    <n v="1265"/>
    <x v="0"/>
    <x v="1"/>
    <n v="2"/>
    <n v="2000"/>
    <x v="1"/>
  </r>
  <r>
    <d v="2023-12-28T00:00:00"/>
    <x v="1"/>
    <x v="4"/>
    <x v="4"/>
    <s v="Cash"/>
    <n v="4674"/>
    <x v="1"/>
    <x v="1"/>
    <n v="12"/>
    <n v="4000"/>
    <x v="0"/>
  </r>
  <r>
    <d v="2023-08-10T00:00:00"/>
    <x v="4"/>
    <x v="3"/>
    <x v="2"/>
    <s v="Cash"/>
    <n v="1086"/>
    <x v="1"/>
    <x v="1"/>
    <n v="8"/>
    <n v="1000"/>
    <x v="0"/>
  </r>
  <r>
    <d v="2024-01-01T00:00:00"/>
    <x v="8"/>
    <x v="5"/>
    <x v="3"/>
    <s v="UPI"/>
    <n v="726"/>
    <x v="0"/>
    <x v="0"/>
    <n v="1"/>
    <n v="3000"/>
    <x v="1"/>
  </r>
  <r>
    <d v="2023-03-24T00:00:00"/>
    <x v="2"/>
    <x v="4"/>
    <x v="6"/>
    <s v="Cash"/>
    <n v="592"/>
    <x v="1"/>
    <x v="1"/>
    <n v="3"/>
    <n v="4000"/>
    <x v="1"/>
  </r>
  <r>
    <d v="2023-02-27T00:00:00"/>
    <x v="7"/>
    <x v="1"/>
    <x v="8"/>
    <s v="Cash"/>
    <n v="4098"/>
    <x v="1"/>
    <x v="1"/>
    <n v="2"/>
    <n v="5000"/>
    <x v="1"/>
  </r>
  <r>
    <d v="2023-11-25T00:00:00"/>
    <x v="11"/>
    <x v="1"/>
    <x v="5"/>
    <s v="Net Banking"/>
    <n v="3953"/>
    <x v="1"/>
    <x v="0"/>
    <n v="11"/>
    <n v="5000"/>
    <x v="1"/>
  </r>
  <r>
    <d v="2024-12-06T00:00:00"/>
    <x v="1"/>
    <x v="4"/>
    <x v="1"/>
    <s v="UPI"/>
    <n v="1877"/>
    <x v="1"/>
    <x v="0"/>
    <n v="12"/>
    <n v="4000"/>
    <x v="1"/>
  </r>
  <r>
    <d v="2023-08-26T00:00:00"/>
    <x v="4"/>
    <x v="3"/>
    <x v="2"/>
    <s v="Debit Card"/>
    <n v="190"/>
    <x v="1"/>
    <x v="0"/>
    <n v="8"/>
    <n v="1000"/>
    <x v="1"/>
  </r>
  <r>
    <d v="2023-07-31T00:00:00"/>
    <x v="3"/>
    <x v="6"/>
    <x v="6"/>
    <s v="Net Banking"/>
    <n v="4095"/>
    <x v="0"/>
    <x v="0"/>
    <n v="7"/>
    <n v="5500"/>
    <x v="1"/>
  </r>
  <r>
    <d v="2023-11-21T00:00:00"/>
    <x v="11"/>
    <x v="0"/>
    <x v="8"/>
    <s v="Cash"/>
    <n v="4878"/>
    <x v="0"/>
    <x v="1"/>
    <n v="11"/>
    <n v="2000"/>
    <x v="0"/>
  </r>
  <r>
    <d v="2024-02-03T00:00:00"/>
    <x v="7"/>
    <x v="3"/>
    <x v="3"/>
    <s v="Credit Card"/>
    <n v="2622"/>
    <x v="1"/>
    <x v="0"/>
    <n v="2"/>
    <n v="1000"/>
    <x v="0"/>
  </r>
  <r>
    <d v="2024-03-23T00:00:00"/>
    <x v="2"/>
    <x v="8"/>
    <x v="1"/>
    <s v="UPI"/>
    <n v="1074"/>
    <x v="1"/>
    <x v="0"/>
    <n v="3"/>
    <n v="7000"/>
    <x v="1"/>
  </r>
  <r>
    <d v="2023-06-17T00:00:00"/>
    <x v="10"/>
    <x v="7"/>
    <x v="8"/>
    <s v="Cash"/>
    <n v="4599"/>
    <x v="1"/>
    <x v="1"/>
    <n v="6"/>
    <n v="10000"/>
    <x v="1"/>
  </r>
  <r>
    <d v="2024-06-23T00:00:00"/>
    <x v="10"/>
    <x v="4"/>
    <x v="3"/>
    <s v="Cash"/>
    <n v="1429"/>
    <x v="1"/>
    <x v="1"/>
    <n v="6"/>
    <n v="4000"/>
    <x v="1"/>
  </r>
  <r>
    <d v="2024-12-19T00:00:00"/>
    <x v="1"/>
    <x v="1"/>
    <x v="3"/>
    <s v="Net Banking"/>
    <n v="414"/>
    <x v="1"/>
    <x v="0"/>
    <n v="12"/>
    <n v="5000"/>
    <x v="1"/>
  </r>
  <r>
    <d v="2024-03-30T00:00:00"/>
    <x v="2"/>
    <x v="3"/>
    <x v="0"/>
    <s v="Cash"/>
    <n v="4515"/>
    <x v="1"/>
    <x v="1"/>
    <n v="3"/>
    <n v="1000"/>
    <x v="0"/>
  </r>
  <r>
    <d v="2024-07-30T00:00:00"/>
    <x v="3"/>
    <x v="7"/>
    <x v="3"/>
    <s v="Net Banking"/>
    <n v="268"/>
    <x v="1"/>
    <x v="0"/>
    <n v="7"/>
    <n v="10000"/>
    <x v="1"/>
  </r>
  <r>
    <d v="2023-10-11T00:00:00"/>
    <x v="0"/>
    <x v="8"/>
    <x v="2"/>
    <s v="UPI"/>
    <n v="4502"/>
    <x v="1"/>
    <x v="0"/>
    <n v="10"/>
    <n v="7000"/>
    <x v="1"/>
  </r>
  <r>
    <d v="2023-05-11T00:00:00"/>
    <x v="5"/>
    <x v="7"/>
    <x v="3"/>
    <s v="Cash"/>
    <n v="1895"/>
    <x v="1"/>
    <x v="1"/>
    <n v="5"/>
    <n v="10000"/>
    <x v="1"/>
  </r>
  <r>
    <d v="2024-09-01T00:00:00"/>
    <x v="9"/>
    <x v="2"/>
    <x v="4"/>
    <s v="Debit Card"/>
    <n v="3117"/>
    <x v="1"/>
    <x v="0"/>
    <n v="9"/>
    <n v="5000"/>
    <x v="1"/>
  </r>
  <r>
    <d v="2024-09-18T00:00:00"/>
    <x v="9"/>
    <x v="3"/>
    <x v="2"/>
    <s v="Credit Card"/>
    <n v="1275"/>
    <x v="1"/>
    <x v="0"/>
    <n v="9"/>
    <n v="1000"/>
    <x v="0"/>
  </r>
  <r>
    <d v="2024-09-29T00:00:00"/>
    <x v="9"/>
    <x v="1"/>
    <x v="9"/>
    <s v="Debit Card"/>
    <n v="4901"/>
    <x v="1"/>
    <x v="0"/>
    <n v="9"/>
    <n v="5000"/>
    <x v="1"/>
  </r>
  <r>
    <d v="2024-09-05T00:00:00"/>
    <x v="9"/>
    <x v="5"/>
    <x v="9"/>
    <s v="Cash"/>
    <n v="4274"/>
    <x v="0"/>
    <x v="1"/>
    <n v="9"/>
    <n v="3000"/>
    <x v="0"/>
  </r>
  <r>
    <d v="2023-01-19T00:00:00"/>
    <x v="8"/>
    <x v="8"/>
    <x v="0"/>
    <s v="Cash"/>
    <n v="3967"/>
    <x v="1"/>
    <x v="1"/>
    <n v="1"/>
    <n v="7000"/>
    <x v="1"/>
  </r>
  <r>
    <d v="2023-04-30T00:00:00"/>
    <x v="6"/>
    <x v="2"/>
    <x v="4"/>
    <s v="Credit Card"/>
    <n v="1881"/>
    <x v="1"/>
    <x v="0"/>
    <n v="4"/>
    <n v="5000"/>
    <x v="1"/>
  </r>
  <r>
    <d v="2023-04-13T00:00:00"/>
    <x v="6"/>
    <x v="7"/>
    <x v="6"/>
    <s v="Net Banking"/>
    <n v="543"/>
    <x v="1"/>
    <x v="0"/>
    <n v="4"/>
    <n v="10000"/>
    <x v="1"/>
  </r>
  <r>
    <d v="2024-03-07T00:00:00"/>
    <x v="2"/>
    <x v="3"/>
    <x v="2"/>
    <s v="Credit Card"/>
    <n v="4600"/>
    <x v="1"/>
    <x v="0"/>
    <n v="3"/>
    <n v="1000"/>
    <x v="0"/>
  </r>
  <r>
    <d v="2024-04-11T00:00:00"/>
    <x v="6"/>
    <x v="1"/>
    <x v="1"/>
    <s v="Cash"/>
    <n v="4356"/>
    <x v="1"/>
    <x v="1"/>
    <n v="4"/>
    <n v="5000"/>
    <x v="1"/>
  </r>
  <r>
    <d v="2024-08-05T00:00:00"/>
    <x v="4"/>
    <x v="8"/>
    <x v="8"/>
    <s v="Debit Card"/>
    <n v="445"/>
    <x v="1"/>
    <x v="0"/>
    <n v="8"/>
    <n v="7000"/>
    <x v="1"/>
  </r>
  <r>
    <d v="2023-11-09T00:00:00"/>
    <x v="11"/>
    <x v="4"/>
    <x v="8"/>
    <s v="Debit Card"/>
    <n v="1399"/>
    <x v="1"/>
    <x v="0"/>
    <n v="11"/>
    <n v="4000"/>
    <x v="1"/>
  </r>
  <r>
    <d v="2024-05-27T00:00:00"/>
    <x v="5"/>
    <x v="8"/>
    <x v="5"/>
    <s v="Credit Card"/>
    <n v="849"/>
    <x v="1"/>
    <x v="0"/>
    <n v="5"/>
    <n v="7000"/>
    <x v="1"/>
  </r>
  <r>
    <d v="2024-04-24T00:00:00"/>
    <x v="6"/>
    <x v="4"/>
    <x v="5"/>
    <s v="Credit Card"/>
    <n v="4560"/>
    <x v="1"/>
    <x v="0"/>
    <n v="4"/>
    <n v="4000"/>
    <x v="0"/>
  </r>
  <r>
    <d v="2024-12-18T00:00:00"/>
    <x v="1"/>
    <x v="2"/>
    <x v="8"/>
    <s v="Debit Card"/>
    <n v="2914"/>
    <x v="1"/>
    <x v="0"/>
    <n v="12"/>
    <n v="5000"/>
    <x v="1"/>
  </r>
  <r>
    <d v="2024-11-14T00:00:00"/>
    <x v="11"/>
    <x v="8"/>
    <x v="3"/>
    <s v="Net Banking"/>
    <n v="2095"/>
    <x v="1"/>
    <x v="0"/>
    <n v="11"/>
    <n v="7000"/>
    <x v="1"/>
  </r>
  <r>
    <d v="2024-12-28T00:00:00"/>
    <x v="1"/>
    <x v="1"/>
    <x v="9"/>
    <s v="Credit Card"/>
    <n v="735"/>
    <x v="1"/>
    <x v="0"/>
    <n v="12"/>
    <n v="5000"/>
    <x v="1"/>
  </r>
  <r>
    <d v="2023-07-03T00:00:00"/>
    <x v="3"/>
    <x v="2"/>
    <x v="9"/>
    <s v="Credit Card"/>
    <n v="1842"/>
    <x v="1"/>
    <x v="0"/>
    <n v="7"/>
    <n v="5000"/>
    <x v="1"/>
  </r>
  <r>
    <d v="2024-04-06T00:00:00"/>
    <x v="6"/>
    <x v="8"/>
    <x v="7"/>
    <s v="Debit Card"/>
    <n v="435"/>
    <x v="1"/>
    <x v="0"/>
    <n v="4"/>
    <n v="7000"/>
    <x v="1"/>
  </r>
  <r>
    <d v="2023-04-20T00:00:00"/>
    <x v="6"/>
    <x v="3"/>
    <x v="0"/>
    <s v="Credit Card"/>
    <n v="4424"/>
    <x v="1"/>
    <x v="0"/>
    <n v="4"/>
    <n v="1000"/>
    <x v="0"/>
  </r>
  <r>
    <d v="2023-02-17T00:00:00"/>
    <x v="7"/>
    <x v="8"/>
    <x v="4"/>
    <s v="UPI"/>
    <n v="1676"/>
    <x v="1"/>
    <x v="0"/>
    <n v="2"/>
    <n v="7000"/>
    <x v="1"/>
  </r>
  <r>
    <d v="2023-05-07T00:00:00"/>
    <x v="5"/>
    <x v="3"/>
    <x v="2"/>
    <s v="Credit Card"/>
    <n v="4235"/>
    <x v="1"/>
    <x v="0"/>
    <n v="5"/>
    <n v="1000"/>
    <x v="0"/>
  </r>
  <r>
    <d v="2023-03-22T00:00:00"/>
    <x v="2"/>
    <x v="1"/>
    <x v="2"/>
    <s v="Credit Card"/>
    <n v="4949"/>
    <x v="1"/>
    <x v="0"/>
    <n v="3"/>
    <n v="5000"/>
    <x v="1"/>
  </r>
  <r>
    <d v="2023-03-24T00:00:00"/>
    <x v="2"/>
    <x v="2"/>
    <x v="8"/>
    <s v="Debit Card"/>
    <n v="3942"/>
    <x v="1"/>
    <x v="0"/>
    <n v="3"/>
    <n v="5000"/>
    <x v="1"/>
  </r>
  <r>
    <d v="2023-07-20T00:00:00"/>
    <x v="3"/>
    <x v="8"/>
    <x v="9"/>
    <s v="UPI"/>
    <n v="2338"/>
    <x v="1"/>
    <x v="0"/>
    <n v="7"/>
    <n v="7000"/>
    <x v="1"/>
  </r>
  <r>
    <d v="2023-10-02T00:00:00"/>
    <x v="0"/>
    <x v="2"/>
    <x v="9"/>
    <s v="Cash"/>
    <n v="1448"/>
    <x v="1"/>
    <x v="1"/>
    <n v="10"/>
    <n v="5000"/>
    <x v="1"/>
  </r>
  <r>
    <d v="2023-08-17T00:00:00"/>
    <x v="4"/>
    <x v="3"/>
    <x v="8"/>
    <s v="Net Banking"/>
    <n v="560"/>
    <x v="1"/>
    <x v="0"/>
    <n v="8"/>
    <n v="1000"/>
    <x v="1"/>
  </r>
  <r>
    <d v="2024-03-14T00:00:00"/>
    <x v="2"/>
    <x v="2"/>
    <x v="3"/>
    <s v="Cash"/>
    <n v="1950"/>
    <x v="1"/>
    <x v="1"/>
    <n v="3"/>
    <n v="5000"/>
    <x v="1"/>
  </r>
  <r>
    <d v="2024-07-16T00:00:00"/>
    <x v="3"/>
    <x v="8"/>
    <x v="3"/>
    <s v="Debit Card"/>
    <n v="4899"/>
    <x v="1"/>
    <x v="0"/>
    <n v="7"/>
    <n v="7000"/>
    <x v="1"/>
  </r>
  <r>
    <d v="2023-12-14T00:00:00"/>
    <x v="1"/>
    <x v="5"/>
    <x v="0"/>
    <s v="Cash"/>
    <n v="2877"/>
    <x v="0"/>
    <x v="1"/>
    <n v="12"/>
    <n v="3000"/>
    <x v="1"/>
  </r>
  <r>
    <d v="2023-08-01T00:00:00"/>
    <x v="4"/>
    <x v="8"/>
    <x v="2"/>
    <s v="Debit Card"/>
    <n v="547"/>
    <x v="1"/>
    <x v="0"/>
    <n v="8"/>
    <n v="7000"/>
    <x v="1"/>
  </r>
  <r>
    <d v="2023-10-30T00:00:00"/>
    <x v="0"/>
    <x v="2"/>
    <x v="8"/>
    <s v="Net Banking"/>
    <n v="2843"/>
    <x v="1"/>
    <x v="0"/>
    <n v="10"/>
    <n v="5000"/>
    <x v="1"/>
  </r>
  <r>
    <d v="2024-04-05T00:00:00"/>
    <x v="6"/>
    <x v="0"/>
    <x v="8"/>
    <s v="Credit Card"/>
    <n v="2297"/>
    <x v="0"/>
    <x v="0"/>
    <n v="4"/>
    <n v="2000"/>
    <x v="0"/>
  </r>
  <r>
    <d v="2023-05-13T00:00:00"/>
    <x v="5"/>
    <x v="4"/>
    <x v="1"/>
    <s v="Cash"/>
    <n v="2138"/>
    <x v="1"/>
    <x v="1"/>
    <n v="5"/>
    <n v="4000"/>
    <x v="1"/>
  </r>
  <r>
    <d v="2024-09-27T00:00:00"/>
    <x v="9"/>
    <x v="1"/>
    <x v="4"/>
    <s v="Cash"/>
    <n v="2945"/>
    <x v="1"/>
    <x v="1"/>
    <n v="9"/>
    <n v="5000"/>
    <x v="1"/>
  </r>
  <r>
    <d v="2023-02-03T00:00:00"/>
    <x v="7"/>
    <x v="3"/>
    <x v="4"/>
    <s v="Credit Card"/>
    <n v="622"/>
    <x v="1"/>
    <x v="0"/>
    <n v="2"/>
    <n v="1000"/>
    <x v="1"/>
  </r>
  <r>
    <d v="2024-02-05T00:00:00"/>
    <x v="7"/>
    <x v="7"/>
    <x v="9"/>
    <s v="Credit Card"/>
    <n v="4619"/>
    <x v="1"/>
    <x v="0"/>
    <n v="2"/>
    <n v="10000"/>
    <x v="1"/>
  </r>
  <r>
    <d v="2024-08-28T00:00:00"/>
    <x v="4"/>
    <x v="3"/>
    <x v="8"/>
    <s v="UPI"/>
    <n v="2817"/>
    <x v="1"/>
    <x v="0"/>
    <n v="8"/>
    <n v="1000"/>
    <x v="0"/>
  </r>
  <r>
    <d v="2023-06-06T00:00:00"/>
    <x v="10"/>
    <x v="5"/>
    <x v="6"/>
    <s v="Debit Card"/>
    <n v="4807"/>
    <x v="0"/>
    <x v="0"/>
    <n v="6"/>
    <n v="3000"/>
    <x v="0"/>
  </r>
  <r>
    <d v="2023-04-24T00:00:00"/>
    <x v="6"/>
    <x v="1"/>
    <x v="5"/>
    <s v="Cash"/>
    <n v="1395"/>
    <x v="1"/>
    <x v="1"/>
    <n v="4"/>
    <n v="5000"/>
    <x v="1"/>
  </r>
  <r>
    <d v="2023-09-27T00:00:00"/>
    <x v="9"/>
    <x v="2"/>
    <x v="7"/>
    <s v="Debit Card"/>
    <n v="1476"/>
    <x v="1"/>
    <x v="0"/>
    <n v="9"/>
    <n v="5000"/>
    <x v="1"/>
  </r>
  <r>
    <d v="2023-02-20T00:00:00"/>
    <x v="7"/>
    <x v="8"/>
    <x v="8"/>
    <s v="Net Banking"/>
    <n v="3518"/>
    <x v="1"/>
    <x v="0"/>
    <n v="2"/>
    <n v="7000"/>
    <x v="1"/>
  </r>
  <r>
    <d v="2023-01-15T00:00:00"/>
    <x v="8"/>
    <x v="4"/>
    <x v="3"/>
    <s v="Cash"/>
    <n v="3456"/>
    <x v="1"/>
    <x v="1"/>
    <n v="1"/>
    <n v="4000"/>
    <x v="1"/>
  </r>
  <r>
    <d v="2024-03-20T00:00:00"/>
    <x v="2"/>
    <x v="2"/>
    <x v="4"/>
    <s v="Net Banking"/>
    <n v="3699"/>
    <x v="1"/>
    <x v="0"/>
    <n v="3"/>
    <n v="5000"/>
    <x v="1"/>
  </r>
  <r>
    <d v="2024-06-10T00:00:00"/>
    <x v="10"/>
    <x v="4"/>
    <x v="8"/>
    <s v="Credit Card"/>
    <n v="2182"/>
    <x v="1"/>
    <x v="0"/>
    <n v="6"/>
    <n v="4000"/>
    <x v="1"/>
  </r>
  <r>
    <d v="2023-04-24T00:00:00"/>
    <x v="6"/>
    <x v="4"/>
    <x v="0"/>
    <s v="UPI"/>
    <n v="4680"/>
    <x v="1"/>
    <x v="0"/>
    <n v="4"/>
    <n v="4000"/>
    <x v="0"/>
  </r>
  <r>
    <d v="2024-10-02T00:00:00"/>
    <x v="0"/>
    <x v="4"/>
    <x v="9"/>
    <s v="Debit Card"/>
    <n v="4089"/>
    <x v="1"/>
    <x v="0"/>
    <n v="10"/>
    <n v="4000"/>
    <x v="0"/>
  </r>
  <r>
    <d v="2023-12-29T00:00:00"/>
    <x v="1"/>
    <x v="8"/>
    <x v="8"/>
    <s v="Net Banking"/>
    <n v="3254"/>
    <x v="1"/>
    <x v="0"/>
    <n v="12"/>
    <n v="7000"/>
    <x v="1"/>
  </r>
  <r>
    <d v="2024-01-24T00:00:00"/>
    <x v="8"/>
    <x v="5"/>
    <x v="3"/>
    <s v="Cash"/>
    <n v="1580"/>
    <x v="0"/>
    <x v="1"/>
    <n v="1"/>
    <n v="3000"/>
    <x v="1"/>
  </r>
  <r>
    <d v="2023-04-24T00:00:00"/>
    <x v="6"/>
    <x v="1"/>
    <x v="3"/>
    <s v="UPI"/>
    <n v="2242"/>
    <x v="1"/>
    <x v="0"/>
    <n v="4"/>
    <n v="5000"/>
    <x v="1"/>
  </r>
  <r>
    <d v="2023-08-23T00:00:00"/>
    <x v="4"/>
    <x v="2"/>
    <x v="5"/>
    <s v="Debit Card"/>
    <n v="3973"/>
    <x v="1"/>
    <x v="0"/>
    <n v="8"/>
    <n v="5000"/>
    <x v="1"/>
  </r>
  <r>
    <d v="2023-05-04T00:00:00"/>
    <x v="5"/>
    <x v="6"/>
    <x v="6"/>
    <s v="Credit Card"/>
    <n v="2545"/>
    <x v="0"/>
    <x v="0"/>
    <n v="5"/>
    <n v="5500"/>
    <x v="1"/>
  </r>
  <r>
    <d v="2023-11-27T00:00:00"/>
    <x v="11"/>
    <x v="1"/>
    <x v="9"/>
    <s v="Debit Card"/>
    <n v="3021"/>
    <x v="1"/>
    <x v="0"/>
    <n v="11"/>
    <n v="5000"/>
    <x v="1"/>
  </r>
  <r>
    <d v="2024-06-09T00:00:00"/>
    <x v="10"/>
    <x v="4"/>
    <x v="2"/>
    <s v="Net Banking"/>
    <n v="3487"/>
    <x v="1"/>
    <x v="0"/>
    <n v="6"/>
    <n v="4000"/>
    <x v="1"/>
  </r>
  <r>
    <d v="2024-06-05T00:00:00"/>
    <x v="10"/>
    <x v="3"/>
    <x v="1"/>
    <s v="Credit Card"/>
    <n v="2015"/>
    <x v="1"/>
    <x v="0"/>
    <n v="6"/>
    <n v="1000"/>
    <x v="0"/>
  </r>
  <r>
    <d v="2024-12-08T00:00:00"/>
    <x v="1"/>
    <x v="1"/>
    <x v="2"/>
    <s v="Credit Card"/>
    <n v="3299"/>
    <x v="1"/>
    <x v="0"/>
    <n v="12"/>
    <n v="5000"/>
    <x v="1"/>
  </r>
  <r>
    <d v="2023-01-12T00:00:00"/>
    <x v="8"/>
    <x v="7"/>
    <x v="2"/>
    <s v="Net Banking"/>
    <n v="4969"/>
    <x v="1"/>
    <x v="0"/>
    <n v="1"/>
    <n v="10000"/>
    <x v="1"/>
  </r>
  <r>
    <d v="2024-12-06T00:00:00"/>
    <x v="1"/>
    <x v="0"/>
    <x v="9"/>
    <s v="Cash"/>
    <n v="443"/>
    <x v="0"/>
    <x v="1"/>
    <n v="12"/>
    <n v="2000"/>
    <x v="1"/>
  </r>
  <r>
    <d v="2023-04-17T00:00:00"/>
    <x v="6"/>
    <x v="4"/>
    <x v="2"/>
    <s v="Debit Card"/>
    <n v="4245"/>
    <x v="1"/>
    <x v="0"/>
    <n v="4"/>
    <n v="4000"/>
    <x v="0"/>
  </r>
  <r>
    <d v="2023-01-15T00:00:00"/>
    <x v="8"/>
    <x v="1"/>
    <x v="1"/>
    <s v="Cash"/>
    <n v="4634"/>
    <x v="1"/>
    <x v="1"/>
    <n v="1"/>
    <n v="5000"/>
    <x v="1"/>
  </r>
  <r>
    <d v="2023-05-21T00:00:00"/>
    <x v="5"/>
    <x v="3"/>
    <x v="4"/>
    <s v="UPI"/>
    <n v="1015"/>
    <x v="1"/>
    <x v="0"/>
    <n v="5"/>
    <n v="1000"/>
    <x v="0"/>
  </r>
  <r>
    <d v="2024-10-30T00:00:00"/>
    <x v="0"/>
    <x v="2"/>
    <x v="3"/>
    <s v="Net Banking"/>
    <n v="4550"/>
    <x v="1"/>
    <x v="0"/>
    <n v="10"/>
    <n v="5000"/>
    <x v="1"/>
  </r>
  <r>
    <d v="2024-03-09T00:00:00"/>
    <x v="2"/>
    <x v="1"/>
    <x v="2"/>
    <s v="UPI"/>
    <n v="833"/>
    <x v="1"/>
    <x v="0"/>
    <n v="3"/>
    <n v="5000"/>
    <x v="1"/>
  </r>
  <r>
    <d v="2024-06-29T00:00:00"/>
    <x v="10"/>
    <x v="5"/>
    <x v="1"/>
    <s v="Debit Card"/>
    <n v="1278"/>
    <x v="0"/>
    <x v="0"/>
    <n v="6"/>
    <n v="3000"/>
    <x v="1"/>
  </r>
  <r>
    <d v="2024-07-04T00:00:00"/>
    <x v="3"/>
    <x v="6"/>
    <x v="1"/>
    <s v="Debit Card"/>
    <n v="3931"/>
    <x v="0"/>
    <x v="0"/>
    <n v="7"/>
    <n v="5500"/>
    <x v="1"/>
  </r>
  <r>
    <d v="2024-11-14T00:00:00"/>
    <x v="11"/>
    <x v="3"/>
    <x v="9"/>
    <s v="Cash"/>
    <n v="3084"/>
    <x v="1"/>
    <x v="1"/>
    <n v="11"/>
    <n v="1000"/>
    <x v="0"/>
  </r>
  <r>
    <d v="2023-07-29T00:00:00"/>
    <x v="3"/>
    <x v="1"/>
    <x v="5"/>
    <s v="Net Banking"/>
    <n v="1935"/>
    <x v="1"/>
    <x v="0"/>
    <n v="7"/>
    <n v="5000"/>
    <x v="1"/>
  </r>
  <r>
    <d v="2023-04-28T00:00:00"/>
    <x v="6"/>
    <x v="7"/>
    <x v="5"/>
    <s v="Net Banking"/>
    <n v="2294"/>
    <x v="1"/>
    <x v="0"/>
    <n v="4"/>
    <n v="10000"/>
    <x v="1"/>
  </r>
  <r>
    <d v="2024-11-29T00:00:00"/>
    <x v="11"/>
    <x v="8"/>
    <x v="7"/>
    <s v="Net Banking"/>
    <n v="645"/>
    <x v="1"/>
    <x v="0"/>
    <n v="11"/>
    <n v="7000"/>
    <x v="1"/>
  </r>
  <r>
    <d v="2024-09-07T00:00:00"/>
    <x v="9"/>
    <x v="6"/>
    <x v="1"/>
    <s v="Credit Card"/>
    <n v="2575"/>
    <x v="0"/>
    <x v="0"/>
    <n v="9"/>
    <n v="5500"/>
    <x v="1"/>
  </r>
  <r>
    <d v="2024-06-01T00:00:00"/>
    <x v="10"/>
    <x v="4"/>
    <x v="4"/>
    <s v="UPI"/>
    <n v="2646"/>
    <x v="1"/>
    <x v="0"/>
    <n v="6"/>
    <n v="4000"/>
    <x v="1"/>
  </r>
  <r>
    <d v="2023-05-03T00:00:00"/>
    <x v="5"/>
    <x v="1"/>
    <x v="6"/>
    <s v="Net Banking"/>
    <n v="2061"/>
    <x v="1"/>
    <x v="0"/>
    <n v="5"/>
    <n v="5000"/>
    <x v="1"/>
  </r>
  <r>
    <d v="2024-01-05T00:00:00"/>
    <x v="8"/>
    <x v="8"/>
    <x v="3"/>
    <s v="UPI"/>
    <n v="227"/>
    <x v="1"/>
    <x v="0"/>
    <n v="1"/>
    <n v="7000"/>
    <x v="1"/>
  </r>
  <r>
    <d v="2023-07-14T00:00:00"/>
    <x v="3"/>
    <x v="5"/>
    <x v="8"/>
    <s v="UPI"/>
    <n v="1231"/>
    <x v="0"/>
    <x v="0"/>
    <n v="7"/>
    <n v="3000"/>
    <x v="1"/>
  </r>
  <r>
    <d v="2023-10-09T00:00:00"/>
    <x v="0"/>
    <x v="3"/>
    <x v="1"/>
    <s v="Credit Card"/>
    <n v="269"/>
    <x v="1"/>
    <x v="0"/>
    <n v="10"/>
    <n v="1000"/>
    <x v="1"/>
  </r>
  <r>
    <d v="2023-09-23T00:00:00"/>
    <x v="9"/>
    <x v="7"/>
    <x v="4"/>
    <s v="Credit Card"/>
    <n v="4572"/>
    <x v="1"/>
    <x v="0"/>
    <n v="9"/>
    <n v="10000"/>
    <x v="1"/>
  </r>
  <r>
    <d v="2024-06-16T00:00:00"/>
    <x v="10"/>
    <x v="7"/>
    <x v="6"/>
    <s v="Credit Card"/>
    <n v="2818"/>
    <x v="1"/>
    <x v="0"/>
    <n v="6"/>
    <n v="10000"/>
    <x v="1"/>
  </r>
  <r>
    <d v="2023-09-17T00:00:00"/>
    <x v="9"/>
    <x v="5"/>
    <x v="9"/>
    <s v="Net Banking"/>
    <n v="3436"/>
    <x v="0"/>
    <x v="0"/>
    <n v="9"/>
    <n v="3000"/>
    <x v="0"/>
  </r>
  <r>
    <d v="2023-08-03T00:00:00"/>
    <x v="4"/>
    <x v="2"/>
    <x v="9"/>
    <s v="Credit Card"/>
    <n v="4150"/>
    <x v="1"/>
    <x v="0"/>
    <n v="8"/>
    <n v="5000"/>
    <x v="1"/>
  </r>
  <r>
    <d v="2023-10-15T00:00:00"/>
    <x v="0"/>
    <x v="2"/>
    <x v="0"/>
    <s v="Net Banking"/>
    <n v="2698"/>
    <x v="1"/>
    <x v="0"/>
    <n v="10"/>
    <n v="5000"/>
    <x v="1"/>
  </r>
  <r>
    <d v="2024-03-11T00:00:00"/>
    <x v="2"/>
    <x v="8"/>
    <x v="3"/>
    <s v="Net Banking"/>
    <n v="4045"/>
    <x v="1"/>
    <x v="0"/>
    <n v="3"/>
    <n v="7000"/>
    <x v="1"/>
  </r>
  <r>
    <d v="2023-09-05T00:00:00"/>
    <x v="9"/>
    <x v="5"/>
    <x v="3"/>
    <s v="Net Banking"/>
    <n v="1788"/>
    <x v="0"/>
    <x v="0"/>
    <n v="9"/>
    <n v="3000"/>
    <x v="1"/>
  </r>
  <r>
    <d v="2024-01-13T00:00:00"/>
    <x v="8"/>
    <x v="1"/>
    <x v="5"/>
    <s v="Credit Card"/>
    <n v="748"/>
    <x v="1"/>
    <x v="0"/>
    <n v="1"/>
    <n v="5000"/>
    <x v="1"/>
  </r>
  <r>
    <d v="2024-12-15T00:00:00"/>
    <x v="1"/>
    <x v="6"/>
    <x v="8"/>
    <s v="Credit Card"/>
    <n v="3859"/>
    <x v="0"/>
    <x v="0"/>
    <n v="12"/>
    <n v="5500"/>
    <x v="1"/>
  </r>
  <r>
    <d v="2023-10-19T00:00:00"/>
    <x v="0"/>
    <x v="3"/>
    <x v="4"/>
    <s v="Credit Card"/>
    <n v="4598"/>
    <x v="1"/>
    <x v="0"/>
    <n v="10"/>
    <n v="1000"/>
    <x v="0"/>
  </r>
  <r>
    <d v="2023-05-20T00:00:00"/>
    <x v="5"/>
    <x v="8"/>
    <x v="8"/>
    <s v="Credit Card"/>
    <n v="742"/>
    <x v="1"/>
    <x v="0"/>
    <n v="5"/>
    <n v="7000"/>
    <x v="1"/>
  </r>
  <r>
    <d v="2024-09-20T00:00:00"/>
    <x v="9"/>
    <x v="8"/>
    <x v="2"/>
    <s v="Net Banking"/>
    <n v="677"/>
    <x v="1"/>
    <x v="0"/>
    <n v="9"/>
    <n v="7000"/>
    <x v="1"/>
  </r>
  <r>
    <d v="2023-03-27T00:00:00"/>
    <x v="2"/>
    <x v="8"/>
    <x v="1"/>
    <s v="UPI"/>
    <n v="4793"/>
    <x v="1"/>
    <x v="0"/>
    <n v="3"/>
    <n v="7000"/>
    <x v="1"/>
  </r>
  <r>
    <d v="2023-08-04T00:00:00"/>
    <x v="4"/>
    <x v="5"/>
    <x v="4"/>
    <s v="UPI"/>
    <n v="3668"/>
    <x v="0"/>
    <x v="0"/>
    <n v="8"/>
    <n v="3000"/>
    <x v="0"/>
  </r>
  <r>
    <d v="2024-01-07T00:00:00"/>
    <x v="8"/>
    <x v="6"/>
    <x v="9"/>
    <s v="Net Banking"/>
    <n v="1808"/>
    <x v="0"/>
    <x v="0"/>
    <n v="1"/>
    <n v="5500"/>
    <x v="1"/>
  </r>
  <r>
    <d v="2023-06-04T00:00:00"/>
    <x v="10"/>
    <x v="4"/>
    <x v="6"/>
    <s v="Net Banking"/>
    <n v="2590"/>
    <x v="1"/>
    <x v="0"/>
    <n v="6"/>
    <n v="4000"/>
    <x v="1"/>
  </r>
  <r>
    <d v="2024-04-28T00:00:00"/>
    <x v="6"/>
    <x v="3"/>
    <x v="3"/>
    <s v="Credit Card"/>
    <n v="1467"/>
    <x v="1"/>
    <x v="0"/>
    <n v="4"/>
    <n v="1000"/>
    <x v="0"/>
  </r>
  <r>
    <d v="2023-08-03T00:00:00"/>
    <x v="4"/>
    <x v="6"/>
    <x v="2"/>
    <s v="UPI"/>
    <n v="2914"/>
    <x v="0"/>
    <x v="0"/>
    <n v="8"/>
    <n v="5500"/>
    <x v="1"/>
  </r>
  <r>
    <d v="2023-01-26T00:00:00"/>
    <x v="8"/>
    <x v="6"/>
    <x v="8"/>
    <s v="UPI"/>
    <n v="3970"/>
    <x v="0"/>
    <x v="0"/>
    <n v="1"/>
    <n v="5500"/>
    <x v="1"/>
  </r>
  <r>
    <d v="2024-06-15T00:00:00"/>
    <x v="10"/>
    <x v="8"/>
    <x v="3"/>
    <s v="Debit Card"/>
    <n v="2045"/>
    <x v="1"/>
    <x v="0"/>
    <n v="6"/>
    <n v="7000"/>
    <x v="1"/>
  </r>
  <r>
    <d v="2023-10-11T00:00:00"/>
    <x v="0"/>
    <x v="2"/>
    <x v="5"/>
    <s v="Cash"/>
    <n v="2098"/>
    <x v="1"/>
    <x v="1"/>
    <n v="10"/>
    <n v="5000"/>
    <x v="1"/>
  </r>
  <r>
    <d v="2023-05-04T00:00:00"/>
    <x v="5"/>
    <x v="2"/>
    <x v="6"/>
    <s v="Net Banking"/>
    <n v="4042"/>
    <x v="1"/>
    <x v="0"/>
    <n v="5"/>
    <n v="5000"/>
    <x v="1"/>
  </r>
  <r>
    <d v="2023-10-02T00:00:00"/>
    <x v="0"/>
    <x v="8"/>
    <x v="3"/>
    <s v="Debit Card"/>
    <n v="1252"/>
    <x v="1"/>
    <x v="0"/>
    <n v="10"/>
    <n v="7000"/>
    <x v="1"/>
  </r>
  <r>
    <d v="2024-09-27T00:00:00"/>
    <x v="9"/>
    <x v="8"/>
    <x v="8"/>
    <s v="Cash"/>
    <n v="2578"/>
    <x v="1"/>
    <x v="1"/>
    <n v="9"/>
    <n v="7000"/>
    <x v="1"/>
  </r>
  <r>
    <d v="2024-12-11T00:00:00"/>
    <x v="1"/>
    <x v="3"/>
    <x v="8"/>
    <s v="Cash"/>
    <n v="459"/>
    <x v="1"/>
    <x v="1"/>
    <n v="12"/>
    <n v="1000"/>
    <x v="1"/>
  </r>
  <r>
    <d v="2024-06-23T00:00:00"/>
    <x v="10"/>
    <x v="5"/>
    <x v="9"/>
    <s v="Debit Card"/>
    <n v="1237"/>
    <x v="0"/>
    <x v="0"/>
    <n v="6"/>
    <n v="3000"/>
    <x v="1"/>
  </r>
  <r>
    <d v="2023-02-05T00:00:00"/>
    <x v="7"/>
    <x v="7"/>
    <x v="1"/>
    <s v="Cash"/>
    <n v="4428"/>
    <x v="1"/>
    <x v="1"/>
    <n v="2"/>
    <n v="10000"/>
    <x v="1"/>
  </r>
  <r>
    <d v="2023-03-31T00:00:00"/>
    <x v="2"/>
    <x v="8"/>
    <x v="7"/>
    <s v="Debit Card"/>
    <n v="588"/>
    <x v="1"/>
    <x v="0"/>
    <n v="3"/>
    <n v="7000"/>
    <x v="1"/>
  </r>
  <r>
    <d v="2024-01-27T00:00:00"/>
    <x v="8"/>
    <x v="3"/>
    <x v="3"/>
    <s v="Credit Card"/>
    <n v="2530"/>
    <x v="1"/>
    <x v="0"/>
    <n v="1"/>
    <n v="1000"/>
    <x v="0"/>
  </r>
  <r>
    <d v="2024-09-27T00:00:00"/>
    <x v="9"/>
    <x v="6"/>
    <x v="1"/>
    <s v="Credit Card"/>
    <n v="720"/>
    <x v="0"/>
    <x v="0"/>
    <n v="9"/>
    <n v="5500"/>
    <x v="1"/>
  </r>
  <r>
    <d v="2024-06-06T00:00:00"/>
    <x v="10"/>
    <x v="6"/>
    <x v="9"/>
    <s v="UPI"/>
    <n v="2003"/>
    <x v="0"/>
    <x v="0"/>
    <n v="6"/>
    <n v="5500"/>
    <x v="1"/>
  </r>
  <r>
    <d v="2024-10-06T00:00:00"/>
    <x v="0"/>
    <x v="3"/>
    <x v="1"/>
    <s v="Net Banking"/>
    <n v="4657"/>
    <x v="1"/>
    <x v="0"/>
    <n v="10"/>
    <n v="1000"/>
    <x v="0"/>
  </r>
  <r>
    <d v="2024-01-10T00:00:00"/>
    <x v="8"/>
    <x v="3"/>
    <x v="1"/>
    <s v="UPI"/>
    <n v="3493"/>
    <x v="1"/>
    <x v="0"/>
    <n v="1"/>
    <n v="1000"/>
    <x v="0"/>
  </r>
  <r>
    <d v="2024-02-02T00:00:00"/>
    <x v="7"/>
    <x v="5"/>
    <x v="1"/>
    <s v="Net Banking"/>
    <n v="1235"/>
    <x v="0"/>
    <x v="0"/>
    <n v="2"/>
    <n v="3000"/>
    <x v="1"/>
  </r>
  <r>
    <d v="2024-06-22T00:00:00"/>
    <x v="10"/>
    <x v="5"/>
    <x v="7"/>
    <s v="Net Banking"/>
    <n v="3744"/>
    <x v="0"/>
    <x v="0"/>
    <n v="6"/>
    <n v="3000"/>
    <x v="0"/>
  </r>
  <r>
    <d v="2024-07-13T00:00:00"/>
    <x v="3"/>
    <x v="7"/>
    <x v="2"/>
    <s v="Cash"/>
    <n v="3619"/>
    <x v="1"/>
    <x v="1"/>
    <n v="7"/>
    <n v="10000"/>
    <x v="1"/>
  </r>
  <r>
    <d v="2024-12-31T00:00:00"/>
    <x v="1"/>
    <x v="3"/>
    <x v="3"/>
    <s v="Cash"/>
    <n v="2300"/>
    <x v="1"/>
    <x v="1"/>
    <n v="12"/>
    <n v="1000"/>
    <x v="0"/>
  </r>
  <r>
    <d v="2024-07-22T00:00:00"/>
    <x v="3"/>
    <x v="2"/>
    <x v="4"/>
    <s v="Credit Card"/>
    <n v="4218"/>
    <x v="1"/>
    <x v="0"/>
    <n v="7"/>
    <n v="5000"/>
    <x v="1"/>
  </r>
  <r>
    <d v="2023-02-20T00:00:00"/>
    <x v="7"/>
    <x v="4"/>
    <x v="9"/>
    <s v="Net Banking"/>
    <n v="3101"/>
    <x v="1"/>
    <x v="0"/>
    <n v="2"/>
    <n v="4000"/>
    <x v="1"/>
  </r>
  <r>
    <d v="2024-08-10T00:00:00"/>
    <x v="4"/>
    <x v="1"/>
    <x v="8"/>
    <s v="Debit Card"/>
    <n v="1873"/>
    <x v="1"/>
    <x v="0"/>
    <n v="8"/>
    <n v="5000"/>
    <x v="1"/>
  </r>
  <r>
    <d v="2024-01-01T00:00:00"/>
    <x v="8"/>
    <x v="7"/>
    <x v="0"/>
    <s v="Debit Card"/>
    <n v="4451"/>
    <x v="1"/>
    <x v="0"/>
    <n v="1"/>
    <n v="10000"/>
    <x v="1"/>
  </r>
  <r>
    <d v="2023-08-23T00:00:00"/>
    <x v="4"/>
    <x v="7"/>
    <x v="5"/>
    <s v="Debit Card"/>
    <n v="3833"/>
    <x v="1"/>
    <x v="0"/>
    <n v="8"/>
    <n v="10000"/>
    <x v="1"/>
  </r>
  <r>
    <d v="2023-08-15T00:00:00"/>
    <x v="4"/>
    <x v="4"/>
    <x v="8"/>
    <s v="UPI"/>
    <n v="1722"/>
    <x v="1"/>
    <x v="0"/>
    <n v="8"/>
    <n v="4000"/>
    <x v="1"/>
  </r>
  <r>
    <d v="2023-06-07T00:00:00"/>
    <x v="10"/>
    <x v="2"/>
    <x v="5"/>
    <s v="Debit Card"/>
    <n v="2536"/>
    <x v="1"/>
    <x v="0"/>
    <n v="6"/>
    <n v="5000"/>
    <x v="1"/>
  </r>
  <r>
    <d v="2024-09-23T00:00:00"/>
    <x v="9"/>
    <x v="0"/>
    <x v="6"/>
    <s v="Debit Card"/>
    <n v="3436"/>
    <x v="0"/>
    <x v="0"/>
    <n v="9"/>
    <n v="2000"/>
    <x v="0"/>
  </r>
  <r>
    <d v="2023-03-18T00:00:00"/>
    <x v="2"/>
    <x v="2"/>
    <x v="5"/>
    <s v="Debit Card"/>
    <n v="384"/>
    <x v="1"/>
    <x v="0"/>
    <n v="3"/>
    <n v="5000"/>
    <x v="1"/>
  </r>
  <r>
    <d v="2023-06-07T00:00:00"/>
    <x v="10"/>
    <x v="8"/>
    <x v="2"/>
    <s v="Cash"/>
    <n v="2781"/>
    <x v="1"/>
    <x v="1"/>
    <n v="6"/>
    <n v="7000"/>
    <x v="1"/>
  </r>
  <r>
    <d v="2024-03-30T00:00:00"/>
    <x v="2"/>
    <x v="7"/>
    <x v="2"/>
    <s v="UPI"/>
    <n v="3955"/>
    <x v="1"/>
    <x v="0"/>
    <n v="3"/>
    <n v="10000"/>
    <x v="1"/>
  </r>
  <r>
    <d v="2024-03-16T00:00:00"/>
    <x v="2"/>
    <x v="5"/>
    <x v="4"/>
    <s v="Cash"/>
    <n v="3273"/>
    <x v="0"/>
    <x v="1"/>
    <n v="3"/>
    <n v="3000"/>
    <x v="0"/>
  </r>
  <r>
    <d v="2024-05-20T00:00:00"/>
    <x v="5"/>
    <x v="7"/>
    <x v="5"/>
    <s v="UPI"/>
    <n v="1837"/>
    <x v="1"/>
    <x v="0"/>
    <n v="5"/>
    <n v="10000"/>
    <x v="1"/>
  </r>
  <r>
    <d v="2024-05-15T00:00:00"/>
    <x v="5"/>
    <x v="5"/>
    <x v="4"/>
    <s v="Credit Card"/>
    <n v="2735"/>
    <x v="0"/>
    <x v="0"/>
    <n v="5"/>
    <n v="3000"/>
    <x v="1"/>
  </r>
  <r>
    <d v="2024-03-12T00:00:00"/>
    <x v="2"/>
    <x v="7"/>
    <x v="6"/>
    <s v="Cash"/>
    <n v="2577"/>
    <x v="1"/>
    <x v="1"/>
    <n v="3"/>
    <n v="10000"/>
    <x v="1"/>
  </r>
  <r>
    <d v="2023-06-12T00:00:00"/>
    <x v="10"/>
    <x v="0"/>
    <x v="1"/>
    <s v="Debit Card"/>
    <n v="4078"/>
    <x v="0"/>
    <x v="0"/>
    <n v="6"/>
    <n v="2000"/>
    <x v="0"/>
  </r>
  <r>
    <d v="2024-11-16T00:00:00"/>
    <x v="11"/>
    <x v="0"/>
    <x v="2"/>
    <s v="Net Banking"/>
    <n v="1999"/>
    <x v="0"/>
    <x v="0"/>
    <n v="11"/>
    <n v="2000"/>
    <x v="1"/>
  </r>
  <r>
    <d v="2024-09-21T00:00:00"/>
    <x v="9"/>
    <x v="0"/>
    <x v="2"/>
    <s v="UPI"/>
    <n v="4477"/>
    <x v="0"/>
    <x v="0"/>
    <n v="9"/>
    <n v="2000"/>
    <x v="0"/>
  </r>
  <r>
    <d v="2023-08-30T00:00:00"/>
    <x v="4"/>
    <x v="2"/>
    <x v="9"/>
    <s v="Debit Card"/>
    <n v="2612"/>
    <x v="1"/>
    <x v="0"/>
    <n v="8"/>
    <n v="5000"/>
    <x v="1"/>
  </r>
  <r>
    <d v="2023-12-06T00:00:00"/>
    <x v="1"/>
    <x v="4"/>
    <x v="8"/>
    <s v="UPI"/>
    <n v="3815"/>
    <x v="1"/>
    <x v="0"/>
    <n v="12"/>
    <n v="4000"/>
    <x v="1"/>
  </r>
  <r>
    <d v="2023-04-18T00:00:00"/>
    <x v="6"/>
    <x v="4"/>
    <x v="3"/>
    <s v="Debit Card"/>
    <n v="309"/>
    <x v="1"/>
    <x v="0"/>
    <n v="4"/>
    <n v="4000"/>
    <x v="1"/>
  </r>
  <r>
    <d v="2024-12-09T00:00:00"/>
    <x v="1"/>
    <x v="4"/>
    <x v="2"/>
    <s v="Cash"/>
    <n v="722"/>
    <x v="1"/>
    <x v="1"/>
    <n v="12"/>
    <n v="4000"/>
    <x v="1"/>
  </r>
  <r>
    <d v="2023-03-16T00:00:00"/>
    <x v="2"/>
    <x v="4"/>
    <x v="8"/>
    <s v="Cash"/>
    <n v="2586"/>
    <x v="1"/>
    <x v="1"/>
    <n v="3"/>
    <n v="4000"/>
    <x v="1"/>
  </r>
  <r>
    <d v="2023-01-17T00:00:00"/>
    <x v="8"/>
    <x v="4"/>
    <x v="8"/>
    <s v="Cash"/>
    <n v="3638"/>
    <x v="1"/>
    <x v="1"/>
    <n v="1"/>
    <n v="4000"/>
    <x v="1"/>
  </r>
  <r>
    <d v="2024-10-02T00:00:00"/>
    <x v="0"/>
    <x v="5"/>
    <x v="5"/>
    <s v="Credit Card"/>
    <n v="3932"/>
    <x v="0"/>
    <x v="0"/>
    <n v="10"/>
    <n v="3000"/>
    <x v="0"/>
  </r>
  <r>
    <d v="2023-09-03T00:00:00"/>
    <x v="9"/>
    <x v="6"/>
    <x v="4"/>
    <s v="UPI"/>
    <n v="2708"/>
    <x v="0"/>
    <x v="0"/>
    <n v="9"/>
    <n v="5500"/>
    <x v="1"/>
  </r>
  <r>
    <d v="2023-12-04T00:00:00"/>
    <x v="1"/>
    <x v="0"/>
    <x v="2"/>
    <s v="Debit Card"/>
    <n v="2519"/>
    <x v="0"/>
    <x v="0"/>
    <n v="12"/>
    <n v="2000"/>
    <x v="0"/>
  </r>
  <r>
    <d v="2024-12-15T00:00:00"/>
    <x v="1"/>
    <x v="4"/>
    <x v="9"/>
    <s v="Debit Card"/>
    <n v="215"/>
    <x v="1"/>
    <x v="0"/>
    <n v="12"/>
    <n v="4000"/>
    <x v="1"/>
  </r>
  <r>
    <d v="2024-06-04T00:00:00"/>
    <x v="10"/>
    <x v="8"/>
    <x v="0"/>
    <s v="Net Banking"/>
    <n v="3741"/>
    <x v="1"/>
    <x v="0"/>
    <n v="6"/>
    <n v="7000"/>
    <x v="1"/>
  </r>
  <r>
    <d v="2024-09-04T00:00:00"/>
    <x v="9"/>
    <x v="7"/>
    <x v="8"/>
    <s v="Credit Card"/>
    <n v="551"/>
    <x v="1"/>
    <x v="0"/>
    <n v="9"/>
    <n v="10000"/>
    <x v="1"/>
  </r>
  <r>
    <d v="2023-01-17T00:00:00"/>
    <x v="8"/>
    <x v="4"/>
    <x v="8"/>
    <s v="Cash"/>
    <n v="2516"/>
    <x v="1"/>
    <x v="1"/>
    <n v="1"/>
    <n v="4000"/>
    <x v="1"/>
  </r>
  <r>
    <d v="2023-02-18T00:00:00"/>
    <x v="7"/>
    <x v="7"/>
    <x v="4"/>
    <s v="Net Banking"/>
    <n v="2042"/>
    <x v="1"/>
    <x v="0"/>
    <n v="2"/>
    <n v="10000"/>
    <x v="1"/>
  </r>
  <r>
    <d v="2024-10-16T00:00:00"/>
    <x v="0"/>
    <x v="4"/>
    <x v="9"/>
    <s v="Net Banking"/>
    <n v="4075"/>
    <x v="1"/>
    <x v="0"/>
    <n v="10"/>
    <n v="4000"/>
    <x v="0"/>
  </r>
  <r>
    <d v="2024-07-22T00:00:00"/>
    <x v="3"/>
    <x v="5"/>
    <x v="3"/>
    <s v="UPI"/>
    <n v="2671"/>
    <x v="0"/>
    <x v="0"/>
    <n v="7"/>
    <n v="3000"/>
    <x v="1"/>
  </r>
  <r>
    <d v="2023-09-10T00:00:00"/>
    <x v="9"/>
    <x v="2"/>
    <x v="9"/>
    <s v="Cash"/>
    <n v="4315"/>
    <x v="1"/>
    <x v="1"/>
    <n v="9"/>
    <n v="5000"/>
    <x v="1"/>
  </r>
  <r>
    <d v="2024-10-23T00:00:00"/>
    <x v="0"/>
    <x v="1"/>
    <x v="1"/>
    <s v="Debit Card"/>
    <n v="4603"/>
    <x v="1"/>
    <x v="0"/>
    <n v="10"/>
    <n v="5000"/>
    <x v="1"/>
  </r>
  <r>
    <d v="2024-12-22T00:00:00"/>
    <x v="1"/>
    <x v="4"/>
    <x v="1"/>
    <s v="Credit Card"/>
    <n v="1180"/>
    <x v="1"/>
    <x v="0"/>
    <n v="12"/>
    <n v="4000"/>
    <x v="1"/>
  </r>
  <r>
    <d v="2024-10-03T00:00:00"/>
    <x v="0"/>
    <x v="4"/>
    <x v="8"/>
    <s v="Debit Card"/>
    <n v="274"/>
    <x v="1"/>
    <x v="0"/>
    <n v="10"/>
    <n v="4000"/>
    <x v="1"/>
  </r>
  <r>
    <d v="2023-05-21T00:00:00"/>
    <x v="5"/>
    <x v="4"/>
    <x v="9"/>
    <s v="Debit Card"/>
    <n v="1923"/>
    <x v="1"/>
    <x v="0"/>
    <n v="5"/>
    <n v="4000"/>
    <x v="1"/>
  </r>
  <r>
    <d v="2024-09-19T00:00:00"/>
    <x v="9"/>
    <x v="7"/>
    <x v="0"/>
    <s v="Net Banking"/>
    <n v="4161"/>
    <x v="1"/>
    <x v="0"/>
    <n v="9"/>
    <n v="10000"/>
    <x v="1"/>
  </r>
  <r>
    <d v="2023-02-12T00:00:00"/>
    <x v="7"/>
    <x v="6"/>
    <x v="3"/>
    <s v="Net Banking"/>
    <n v="2828"/>
    <x v="0"/>
    <x v="0"/>
    <n v="2"/>
    <n v="5500"/>
    <x v="1"/>
  </r>
  <r>
    <d v="2023-01-17T00:00:00"/>
    <x v="8"/>
    <x v="2"/>
    <x v="3"/>
    <s v="Debit Card"/>
    <n v="1045"/>
    <x v="1"/>
    <x v="0"/>
    <n v="1"/>
    <n v="5000"/>
    <x v="1"/>
  </r>
  <r>
    <d v="2023-06-02T00:00:00"/>
    <x v="10"/>
    <x v="7"/>
    <x v="5"/>
    <s v="Cash"/>
    <n v="2236"/>
    <x v="1"/>
    <x v="1"/>
    <n v="6"/>
    <n v="10000"/>
    <x v="1"/>
  </r>
  <r>
    <d v="2024-03-29T00:00:00"/>
    <x v="2"/>
    <x v="1"/>
    <x v="3"/>
    <s v="Cash"/>
    <n v="3653"/>
    <x v="1"/>
    <x v="1"/>
    <n v="3"/>
    <n v="5000"/>
    <x v="1"/>
  </r>
  <r>
    <d v="2023-11-10T00:00:00"/>
    <x v="11"/>
    <x v="0"/>
    <x v="7"/>
    <s v="Debit Card"/>
    <n v="2164"/>
    <x v="0"/>
    <x v="0"/>
    <n v="11"/>
    <n v="2000"/>
    <x v="0"/>
  </r>
  <r>
    <d v="2024-06-09T00:00:00"/>
    <x v="10"/>
    <x v="8"/>
    <x v="7"/>
    <s v="Cash"/>
    <n v="2582"/>
    <x v="1"/>
    <x v="1"/>
    <n v="6"/>
    <n v="7000"/>
    <x v="1"/>
  </r>
  <r>
    <d v="2023-09-24T00:00:00"/>
    <x v="9"/>
    <x v="2"/>
    <x v="6"/>
    <s v="UPI"/>
    <n v="3252"/>
    <x v="1"/>
    <x v="0"/>
    <n v="9"/>
    <n v="5000"/>
    <x v="1"/>
  </r>
  <r>
    <d v="2024-12-16T00:00:00"/>
    <x v="1"/>
    <x v="0"/>
    <x v="4"/>
    <s v="UPI"/>
    <n v="461"/>
    <x v="0"/>
    <x v="0"/>
    <n v="12"/>
    <n v="2000"/>
    <x v="1"/>
  </r>
  <r>
    <d v="2023-05-27T00:00:00"/>
    <x v="5"/>
    <x v="2"/>
    <x v="2"/>
    <s v="Net Banking"/>
    <n v="4306"/>
    <x v="1"/>
    <x v="0"/>
    <n v="5"/>
    <n v="5000"/>
    <x v="1"/>
  </r>
  <r>
    <d v="2024-06-25T00:00:00"/>
    <x v="10"/>
    <x v="3"/>
    <x v="8"/>
    <s v="Debit Card"/>
    <n v="3107"/>
    <x v="1"/>
    <x v="0"/>
    <n v="6"/>
    <n v="1000"/>
    <x v="0"/>
  </r>
  <r>
    <d v="2023-08-30T00:00:00"/>
    <x v="4"/>
    <x v="8"/>
    <x v="9"/>
    <s v="Debit Card"/>
    <n v="1688"/>
    <x v="1"/>
    <x v="0"/>
    <n v="8"/>
    <n v="7000"/>
    <x v="1"/>
  </r>
  <r>
    <d v="2024-01-07T00:00:00"/>
    <x v="8"/>
    <x v="0"/>
    <x v="5"/>
    <s v="UPI"/>
    <n v="2474"/>
    <x v="0"/>
    <x v="0"/>
    <n v="1"/>
    <n v="2000"/>
    <x v="0"/>
  </r>
  <r>
    <d v="2023-12-19T00:00:00"/>
    <x v="1"/>
    <x v="5"/>
    <x v="3"/>
    <s v="UPI"/>
    <n v="455"/>
    <x v="0"/>
    <x v="0"/>
    <n v="12"/>
    <n v="3000"/>
    <x v="1"/>
  </r>
  <r>
    <d v="2024-07-28T00:00:00"/>
    <x v="3"/>
    <x v="8"/>
    <x v="2"/>
    <s v="Net Banking"/>
    <n v="1514"/>
    <x v="1"/>
    <x v="0"/>
    <n v="7"/>
    <n v="7000"/>
    <x v="1"/>
  </r>
  <r>
    <d v="2023-06-08T00:00:00"/>
    <x v="10"/>
    <x v="6"/>
    <x v="3"/>
    <s v="Net Banking"/>
    <n v="3976"/>
    <x v="0"/>
    <x v="0"/>
    <n v="6"/>
    <n v="5500"/>
    <x v="1"/>
  </r>
  <r>
    <d v="2024-07-28T00:00:00"/>
    <x v="3"/>
    <x v="0"/>
    <x v="7"/>
    <s v="Credit Card"/>
    <n v="3959"/>
    <x v="0"/>
    <x v="0"/>
    <n v="7"/>
    <n v="2000"/>
    <x v="0"/>
  </r>
  <r>
    <d v="2023-11-02T00:00:00"/>
    <x v="11"/>
    <x v="4"/>
    <x v="3"/>
    <s v="Net Banking"/>
    <n v="4083"/>
    <x v="1"/>
    <x v="0"/>
    <n v="11"/>
    <n v="4000"/>
    <x v="0"/>
  </r>
  <r>
    <d v="2024-04-13T00:00:00"/>
    <x v="6"/>
    <x v="6"/>
    <x v="5"/>
    <s v="UPI"/>
    <n v="1111"/>
    <x v="0"/>
    <x v="0"/>
    <n v="4"/>
    <n v="5500"/>
    <x v="1"/>
  </r>
  <r>
    <d v="2024-04-10T00:00:00"/>
    <x v="6"/>
    <x v="2"/>
    <x v="0"/>
    <s v="Net Banking"/>
    <n v="2781"/>
    <x v="1"/>
    <x v="0"/>
    <n v="4"/>
    <n v="5000"/>
    <x v="1"/>
  </r>
  <r>
    <d v="2023-04-22T00:00:00"/>
    <x v="6"/>
    <x v="5"/>
    <x v="1"/>
    <s v="UPI"/>
    <n v="2273"/>
    <x v="0"/>
    <x v="0"/>
    <n v="4"/>
    <n v="3000"/>
    <x v="1"/>
  </r>
  <r>
    <d v="2024-02-09T00:00:00"/>
    <x v="7"/>
    <x v="3"/>
    <x v="9"/>
    <s v="Cash"/>
    <n v="2239"/>
    <x v="1"/>
    <x v="1"/>
    <n v="2"/>
    <n v="1000"/>
    <x v="0"/>
  </r>
  <r>
    <d v="2024-05-31T00:00:00"/>
    <x v="5"/>
    <x v="0"/>
    <x v="7"/>
    <s v="Debit Card"/>
    <n v="2285"/>
    <x v="0"/>
    <x v="0"/>
    <n v="5"/>
    <n v="2000"/>
    <x v="0"/>
  </r>
  <r>
    <d v="2024-09-06T00:00:00"/>
    <x v="9"/>
    <x v="0"/>
    <x v="5"/>
    <s v="Net Banking"/>
    <n v="4171"/>
    <x v="0"/>
    <x v="0"/>
    <n v="9"/>
    <n v="2000"/>
    <x v="0"/>
  </r>
  <r>
    <d v="2024-04-29T00:00:00"/>
    <x v="6"/>
    <x v="2"/>
    <x v="6"/>
    <s v="UPI"/>
    <n v="4761"/>
    <x v="1"/>
    <x v="0"/>
    <n v="4"/>
    <n v="5000"/>
    <x v="1"/>
  </r>
  <r>
    <d v="2023-10-20T00:00:00"/>
    <x v="0"/>
    <x v="5"/>
    <x v="0"/>
    <s v="UPI"/>
    <n v="1996"/>
    <x v="0"/>
    <x v="0"/>
    <n v="10"/>
    <n v="3000"/>
    <x v="1"/>
  </r>
  <r>
    <d v="2024-07-20T00:00:00"/>
    <x v="3"/>
    <x v="7"/>
    <x v="7"/>
    <s v="Cash"/>
    <n v="792"/>
    <x v="1"/>
    <x v="1"/>
    <n v="7"/>
    <n v="10000"/>
    <x v="1"/>
  </r>
  <r>
    <d v="2024-02-02T00:00:00"/>
    <x v="7"/>
    <x v="6"/>
    <x v="3"/>
    <s v="Credit Card"/>
    <n v="3369"/>
    <x v="0"/>
    <x v="0"/>
    <n v="2"/>
    <n v="5500"/>
    <x v="1"/>
  </r>
  <r>
    <d v="2023-05-01T00:00:00"/>
    <x v="5"/>
    <x v="3"/>
    <x v="9"/>
    <s v="Net Banking"/>
    <n v="2688"/>
    <x v="1"/>
    <x v="0"/>
    <n v="5"/>
    <n v="1000"/>
    <x v="0"/>
  </r>
  <r>
    <d v="2024-05-09T00:00:00"/>
    <x v="5"/>
    <x v="3"/>
    <x v="0"/>
    <s v="Cash"/>
    <n v="856"/>
    <x v="1"/>
    <x v="1"/>
    <n v="5"/>
    <n v="1000"/>
    <x v="1"/>
  </r>
  <r>
    <d v="2023-06-13T00:00:00"/>
    <x v="10"/>
    <x v="0"/>
    <x v="5"/>
    <s v="Debit Card"/>
    <n v="687"/>
    <x v="0"/>
    <x v="0"/>
    <n v="6"/>
    <n v="2000"/>
    <x v="1"/>
  </r>
  <r>
    <d v="2024-05-29T00:00:00"/>
    <x v="5"/>
    <x v="2"/>
    <x v="9"/>
    <s v="Credit Card"/>
    <n v="4681"/>
    <x v="1"/>
    <x v="0"/>
    <n v="5"/>
    <n v="5000"/>
    <x v="1"/>
  </r>
  <r>
    <d v="2023-07-26T00:00:00"/>
    <x v="3"/>
    <x v="6"/>
    <x v="2"/>
    <s v="Debit Card"/>
    <n v="688"/>
    <x v="0"/>
    <x v="0"/>
    <n v="7"/>
    <n v="5500"/>
    <x v="1"/>
  </r>
  <r>
    <d v="2024-04-05T00:00:00"/>
    <x v="6"/>
    <x v="2"/>
    <x v="7"/>
    <s v="Cash"/>
    <n v="1997"/>
    <x v="1"/>
    <x v="1"/>
    <n v="4"/>
    <n v="5000"/>
    <x v="1"/>
  </r>
  <r>
    <d v="2023-07-08T00:00:00"/>
    <x v="3"/>
    <x v="3"/>
    <x v="7"/>
    <s v="Net Banking"/>
    <n v="1558"/>
    <x v="1"/>
    <x v="0"/>
    <n v="7"/>
    <n v="1000"/>
    <x v="0"/>
  </r>
  <r>
    <d v="2024-09-11T00:00:00"/>
    <x v="9"/>
    <x v="0"/>
    <x v="2"/>
    <s v="UPI"/>
    <n v="4244"/>
    <x v="0"/>
    <x v="0"/>
    <n v="9"/>
    <n v="2000"/>
    <x v="0"/>
  </r>
  <r>
    <d v="2024-10-09T00:00:00"/>
    <x v="0"/>
    <x v="0"/>
    <x v="8"/>
    <s v="UPI"/>
    <n v="3503"/>
    <x v="0"/>
    <x v="0"/>
    <n v="10"/>
    <n v="2000"/>
    <x v="0"/>
  </r>
  <r>
    <d v="2023-07-22T00:00:00"/>
    <x v="3"/>
    <x v="2"/>
    <x v="9"/>
    <s v="Credit Card"/>
    <n v="1410"/>
    <x v="1"/>
    <x v="0"/>
    <n v="7"/>
    <n v="5000"/>
    <x v="1"/>
  </r>
  <r>
    <d v="2024-04-27T00:00:00"/>
    <x v="6"/>
    <x v="1"/>
    <x v="8"/>
    <s v="Credit Card"/>
    <n v="564"/>
    <x v="1"/>
    <x v="0"/>
    <n v="4"/>
    <n v="5000"/>
    <x v="1"/>
  </r>
  <r>
    <d v="2023-12-24T00:00:00"/>
    <x v="1"/>
    <x v="0"/>
    <x v="5"/>
    <s v="Credit Card"/>
    <n v="719"/>
    <x v="0"/>
    <x v="0"/>
    <n v="12"/>
    <n v="2000"/>
    <x v="1"/>
  </r>
  <r>
    <d v="2023-03-01T00:00:00"/>
    <x v="2"/>
    <x v="5"/>
    <x v="1"/>
    <s v="Credit Card"/>
    <n v="164"/>
    <x v="0"/>
    <x v="0"/>
    <n v="3"/>
    <n v="3000"/>
    <x v="1"/>
  </r>
  <r>
    <d v="2023-01-26T00:00:00"/>
    <x v="8"/>
    <x v="4"/>
    <x v="9"/>
    <s v="Net Banking"/>
    <n v="2292"/>
    <x v="1"/>
    <x v="0"/>
    <n v="1"/>
    <n v="4000"/>
    <x v="1"/>
  </r>
  <r>
    <d v="2024-09-07T00:00:00"/>
    <x v="9"/>
    <x v="6"/>
    <x v="0"/>
    <s v="Debit Card"/>
    <n v="2081"/>
    <x v="0"/>
    <x v="0"/>
    <n v="9"/>
    <n v="5500"/>
    <x v="1"/>
  </r>
  <r>
    <d v="2024-06-16T00:00:00"/>
    <x v="10"/>
    <x v="1"/>
    <x v="1"/>
    <s v="Net Banking"/>
    <n v="4951"/>
    <x v="1"/>
    <x v="0"/>
    <n v="6"/>
    <n v="5000"/>
    <x v="1"/>
  </r>
  <r>
    <d v="2023-05-02T00:00:00"/>
    <x v="5"/>
    <x v="4"/>
    <x v="3"/>
    <s v="UPI"/>
    <n v="2294"/>
    <x v="1"/>
    <x v="0"/>
    <n v="5"/>
    <n v="4000"/>
    <x v="1"/>
  </r>
  <r>
    <d v="2023-11-06T00:00:00"/>
    <x v="11"/>
    <x v="3"/>
    <x v="2"/>
    <s v="UPI"/>
    <n v="371"/>
    <x v="1"/>
    <x v="0"/>
    <n v="11"/>
    <n v="1000"/>
    <x v="1"/>
  </r>
  <r>
    <d v="2023-10-18T00:00:00"/>
    <x v="0"/>
    <x v="6"/>
    <x v="0"/>
    <s v="Net Banking"/>
    <n v="752"/>
    <x v="0"/>
    <x v="0"/>
    <n v="10"/>
    <n v="5500"/>
    <x v="1"/>
  </r>
  <r>
    <d v="2023-04-17T00:00:00"/>
    <x v="6"/>
    <x v="5"/>
    <x v="9"/>
    <s v="Net Banking"/>
    <n v="2519"/>
    <x v="0"/>
    <x v="0"/>
    <n v="4"/>
    <n v="3000"/>
    <x v="1"/>
  </r>
  <r>
    <d v="2023-04-27T00:00:00"/>
    <x v="6"/>
    <x v="8"/>
    <x v="9"/>
    <s v="Debit Card"/>
    <n v="3088"/>
    <x v="1"/>
    <x v="0"/>
    <n v="4"/>
    <n v="7000"/>
    <x v="1"/>
  </r>
  <r>
    <d v="2023-01-22T00:00:00"/>
    <x v="8"/>
    <x v="2"/>
    <x v="8"/>
    <s v="Net Banking"/>
    <n v="4274"/>
    <x v="1"/>
    <x v="0"/>
    <n v="1"/>
    <n v="5000"/>
    <x v="1"/>
  </r>
  <r>
    <d v="2023-07-25T00:00:00"/>
    <x v="3"/>
    <x v="0"/>
    <x v="2"/>
    <s v="UPI"/>
    <n v="4735"/>
    <x v="0"/>
    <x v="0"/>
    <n v="7"/>
    <n v="2000"/>
    <x v="0"/>
  </r>
  <r>
    <d v="2023-07-20T00:00:00"/>
    <x v="3"/>
    <x v="3"/>
    <x v="7"/>
    <s v="Credit Card"/>
    <n v="1870"/>
    <x v="1"/>
    <x v="0"/>
    <n v="7"/>
    <n v="1000"/>
    <x v="0"/>
  </r>
  <r>
    <d v="2023-05-19T00:00:00"/>
    <x v="5"/>
    <x v="1"/>
    <x v="9"/>
    <s v="Credit Card"/>
    <n v="950"/>
    <x v="1"/>
    <x v="0"/>
    <n v="5"/>
    <n v="5000"/>
    <x v="1"/>
  </r>
  <r>
    <d v="2023-10-18T00:00:00"/>
    <x v="0"/>
    <x v="5"/>
    <x v="1"/>
    <s v="Net Banking"/>
    <n v="4418"/>
    <x v="0"/>
    <x v="0"/>
    <n v="10"/>
    <n v="3000"/>
    <x v="0"/>
  </r>
  <r>
    <d v="2024-05-11T00:00:00"/>
    <x v="5"/>
    <x v="6"/>
    <x v="1"/>
    <s v="Cash"/>
    <n v="2704"/>
    <x v="0"/>
    <x v="1"/>
    <n v="5"/>
    <n v="5500"/>
    <x v="1"/>
  </r>
  <r>
    <d v="2023-05-02T00:00:00"/>
    <x v="5"/>
    <x v="5"/>
    <x v="9"/>
    <s v="Net Banking"/>
    <n v="4413"/>
    <x v="0"/>
    <x v="0"/>
    <n v="5"/>
    <n v="3000"/>
    <x v="0"/>
  </r>
  <r>
    <d v="2023-01-22T00:00:00"/>
    <x v="8"/>
    <x v="8"/>
    <x v="6"/>
    <s v="UPI"/>
    <n v="108"/>
    <x v="1"/>
    <x v="0"/>
    <n v="1"/>
    <n v="7000"/>
    <x v="1"/>
  </r>
  <r>
    <d v="2023-01-08T00:00:00"/>
    <x v="8"/>
    <x v="7"/>
    <x v="8"/>
    <s v="Debit Card"/>
    <n v="1673"/>
    <x v="1"/>
    <x v="0"/>
    <n v="1"/>
    <n v="10000"/>
    <x v="1"/>
  </r>
  <r>
    <d v="2023-11-19T00:00:00"/>
    <x v="11"/>
    <x v="0"/>
    <x v="3"/>
    <s v="Debit Card"/>
    <n v="2249"/>
    <x v="0"/>
    <x v="0"/>
    <n v="11"/>
    <n v="2000"/>
    <x v="0"/>
  </r>
  <r>
    <d v="2023-10-22T00:00:00"/>
    <x v="0"/>
    <x v="0"/>
    <x v="3"/>
    <s v="Cash"/>
    <n v="4182"/>
    <x v="0"/>
    <x v="1"/>
    <n v="10"/>
    <n v="2000"/>
    <x v="0"/>
  </r>
  <r>
    <d v="2024-08-26T00:00:00"/>
    <x v="4"/>
    <x v="4"/>
    <x v="0"/>
    <s v="UPI"/>
    <n v="1874"/>
    <x v="1"/>
    <x v="0"/>
    <n v="8"/>
    <n v="4000"/>
    <x v="1"/>
  </r>
  <r>
    <d v="2023-03-08T00:00:00"/>
    <x v="2"/>
    <x v="1"/>
    <x v="9"/>
    <s v="Credit Card"/>
    <n v="2509"/>
    <x v="1"/>
    <x v="0"/>
    <n v="3"/>
    <n v="5000"/>
    <x v="1"/>
  </r>
  <r>
    <d v="2024-01-18T00:00:00"/>
    <x v="8"/>
    <x v="5"/>
    <x v="4"/>
    <s v="Cash"/>
    <n v="1885"/>
    <x v="0"/>
    <x v="1"/>
    <n v="1"/>
    <n v="3000"/>
    <x v="1"/>
  </r>
  <r>
    <d v="2024-09-03T00:00:00"/>
    <x v="9"/>
    <x v="2"/>
    <x v="8"/>
    <s v="Cash"/>
    <n v="3955"/>
    <x v="1"/>
    <x v="1"/>
    <n v="9"/>
    <n v="5000"/>
    <x v="1"/>
  </r>
  <r>
    <d v="2023-10-20T00:00:00"/>
    <x v="0"/>
    <x v="6"/>
    <x v="2"/>
    <s v="Credit Card"/>
    <n v="2710"/>
    <x v="0"/>
    <x v="0"/>
    <n v="10"/>
    <n v="5500"/>
    <x v="1"/>
  </r>
  <r>
    <d v="2023-06-30T00:00:00"/>
    <x v="10"/>
    <x v="3"/>
    <x v="0"/>
    <s v="Credit Card"/>
    <n v="1431"/>
    <x v="1"/>
    <x v="0"/>
    <n v="6"/>
    <n v="1000"/>
    <x v="0"/>
  </r>
  <r>
    <d v="2024-08-17T00:00:00"/>
    <x v="4"/>
    <x v="2"/>
    <x v="4"/>
    <s v="Net Banking"/>
    <n v="203"/>
    <x v="1"/>
    <x v="0"/>
    <n v="8"/>
    <n v="5000"/>
    <x v="1"/>
  </r>
  <r>
    <d v="2023-09-17T00:00:00"/>
    <x v="9"/>
    <x v="4"/>
    <x v="5"/>
    <s v="Credit Card"/>
    <n v="1656"/>
    <x v="1"/>
    <x v="0"/>
    <n v="9"/>
    <n v="4000"/>
    <x v="1"/>
  </r>
  <r>
    <d v="2024-07-15T00:00:00"/>
    <x v="3"/>
    <x v="7"/>
    <x v="3"/>
    <s v="UPI"/>
    <n v="3714"/>
    <x v="1"/>
    <x v="0"/>
    <n v="7"/>
    <n v="10000"/>
    <x v="1"/>
  </r>
  <r>
    <d v="2023-09-25T00:00:00"/>
    <x v="9"/>
    <x v="6"/>
    <x v="3"/>
    <s v="Credit Card"/>
    <n v="679"/>
    <x v="0"/>
    <x v="0"/>
    <n v="9"/>
    <n v="5500"/>
    <x v="1"/>
  </r>
  <r>
    <d v="2024-10-26T00:00:00"/>
    <x v="0"/>
    <x v="0"/>
    <x v="8"/>
    <s v="Net Banking"/>
    <n v="704"/>
    <x v="0"/>
    <x v="0"/>
    <n v="10"/>
    <n v="2000"/>
    <x v="1"/>
  </r>
  <r>
    <d v="2024-05-14T00:00:00"/>
    <x v="5"/>
    <x v="4"/>
    <x v="4"/>
    <s v="Net Banking"/>
    <n v="1777"/>
    <x v="1"/>
    <x v="0"/>
    <n v="5"/>
    <n v="4000"/>
    <x v="1"/>
  </r>
  <r>
    <d v="2023-08-15T00:00:00"/>
    <x v="4"/>
    <x v="6"/>
    <x v="9"/>
    <s v="Cash"/>
    <n v="4410"/>
    <x v="0"/>
    <x v="1"/>
    <n v="8"/>
    <n v="5500"/>
    <x v="1"/>
  </r>
  <r>
    <d v="2024-04-16T00:00:00"/>
    <x v="6"/>
    <x v="0"/>
    <x v="1"/>
    <s v="Net Banking"/>
    <n v="4197"/>
    <x v="0"/>
    <x v="0"/>
    <n v="4"/>
    <n v="2000"/>
    <x v="0"/>
  </r>
  <r>
    <d v="2023-05-29T00:00:00"/>
    <x v="5"/>
    <x v="1"/>
    <x v="7"/>
    <s v="Net Banking"/>
    <n v="857"/>
    <x v="1"/>
    <x v="0"/>
    <n v="5"/>
    <n v="5000"/>
    <x v="1"/>
  </r>
  <r>
    <d v="2023-12-06T00:00:00"/>
    <x v="1"/>
    <x v="3"/>
    <x v="1"/>
    <s v="Credit Card"/>
    <n v="2468"/>
    <x v="1"/>
    <x v="0"/>
    <n v="12"/>
    <n v="1000"/>
    <x v="0"/>
  </r>
  <r>
    <d v="2023-10-09T00:00:00"/>
    <x v="0"/>
    <x v="8"/>
    <x v="7"/>
    <s v="Debit Card"/>
    <n v="2662"/>
    <x v="1"/>
    <x v="0"/>
    <n v="10"/>
    <n v="7000"/>
    <x v="1"/>
  </r>
  <r>
    <d v="2024-12-25T00:00:00"/>
    <x v="1"/>
    <x v="5"/>
    <x v="0"/>
    <s v="UPI"/>
    <n v="952"/>
    <x v="0"/>
    <x v="0"/>
    <n v="12"/>
    <n v="3000"/>
    <x v="1"/>
  </r>
  <r>
    <d v="2023-08-30T00:00:00"/>
    <x v="4"/>
    <x v="1"/>
    <x v="5"/>
    <s v="Net Banking"/>
    <n v="1212"/>
    <x v="1"/>
    <x v="0"/>
    <n v="8"/>
    <n v="5000"/>
    <x v="1"/>
  </r>
  <r>
    <d v="2024-11-13T00:00:00"/>
    <x v="11"/>
    <x v="1"/>
    <x v="3"/>
    <s v="Credit Card"/>
    <n v="835"/>
    <x v="1"/>
    <x v="0"/>
    <n v="11"/>
    <n v="5000"/>
    <x v="1"/>
  </r>
  <r>
    <d v="2024-09-06T00:00:00"/>
    <x v="9"/>
    <x v="2"/>
    <x v="0"/>
    <s v="UPI"/>
    <n v="1715"/>
    <x v="1"/>
    <x v="0"/>
    <n v="9"/>
    <n v="5000"/>
    <x v="1"/>
  </r>
  <r>
    <d v="2024-07-14T00:00:00"/>
    <x v="3"/>
    <x v="5"/>
    <x v="0"/>
    <s v="Net Banking"/>
    <n v="3589"/>
    <x v="0"/>
    <x v="0"/>
    <n v="7"/>
    <n v="3000"/>
    <x v="0"/>
  </r>
  <r>
    <d v="2024-09-28T00:00:00"/>
    <x v="9"/>
    <x v="3"/>
    <x v="1"/>
    <s v="UPI"/>
    <n v="4439"/>
    <x v="1"/>
    <x v="0"/>
    <n v="9"/>
    <n v="1000"/>
    <x v="0"/>
  </r>
  <r>
    <d v="2024-04-30T00:00:00"/>
    <x v="6"/>
    <x v="3"/>
    <x v="3"/>
    <s v="Cash"/>
    <n v="334"/>
    <x v="1"/>
    <x v="1"/>
    <n v="4"/>
    <n v="1000"/>
    <x v="1"/>
  </r>
  <r>
    <d v="2023-06-14T00:00:00"/>
    <x v="10"/>
    <x v="8"/>
    <x v="3"/>
    <s v="Net Banking"/>
    <n v="2362"/>
    <x v="1"/>
    <x v="0"/>
    <n v="6"/>
    <n v="7000"/>
    <x v="1"/>
  </r>
  <r>
    <d v="2023-08-12T00:00:00"/>
    <x v="4"/>
    <x v="4"/>
    <x v="4"/>
    <s v="UPI"/>
    <n v="3035"/>
    <x v="1"/>
    <x v="0"/>
    <n v="8"/>
    <n v="4000"/>
    <x v="1"/>
  </r>
  <r>
    <d v="2024-08-10T00:00:00"/>
    <x v="4"/>
    <x v="4"/>
    <x v="4"/>
    <s v="Net Banking"/>
    <n v="1903"/>
    <x v="1"/>
    <x v="0"/>
    <n v="8"/>
    <n v="4000"/>
    <x v="1"/>
  </r>
  <r>
    <d v="2023-09-19T00:00:00"/>
    <x v="9"/>
    <x v="8"/>
    <x v="8"/>
    <s v="UPI"/>
    <n v="2775"/>
    <x v="1"/>
    <x v="0"/>
    <n v="9"/>
    <n v="7000"/>
    <x v="1"/>
  </r>
  <r>
    <d v="2023-10-08T00:00:00"/>
    <x v="0"/>
    <x v="2"/>
    <x v="9"/>
    <s v="UPI"/>
    <n v="2503"/>
    <x v="1"/>
    <x v="0"/>
    <n v="10"/>
    <n v="5000"/>
    <x v="1"/>
  </r>
  <r>
    <d v="2024-03-18T00:00:00"/>
    <x v="2"/>
    <x v="6"/>
    <x v="6"/>
    <s v="Cash"/>
    <n v="3940"/>
    <x v="0"/>
    <x v="1"/>
    <n v="3"/>
    <n v="5500"/>
    <x v="1"/>
  </r>
  <r>
    <d v="2024-03-01T00:00:00"/>
    <x v="2"/>
    <x v="3"/>
    <x v="3"/>
    <s v="Debit Card"/>
    <n v="2820"/>
    <x v="1"/>
    <x v="0"/>
    <n v="3"/>
    <n v="1000"/>
    <x v="0"/>
  </r>
  <r>
    <d v="2023-03-26T00:00:00"/>
    <x v="2"/>
    <x v="6"/>
    <x v="0"/>
    <s v="UPI"/>
    <n v="1777"/>
    <x v="0"/>
    <x v="0"/>
    <n v="3"/>
    <n v="5500"/>
    <x v="1"/>
  </r>
  <r>
    <d v="2023-05-07T00:00:00"/>
    <x v="5"/>
    <x v="2"/>
    <x v="8"/>
    <s v="Debit Card"/>
    <n v="2135"/>
    <x v="1"/>
    <x v="0"/>
    <n v="5"/>
    <n v="5000"/>
    <x v="1"/>
  </r>
  <r>
    <d v="2023-04-16T00:00:00"/>
    <x v="6"/>
    <x v="4"/>
    <x v="5"/>
    <s v="Cash"/>
    <n v="2281"/>
    <x v="1"/>
    <x v="1"/>
    <n v="4"/>
    <n v="4000"/>
    <x v="1"/>
  </r>
  <r>
    <d v="2023-06-20T00:00:00"/>
    <x v="10"/>
    <x v="1"/>
    <x v="3"/>
    <s v="Credit Card"/>
    <n v="4567"/>
    <x v="1"/>
    <x v="0"/>
    <n v="6"/>
    <n v="5000"/>
    <x v="1"/>
  </r>
  <r>
    <d v="2024-04-08T00:00:00"/>
    <x v="6"/>
    <x v="8"/>
    <x v="5"/>
    <s v="Cash"/>
    <n v="4135"/>
    <x v="1"/>
    <x v="1"/>
    <n v="4"/>
    <n v="7000"/>
    <x v="1"/>
  </r>
  <r>
    <d v="2023-12-23T00:00:00"/>
    <x v="1"/>
    <x v="1"/>
    <x v="0"/>
    <s v="UPI"/>
    <n v="240"/>
    <x v="1"/>
    <x v="0"/>
    <n v="12"/>
    <n v="5000"/>
    <x v="1"/>
  </r>
  <r>
    <d v="2024-07-16T00:00:00"/>
    <x v="3"/>
    <x v="2"/>
    <x v="5"/>
    <s v="UPI"/>
    <n v="2693"/>
    <x v="1"/>
    <x v="0"/>
    <n v="7"/>
    <n v="5000"/>
    <x v="1"/>
  </r>
  <r>
    <d v="2023-11-21T00:00:00"/>
    <x v="11"/>
    <x v="7"/>
    <x v="7"/>
    <s v="Debit Card"/>
    <n v="1093"/>
    <x v="1"/>
    <x v="0"/>
    <n v="11"/>
    <n v="10000"/>
    <x v="1"/>
  </r>
  <r>
    <d v="2024-07-11T00:00:00"/>
    <x v="3"/>
    <x v="5"/>
    <x v="7"/>
    <s v="Debit Card"/>
    <n v="2780"/>
    <x v="0"/>
    <x v="0"/>
    <n v="7"/>
    <n v="3000"/>
    <x v="1"/>
  </r>
  <r>
    <d v="2024-07-15T00:00:00"/>
    <x v="3"/>
    <x v="0"/>
    <x v="2"/>
    <s v="UPI"/>
    <n v="2031"/>
    <x v="0"/>
    <x v="0"/>
    <n v="7"/>
    <n v="2000"/>
    <x v="0"/>
  </r>
  <r>
    <d v="2024-06-09T00:00:00"/>
    <x v="10"/>
    <x v="6"/>
    <x v="5"/>
    <s v="Debit Card"/>
    <n v="2867"/>
    <x v="0"/>
    <x v="0"/>
    <n v="6"/>
    <n v="5500"/>
    <x v="1"/>
  </r>
  <r>
    <d v="2023-08-04T00:00:00"/>
    <x v="4"/>
    <x v="1"/>
    <x v="7"/>
    <s v="UPI"/>
    <n v="1431"/>
    <x v="1"/>
    <x v="0"/>
    <n v="8"/>
    <n v="5000"/>
    <x v="1"/>
  </r>
  <r>
    <d v="2024-10-22T00:00:00"/>
    <x v="0"/>
    <x v="7"/>
    <x v="7"/>
    <s v="Credit Card"/>
    <n v="789"/>
    <x v="1"/>
    <x v="0"/>
    <n v="10"/>
    <n v="10000"/>
    <x v="1"/>
  </r>
  <r>
    <d v="2023-08-13T00:00:00"/>
    <x v="4"/>
    <x v="3"/>
    <x v="5"/>
    <s v="Credit Card"/>
    <n v="4598"/>
    <x v="1"/>
    <x v="0"/>
    <n v="8"/>
    <n v="1000"/>
    <x v="0"/>
  </r>
  <r>
    <d v="2023-03-11T00:00:00"/>
    <x v="2"/>
    <x v="4"/>
    <x v="5"/>
    <s v="Debit Card"/>
    <n v="2100"/>
    <x v="1"/>
    <x v="0"/>
    <n v="3"/>
    <n v="4000"/>
    <x v="1"/>
  </r>
  <r>
    <d v="2024-01-17T00:00:00"/>
    <x v="8"/>
    <x v="0"/>
    <x v="0"/>
    <s v="Net Banking"/>
    <n v="3411"/>
    <x v="0"/>
    <x v="0"/>
    <n v="1"/>
    <n v="2000"/>
    <x v="0"/>
  </r>
  <r>
    <d v="2024-06-02T00:00:00"/>
    <x v="10"/>
    <x v="0"/>
    <x v="3"/>
    <s v="Cash"/>
    <n v="2350"/>
    <x v="0"/>
    <x v="1"/>
    <n v="6"/>
    <n v="2000"/>
    <x v="0"/>
  </r>
  <r>
    <d v="2024-06-24T00:00:00"/>
    <x v="10"/>
    <x v="2"/>
    <x v="3"/>
    <s v="Net Banking"/>
    <n v="3823"/>
    <x v="1"/>
    <x v="0"/>
    <n v="6"/>
    <n v="5000"/>
    <x v="1"/>
  </r>
  <r>
    <d v="2023-09-29T00:00:00"/>
    <x v="9"/>
    <x v="3"/>
    <x v="4"/>
    <s v="Credit Card"/>
    <n v="4291"/>
    <x v="1"/>
    <x v="0"/>
    <n v="9"/>
    <n v="1000"/>
    <x v="0"/>
  </r>
  <r>
    <d v="2024-10-28T00:00:00"/>
    <x v="0"/>
    <x v="1"/>
    <x v="9"/>
    <s v="Debit Card"/>
    <n v="4601"/>
    <x v="1"/>
    <x v="0"/>
    <n v="10"/>
    <n v="5000"/>
    <x v="1"/>
  </r>
  <r>
    <d v="2023-11-30T00:00:00"/>
    <x v="11"/>
    <x v="6"/>
    <x v="7"/>
    <s v="Debit Card"/>
    <n v="4826"/>
    <x v="0"/>
    <x v="0"/>
    <n v="11"/>
    <n v="5500"/>
    <x v="1"/>
  </r>
  <r>
    <d v="2024-03-29T00:00:00"/>
    <x v="2"/>
    <x v="4"/>
    <x v="0"/>
    <s v="Net Banking"/>
    <n v="3344"/>
    <x v="1"/>
    <x v="0"/>
    <n v="3"/>
    <n v="4000"/>
    <x v="1"/>
  </r>
  <r>
    <d v="2024-07-03T00:00:00"/>
    <x v="3"/>
    <x v="2"/>
    <x v="4"/>
    <s v="Cash"/>
    <n v="1186"/>
    <x v="1"/>
    <x v="1"/>
    <n v="7"/>
    <n v="5000"/>
    <x v="1"/>
  </r>
  <r>
    <d v="2024-11-12T00:00:00"/>
    <x v="11"/>
    <x v="2"/>
    <x v="8"/>
    <s v="Cash"/>
    <n v="3943"/>
    <x v="1"/>
    <x v="1"/>
    <n v="11"/>
    <n v="5000"/>
    <x v="1"/>
  </r>
  <r>
    <d v="2023-08-22T00:00:00"/>
    <x v="4"/>
    <x v="1"/>
    <x v="8"/>
    <s v="Cash"/>
    <n v="306"/>
    <x v="1"/>
    <x v="1"/>
    <n v="8"/>
    <n v="5000"/>
    <x v="1"/>
  </r>
  <r>
    <d v="2023-11-01T00:00:00"/>
    <x v="11"/>
    <x v="7"/>
    <x v="2"/>
    <s v="Debit Card"/>
    <n v="3947"/>
    <x v="1"/>
    <x v="0"/>
    <n v="11"/>
    <n v="10000"/>
    <x v="1"/>
  </r>
  <r>
    <d v="2023-12-23T00:00:00"/>
    <x v="1"/>
    <x v="7"/>
    <x v="2"/>
    <s v="Credit Card"/>
    <n v="3734"/>
    <x v="1"/>
    <x v="0"/>
    <n v="12"/>
    <n v="10000"/>
    <x v="1"/>
  </r>
  <r>
    <d v="2024-04-20T00:00:00"/>
    <x v="6"/>
    <x v="3"/>
    <x v="4"/>
    <s v="Net Banking"/>
    <n v="3973"/>
    <x v="1"/>
    <x v="0"/>
    <n v="4"/>
    <n v="1000"/>
    <x v="0"/>
  </r>
  <r>
    <d v="2023-06-18T00:00:00"/>
    <x v="10"/>
    <x v="3"/>
    <x v="0"/>
    <s v="Credit Card"/>
    <n v="1382"/>
    <x v="1"/>
    <x v="0"/>
    <n v="6"/>
    <n v="1000"/>
    <x v="0"/>
  </r>
  <r>
    <d v="2024-05-09T00:00:00"/>
    <x v="5"/>
    <x v="2"/>
    <x v="7"/>
    <s v="UPI"/>
    <n v="2401"/>
    <x v="1"/>
    <x v="0"/>
    <n v="5"/>
    <n v="5000"/>
    <x v="1"/>
  </r>
  <r>
    <d v="2024-05-29T00:00:00"/>
    <x v="5"/>
    <x v="3"/>
    <x v="0"/>
    <s v="Cash"/>
    <n v="3416"/>
    <x v="1"/>
    <x v="1"/>
    <n v="5"/>
    <n v="1000"/>
    <x v="0"/>
  </r>
  <r>
    <d v="2023-09-25T00:00:00"/>
    <x v="9"/>
    <x v="3"/>
    <x v="4"/>
    <s v="UPI"/>
    <n v="2159"/>
    <x v="1"/>
    <x v="0"/>
    <n v="9"/>
    <n v="1000"/>
    <x v="0"/>
  </r>
  <r>
    <d v="2023-07-07T00:00:00"/>
    <x v="3"/>
    <x v="1"/>
    <x v="8"/>
    <s v="UPI"/>
    <n v="1788"/>
    <x v="1"/>
    <x v="0"/>
    <n v="7"/>
    <n v="5000"/>
    <x v="1"/>
  </r>
  <r>
    <d v="2024-05-28T00:00:00"/>
    <x v="5"/>
    <x v="4"/>
    <x v="9"/>
    <s v="UPI"/>
    <n v="4985"/>
    <x v="1"/>
    <x v="0"/>
    <n v="5"/>
    <n v="4000"/>
    <x v="0"/>
  </r>
  <r>
    <d v="2023-11-16T00:00:00"/>
    <x v="11"/>
    <x v="2"/>
    <x v="9"/>
    <s v="UPI"/>
    <n v="4810"/>
    <x v="1"/>
    <x v="0"/>
    <n v="11"/>
    <n v="5000"/>
    <x v="1"/>
  </r>
  <r>
    <d v="2024-10-31T00:00:00"/>
    <x v="0"/>
    <x v="4"/>
    <x v="1"/>
    <s v="Net Banking"/>
    <n v="448"/>
    <x v="1"/>
    <x v="0"/>
    <n v="10"/>
    <n v="4000"/>
    <x v="1"/>
  </r>
  <r>
    <d v="2024-10-08T00:00:00"/>
    <x v="0"/>
    <x v="6"/>
    <x v="0"/>
    <s v="Cash"/>
    <n v="3385"/>
    <x v="0"/>
    <x v="1"/>
    <n v="10"/>
    <n v="5500"/>
    <x v="1"/>
  </r>
  <r>
    <d v="2023-02-10T00:00:00"/>
    <x v="7"/>
    <x v="7"/>
    <x v="7"/>
    <s v="UPI"/>
    <n v="2947"/>
    <x v="1"/>
    <x v="0"/>
    <n v="2"/>
    <n v="10000"/>
    <x v="1"/>
  </r>
  <r>
    <d v="2023-09-11T00:00:00"/>
    <x v="9"/>
    <x v="1"/>
    <x v="7"/>
    <s v="Net Banking"/>
    <n v="3077"/>
    <x v="1"/>
    <x v="0"/>
    <n v="9"/>
    <n v="5000"/>
    <x v="1"/>
  </r>
  <r>
    <d v="2024-09-25T00:00:00"/>
    <x v="9"/>
    <x v="5"/>
    <x v="5"/>
    <s v="Net Banking"/>
    <n v="3227"/>
    <x v="0"/>
    <x v="0"/>
    <n v="9"/>
    <n v="3000"/>
    <x v="0"/>
  </r>
  <r>
    <d v="2023-04-19T00:00:00"/>
    <x v="6"/>
    <x v="7"/>
    <x v="3"/>
    <s v="Debit Card"/>
    <n v="3913"/>
    <x v="1"/>
    <x v="0"/>
    <n v="4"/>
    <n v="10000"/>
    <x v="1"/>
  </r>
  <r>
    <d v="2024-11-25T00:00:00"/>
    <x v="11"/>
    <x v="2"/>
    <x v="4"/>
    <s v="Cash"/>
    <n v="3637"/>
    <x v="1"/>
    <x v="1"/>
    <n v="11"/>
    <n v="5000"/>
    <x v="1"/>
  </r>
  <r>
    <d v="2023-03-27T00:00:00"/>
    <x v="2"/>
    <x v="4"/>
    <x v="8"/>
    <s v="Credit Card"/>
    <n v="2115"/>
    <x v="1"/>
    <x v="0"/>
    <n v="3"/>
    <n v="4000"/>
    <x v="1"/>
  </r>
  <r>
    <d v="2024-04-23T00:00:00"/>
    <x v="6"/>
    <x v="6"/>
    <x v="5"/>
    <s v="Debit Card"/>
    <n v="4195"/>
    <x v="0"/>
    <x v="0"/>
    <n v="4"/>
    <n v="5500"/>
    <x v="1"/>
  </r>
  <r>
    <d v="2023-10-08T00:00:00"/>
    <x v="0"/>
    <x v="2"/>
    <x v="6"/>
    <s v="Debit Card"/>
    <n v="1175"/>
    <x v="1"/>
    <x v="0"/>
    <n v="10"/>
    <n v="5000"/>
    <x v="1"/>
  </r>
  <r>
    <d v="2024-04-25T00:00:00"/>
    <x v="6"/>
    <x v="2"/>
    <x v="3"/>
    <s v="Net Banking"/>
    <n v="1386"/>
    <x v="1"/>
    <x v="0"/>
    <n v="4"/>
    <n v="5000"/>
    <x v="1"/>
  </r>
  <r>
    <d v="2023-09-25T00:00:00"/>
    <x v="9"/>
    <x v="3"/>
    <x v="2"/>
    <s v="Net Banking"/>
    <n v="1905"/>
    <x v="1"/>
    <x v="0"/>
    <n v="9"/>
    <n v="1000"/>
    <x v="0"/>
  </r>
  <r>
    <d v="2023-07-30T00:00:00"/>
    <x v="3"/>
    <x v="4"/>
    <x v="3"/>
    <s v="Net Banking"/>
    <n v="2108"/>
    <x v="1"/>
    <x v="0"/>
    <n v="7"/>
    <n v="4000"/>
    <x v="1"/>
  </r>
  <r>
    <d v="2024-11-19T00:00:00"/>
    <x v="11"/>
    <x v="6"/>
    <x v="4"/>
    <s v="Net Banking"/>
    <n v="3584"/>
    <x v="0"/>
    <x v="0"/>
    <n v="11"/>
    <n v="5500"/>
    <x v="1"/>
  </r>
  <r>
    <d v="2024-12-05T00:00:00"/>
    <x v="1"/>
    <x v="1"/>
    <x v="0"/>
    <s v="Cash"/>
    <n v="806"/>
    <x v="1"/>
    <x v="1"/>
    <n v="12"/>
    <n v="5000"/>
    <x v="1"/>
  </r>
  <r>
    <d v="2023-03-15T00:00:00"/>
    <x v="2"/>
    <x v="2"/>
    <x v="4"/>
    <s v="Debit Card"/>
    <n v="4396"/>
    <x v="1"/>
    <x v="0"/>
    <n v="3"/>
    <n v="5000"/>
    <x v="1"/>
  </r>
  <r>
    <d v="2023-03-22T00:00:00"/>
    <x v="2"/>
    <x v="2"/>
    <x v="9"/>
    <s v="Credit Card"/>
    <n v="4217"/>
    <x v="1"/>
    <x v="0"/>
    <n v="3"/>
    <n v="5000"/>
    <x v="1"/>
  </r>
  <r>
    <d v="2024-09-09T00:00:00"/>
    <x v="9"/>
    <x v="0"/>
    <x v="8"/>
    <s v="Net Banking"/>
    <n v="1374"/>
    <x v="0"/>
    <x v="0"/>
    <n v="9"/>
    <n v="2000"/>
    <x v="1"/>
  </r>
  <r>
    <d v="2024-02-01T00:00:00"/>
    <x v="7"/>
    <x v="4"/>
    <x v="6"/>
    <s v="Net Banking"/>
    <n v="1673"/>
    <x v="1"/>
    <x v="0"/>
    <n v="2"/>
    <n v="4000"/>
    <x v="1"/>
  </r>
  <r>
    <d v="2024-11-22T00:00:00"/>
    <x v="11"/>
    <x v="8"/>
    <x v="4"/>
    <s v="Credit Card"/>
    <n v="4602"/>
    <x v="1"/>
    <x v="0"/>
    <n v="11"/>
    <n v="7000"/>
    <x v="1"/>
  </r>
  <r>
    <d v="2024-09-08T00:00:00"/>
    <x v="9"/>
    <x v="1"/>
    <x v="5"/>
    <s v="Cash"/>
    <n v="4375"/>
    <x v="1"/>
    <x v="1"/>
    <n v="9"/>
    <n v="5000"/>
    <x v="1"/>
  </r>
  <r>
    <d v="2023-02-03T00:00:00"/>
    <x v="7"/>
    <x v="5"/>
    <x v="7"/>
    <s v="Cash"/>
    <n v="3248"/>
    <x v="0"/>
    <x v="1"/>
    <n v="2"/>
    <n v="3000"/>
    <x v="0"/>
  </r>
  <r>
    <d v="2023-02-02T00:00:00"/>
    <x v="7"/>
    <x v="5"/>
    <x v="6"/>
    <s v="UPI"/>
    <n v="1396"/>
    <x v="0"/>
    <x v="0"/>
    <n v="2"/>
    <n v="3000"/>
    <x v="1"/>
  </r>
  <r>
    <d v="2024-01-19T00:00:00"/>
    <x v="8"/>
    <x v="4"/>
    <x v="1"/>
    <s v="Net Banking"/>
    <n v="1142"/>
    <x v="1"/>
    <x v="0"/>
    <n v="1"/>
    <n v="4000"/>
    <x v="1"/>
  </r>
  <r>
    <d v="2024-11-08T00:00:00"/>
    <x v="11"/>
    <x v="6"/>
    <x v="3"/>
    <s v="Cash"/>
    <n v="3822"/>
    <x v="0"/>
    <x v="1"/>
    <n v="11"/>
    <n v="5500"/>
    <x v="1"/>
  </r>
  <r>
    <d v="2024-04-26T00:00:00"/>
    <x v="6"/>
    <x v="2"/>
    <x v="4"/>
    <s v="Credit Card"/>
    <n v="1351"/>
    <x v="1"/>
    <x v="0"/>
    <n v="4"/>
    <n v="5000"/>
    <x v="1"/>
  </r>
  <r>
    <d v="2024-06-06T00:00:00"/>
    <x v="10"/>
    <x v="6"/>
    <x v="3"/>
    <s v="Debit Card"/>
    <n v="265"/>
    <x v="0"/>
    <x v="0"/>
    <n v="6"/>
    <n v="5500"/>
    <x v="1"/>
  </r>
  <r>
    <d v="2023-07-09T00:00:00"/>
    <x v="3"/>
    <x v="0"/>
    <x v="6"/>
    <s v="UPI"/>
    <n v="2547"/>
    <x v="0"/>
    <x v="0"/>
    <n v="7"/>
    <n v="2000"/>
    <x v="0"/>
  </r>
  <r>
    <d v="2023-06-17T00:00:00"/>
    <x v="10"/>
    <x v="3"/>
    <x v="7"/>
    <s v="Cash"/>
    <n v="1683"/>
    <x v="1"/>
    <x v="1"/>
    <n v="6"/>
    <n v="1000"/>
    <x v="0"/>
  </r>
  <r>
    <d v="2024-09-24T00:00:00"/>
    <x v="9"/>
    <x v="8"/>
    <x v="9"/>
    <s v="UPI"/>
    <n v="4288"/>
    <x v="1"/>
    <x v="0"/>
    <n v="9"/>
    <n v="7000"/>
    <x v="1"/>
  </r>
  <r>
    <d v="2024-05-02T00:00:00"/>
    <x v="5"/>
    <x v="0"/>
    <x v="2"/>
    <s v="Net Banking"/>
    <n v="839"/>
    <x v="0"/>
    <x v="0"/>
    <n v="5"/>
    <n v="2000"/>
    <x v="1"/>
  </r>
  <r>
    <d v="2024-11-28T00:00:00"/>
    <x v="11"/>
    <x v="7"/>
    <x v="9"/>
    <s v="Cash"/>
    <n v="749"/>
    <x v="1"/>
    <x v="1"/>
    <n v="11"/>
    <n v="10000"/>
    <x v="1"/>
  </r>
  <r>
    <d v="2024-10-10T00:00:00"/>
    <x v="0"/>
    <x v="4"/>
    <x v="3"/>
    <s v="Credit Card"/>
    <n v="1654"/>
    <x v="1"/>
    <x v="0"/>
    <n v="10"/>
    <n v="4000"/>
    <x v="1"/>
  </r>
  <r>
    <d v="2023-08-19T00:00:00"/>
    <x v="4"/>
    <x v="0"/>
    <x v="7"/>
    <s v="Credit Card"/>
    <n v="73"/>
    <x v="0"/>
    <x v="0"/>
    <n v="8"/>
    <n v="2000"/>
    <x v="1"/>
  </r>
  <r>
    <d v="2024-05-21T00:00:00"/>
    <x v="5"/>
    <x v="8"/>
    <x v="4"/>
    <s v="Net Banking"/>
    <n v="1839"/>
    <x v="1"/>
    <x v="0"/>
    <n v="5"/>
    <n v="7000"/>
    <x v="1"/>
  </r>
  <r>
    <d v="2024-01-28T00:00:00"/>
    <x v="8"/>
    <x v="8"/>
    <x v="5"/>
    <s v="Cash"/>
    <n v="1718"/>
    <x v="1"/>
    <x v="1"/>
    <n v="1"/>
    <n v="7000"/>
    <x v="1"/>
  </r>
  <r>
    <d v="2023-05-01T00:00:00"/>
    <x v="5"/>
    <x v="8"/>
    <x v="4"/>
    <s v="Debit Card"/>
    <n v="2591"/>
    <x v="1"/>
    <x v="0"/>
    <n v="5"/>
    <n v="7000"/>
    <x v="1"/>
  </r>
  <r>
    <d v="2024-09-29T00:00:00"/>
    <x v="9"/>
    <x v="1"/>
    <x v="2"/>
    <s v="Credit Card"/>
    <n v="1762"/>
    <x v="1"/>
    <x v="0"/>
    <n v="9"/>
    <n v="5000"/>
    <x v="1"/>
  </r>
  <r>
    <d v="2024-05-18T00:00:00"/>
    <x v="5"/>
    <x v="3"/>
    <x v="7"/>
    <s v="UPI"/>
    <n v="2264"/>
    <x v="1"/>
    <x v="0"/>
    <n v="5"/>
    <n v="1000"/>
    <x v="0"/>
  </r>
  <r>
    <d v="2024-09-27T00:00:00"/>
    <x v="9"/>
    <x v="6"/>
    <x v="3"/>
    <s v="Credit Card"/>
    <n v="1359"/>
    <x v="0"/>
    <x v="0"/>
    <n v="9"/>
    <n v="5500"/>
    <x v="1"/>
  </r>
  <r>
    <d v="2024-12-10T00:00:00"/>
    <x v="1"/>
    <x v="4"/>
    <x v="2"/>
    <s v="Credit Card"/>
    <n v="4037"/>
    <x v="1"/>
    <x v="0"/>
    <n v="12"/>
    <n v="4000"/>
    <x v="0"/>
  </r>
  <r>
    <d v="2023-04-17T00:00:00"/>
    <x v="6"/>
    <x v="8"/>
    <x v="2"/>
    <s v="Net Banking"/>
    <n v="3030"/>
    <x v="1"/>
    <x v="0"/>
    <n v="4"/>
    <n v="7000"/>
    <x v="1"/>
  </r>
  <r>
    <d v="2023-09-05T00:00:00"/>
    <x v="9"/>
    <x v="1"/>
    <x v="9"/>
    <s v="Debit Card"/>
    <n v="430"/>
    <x v="1"/>
    <x v="0"/>
    <n v="9"/>
    <n v="5000"/>
    <x v="1"/>
  </r>
  <r>
    <d v="2024-02-22T00:00:00"/>
    <x v="7"/>
    <x v="4"/>
    <x v="8"/>
    <s v="Cash"/>
    <n v="785"/>
    <x v="1"/>
    <x v="1"/>
    <n v="2"/>
    <n v="4000"/>
    <x v="1"/>
  </r>
  <r>
    <d v="2023-12-31T00:00:00"/>
    <x v="1"/>
    <x v="3"/>
    <x v="3"/>
    <s v="Debit Card"/>
    <n v="4764"/>
    <x v="1"/>
    <x v="0"/>
    <n v="12"/>
    <n v="1000"/>
    <x v="0"/>
  </r>
  <r>
    <d v="2023-08-24T00:00:00"/>
    <x v="4"/>
    <x v="5"/>
    <x v="6"/>
    <s v="Cash"/>
    <n v="4098"/>
    <x v="0"/>
    <x v="1"/>
    <n v="8"/>
    <n v="3000"/>
    <x v="0"/>
  </r>
  <r>
    <d v="2024-05-28T00:00:00"/>
    <x v="5"/>
    <x v="8"/>
    <x v="8"/>
    <s v="Net Banking"/>
    <n v="597"/>
    <x v="1"/>
    <x v="0"/>
    <n v="5"/>
    <n v="7000"/>
    <x v="1"/>
  </r>
  <r>
    <d v="2023-09-04T00:00:00"/>
    <x v="9"/>
    <x v="1"/>
    <x v="0"/>
    <s v="UPI"/>
    <n v="2147"/>
    <x v="1"/>
    <x v="0"/>
    <n v="9"/>
    <n v="5000"/>
    <x v="1"/>
  </r>
  <r>
    <d v="2023-12-17T00:00:00"/>
    <x v="1"/>
    <x v="2"/>
    <x v="9"/>
    <s v="Net Banking"/>
    <n v="3819"/>
    <x v="1"/>
    <x v="0"/>
    <n v="12"/>
    <n v="5000"/>
    <x v="1"/>
  </r>
  <r>
    <d v="2023-05-24T00:00:00"/>
    <x v="5"/>
    <x v="1"/>
    <x v="1"/>
    <s v="Cash"/>
    <n v="4203"/>
    <x v="1"/>
    <x v="1"/>
    <n v="5"/>
    <n v="5000"/>
    <x v="1"/>
  </r>
  <r>
    <d v="2024-10-02T00:00:00"/>
    <x v="0"/>
    <x v="7"/>
    <x v="9"/>
    <s v="Credit Card"/>
    <n v="1565"/>
    <x v="1"/>
    <x v="0"/>
    <n v="10"/>
    <n v="10000"/>
    <x v="1"/>
  </r>
  <r>
    <d v="2024-01-15T00:00:00"/>
    <x v="8"/>
    <x v="4"/>
    <x v="7"/>
    <s v="Cash"/>
    <n v="54"/>
    <x v="1"/>
    <x v="1"/>
    <n v="1"/>
    <n v="4000"/>
    <x v="1"/>
  </r>
  <r>
    <d v="2023-08-30T00:00:00"/>
    <x v="4"/>
    <x v="1"/>
    <x v="3"/>
    <s v="Net Banking"/>
    <n v="4533"/>
    <x v="1"/>
    <x v="0"/>
    <n v="8"/>
    <n v="5000"/>
    <x v="1"/>
  </r>
  <r>
    <d v="2023-01-16T00:00:00"/>
    <x v="8"/>
    <x v="2"/>
    <x v="1"/>
    <s v="Debit Card"/>
    <n v="4655"/>
    <x v="1"/>
    <x v="0"/>
    <n v="1"/>
    <n v="5000"/>
    <x v="1"/>
  </r>
  <r>
    <d v="2024-08-02T00:00:00"/>
    <x v="4"/>
    <x v="8"/>
    <x v="4"/>
    <s v="Net Banking"/>
    <n v="2116"/>
    <x v="1"/>
    <x v="0"/>
    <n v="8"/>
    <n v="7000"/>
    <x v="1"/>
  </r>
  <r>
    <d v="2023-08-30T00:00:00"/>
    <x v="4"/>
    <x v="7"/>
    <x v="7"/>
    <s v="Cash"/>
    <n v="1140"/>
    <x v="1"/>
    <x v="1"/>
    <n v="8"/>
    <n v="10000"/>
    <x v="1"/>
  </r>
  <r>
    <d v="2023-01-25T00:00:00"/>
    <x v="8"/>
    <x v="2"/>
    <x v="4"/>
    <s v="Net Banking"/>
    <n v="4473"/>
    <x v="1"/>
    <x v="0"/>
    <n v="1"/>
    <n v="5000"/>
    <x v="1"/>
  </r>
  <r>
    <d v="2023-10-08T00:00:00"/>
    <x v="0"/>
    <x v="2"/>
    <x v="6"/>
    <s v="Credit Card"/>
    <n v="3835"/>
    <x v="1"/>
    <x v="0"/>
    <n v="10"/>
    <n v="5000"/>
    <x v="1"/>
  </r>
  <r>
    <d v="2024-10-16T00:00:00"/>
    <x v="0"/>
    <x v="2"/>
    <x v="5"/>
    <s v="Debit Card"/>
    <n v="1647"/>
    <x v="1"/>
    <x v="0"/>
    <n v="10"/>
    <n v="5000"/>
    <x v="1"/>
  </r>
  <r>
    <d v="2023-12-30T00:00:00"/>
    <x v="1"/>
    <x v="3"/>
    <x v="4"/>
    <s v="Net Banking"/>
    <n v="1334"/>
    <x v="1"/>
    <x v="0"/>
    <n v="12"/>
    <n v="1000"/>
    <x v="0"/>
  </r>
  <r>
    <d v="2023-12-24T00:00:00"/>
    <x v="1"/>
    <x v="4"/>
    <x v="5"/>
    <s v="Debit Card"/>
    <n v="3436"/>
    <x v="1"/>
    <x v="0"/>
    <n v="12"/>
    <n v="4000"/>
    <x v="1"/>
  </r>
  <r>
    <d v="2024-11-15T00:00:00"/>
    <x v="11"/>
    <x v="8"/>
    <x v="3"/>
    <s v="Credit Card"/>
    <n v="1585"/>
    <x v="1"/>
    <x v="0"/>
    <n v="11"/>
    <n v="7000"/>
    <x v="1"/>
  </r>
  <r>
    <d v="2024-11-24T00:00:00"/>
    <x v="11"/>
    <x v="4"/>
    <x v="8"/>
    <s v="Debit Card"/>
    <n v="749"/>
    <x v="1"/>
    <x v="0"/>
    <n v="11"/>
    <n v="4000"/>
    <x v="1"/>
  </r>
  <r>
    <d v="2023-04-08T00:00:00"/>
    <x v="6"/>
    <x v="4"/>
    <x v="6"/>
    <s v="Cash"/>
    <n v="4122"/>
    <x v="1"/>
    <x v="1"/>
    <n v="4"/>
    <n v="4000"/>
    <x v="0"/>
  </r>
  <r>
    <d v="2023-07-27T00:00:00"/>
    <x v="3"/>
    <x v="5"/>
    <x v="1"/>
    <s v="Cash"/>
    <n v="4159"/>
    <x v="0"/>
    <x v="1"/>
    <n v="7"/>
    <n v="3000"/>
    <x v="0"/>
  </r>
  <r>
    <d v="2024-10-14T00:00:00"/>
    <x v="0"/>
    <x v="4"/>
    <x v="9"/>
    <s v="Debit Card"/>
    <n v="3519"/>
    <x v="1"/>
    <x v="0"/>
    <n v="10"/>
    <n v="4000"/>
    <x v="1"/>
  </r>
  <r>
    <d v="2023-09-23T00:00:00"/>
    <x v="9"/>
    <x v="1"/>
    <x v="8"/>
    <s v="UPI"/>
    <n v="3256"/>
    <x v="1"/>
    <x v="0"/>
    <n v="9"/>
    <n v="5000"/>
    <x v="1"/>
  </r>
  <r>
    <d v="2023-12-06T00:00:00"/>
    <x v="1"/>
    <x v="6"/>
    <x v="4"/>
    <s v="Cash"/>
    <n v="2839"/>
    <x v="0"/>
    <x v="1"/>
    <n v="12"/>
    <n v="5500"/>
    <x v="1"/>
  </r>
  <r>
    <d v="2023-10-01T00:00:00"/>
    <x v="0"/>
    <x v="0"/>
    <x v="4"/>
    <s v="Net Banking"/>
    <n v="4091"/>
    <x v="0"/>
    <x v="0"/>
    <n v="10"/>
    <n v="2000"/>
    <x v="0"/>
  </r>
  <r>
    <d v="2024-07-05T00:00:00"/>
    <x v="3"/>
    <x v="6"/>
    <x v="4"/>
    <s v="Net Banking"/>
    <n v="1492"/>
    <x v="0"/>
    <x v="0"/>
    <n v="7"/>
    <n v="5500"/>
    <x v="1"/>
  </r>
  <r>
    <d v="2023-09-01T00:00:00"/>
    <x v="9"/>
    <x v="1"/>
    <x v="2"/>
    <s v="Debit Card"/>
    <n v="2143"/>
    <x v="1"/>
    <x v="0"/>
    <n v="9"/>
    <n v="5000"/>
    <x v="1"/>
  </r>
  <r>
    <d v="2024-07-12T00:00:00"/>
    <x v="3"/>
    <x v="5"/>
    <x v="3"/>
    <s v="Credit Card"/>
    <n v="4094"/>
    <x v="0"/>
    <x v="0"/>
    <n v="7"/>
    <n v="3000"/>
    <x v="0"/>
  </r>
  <r>
    <d v="2024-11-11T00:00:00"/>
    <x v="11"/>
    <x v="7"/>
    <x v="4"/>
    <s v="UPI"/>
    <n v="2775"/>
    <x v="1"/>
    <x v="0"/>
    <n v="11"/>
    <n v="10000"/>
    <x v="1"/>
  </r>
  <r>
    <d v="2023-03-18T00:00:00"/>
    <x v="2"/>
    <x v="1"/>
    <x v="1"/>
    <s v="Net Banking"/>
    <n v="3795"/>
    <x v="1"/>
    <x v="0"/>
    <n v="3"/>
    <n v="5000"/>
    <x v="1"/>
  </r>
  <r>
    <d v="2024-05-23T00:00:00"/>
    <x v="5"/>
    <x v="3"/>
    <x v="1"/>
    <s v="Net Banking"/>
    <n v="3002"/>
    <x v="1"/>
    <x v="0"/>
    <n v="5"/>
    <n v="1000"/>
    <x v="0"/>
  </r>
  <r>
    <d v="2023-05-08T00:00:00"/>
    <x v="5"/>
    <x v="7"/>
    <x v="9"/>
    <s v="Credit Card"/>
    <n v="2556"/>
    <x v="1"/>
    <x v="0"/>
    <n v="5"/>
    <n v="10000"/>
    <x v="1"/>
  </r>
  <r>
    <d v="2024-05-23T00:00:00"/>
    <x v="5"/>
    <x v="3"/>
    <x v="3"/>
    <s v="Cash"/>
    <n v="3983"/>
    <x v="1"/>
    <x v="1"/>
    <n v="5"/>
    <n v="1000"/>
    <x v="0"/>
  </r>
  <r>
    <d v="2023-02-09T00:00:00"/>
    <x v="7"/>
    <x v="3"/>
    <x v="4"/>
    <s v="Debit Card"/>
    <n v="4059"/>
    <x v="1"/>
    <x v="0"/>
    <n v="2"/>
    <n v="1000"/>
    <x v="0"/>
  </r>
  <r>
    <d v="2023-09-18T00:00:00"/>
    <x v="9"/>
    <x v="0"/>
    <x v="3"/>
    <s v="Debit Card"/>
    <n v="414"/>
    <x v="0"/>
    <x v="0"/>
    <n v="9"/>
    <n v="2000"/>
    <x v="1"/>
  </r>
  <r>
    <d v="2023-11-04T00:00:00"/>
    <x v="11"/>
    <x v="7"/>
    <x v="6"/>
    <s v="UPI"/>
    <n v="3154"/>
    <x v="1"/>
    <x v="0"/>
    <n v="11"/>
    <n v="10000"/>
    <x v="1"/>
  </r>
  <r>
    <d v="2024-11-02T00:00:00"/>
    <x v="11"/>
    <x v="7"/>
    <x v="6"/>
    <s v="Net Banking"/>
    <n v="1955"/>
    <x v="1"/>
    <x v="0"/>
    <n v="11"/>
    <n v="10000"/>
    <x v="1"/>
  </r>
  <r>
    <d v="2024-02-04T00:00:00"/>
    <x v="7"/>
    <x v="4"/>
    <x v="4"/>
    <s v="Debit Card"/>
    <n v="3251"/>
    <x v="1"/>
    <x v="0"/>
    <n v="2"/>
    <n v="4000"/>
    <x v="1"/>
  </r>
  <r>
    <d v="2023-10-28T00:00:00"/>
    <x v="0"/>
    <x v="2"/>
    <x v="9"/>
    <s v="Credit Card"/>
    <n v="3231"/>
    <x v="1"/>
    <x v="0"/>
    <n v="10"/>
    <n v="5000"/>
    <x v="1"/>
  </r>
  <r>
    <d v="2023-05-05T00:00:00"/>
    <x v="5"/>
    <x v="2"/>
    <x v="5"/>
    <s v="Net Banking"/>
    <n v="2504"/>
    <x v="1"/>
    <x v="0"/>
    <n v="5"/>
    <n v="5000"/>
    <x v="1"/>
  </r>
  <r>
    <d v="2024-08-08T00:00:00"/>
    <x v="4"/>
    <x v="0"/>
    <x v="1"/>
    <s v="UPI"/>
    <n v="2697"/>
    <x v="0"/>
    <x v="0"/>
    <n v="8"/>
    <n v="2000"/>
    <x v="0"/>
  </r>
  <r>
    <d v="2023-06-14T00:00:00"/>
    <x v="10"/>
    <x v="3"/>
    <x v="3"/>
    <s v="Credit Card"/>
    <n v="1346"/>
    <x v="1"/>
    <x v="0"/>
    <n v="6"/>
    <n v="1000"/>
    <x v="0"/>
  </r>
  <r>
    <d v="2024-01-25T00:00:00"/>
    <x v="8"/>
    <x v="7"/>
    <x v="4"/>
    <s v="UPI"/>
    <n v="1871"/>
    <x v="1"/>
    <x v="0"/>
    <n v="1"/>
    <n v="10000"/>
    <x v="1"/>
  </r>
  <r>
    <d v="2024-11-22T00:00:00"/>
    <x v="11"/>
    <x v="7"/>
    <x v="8"/>
    <s v="Debit Card"/>
    <n v="4104"/>
    <x v="1"/>
    <x v="0"/>
    <n v="11"/>
    <n v="10000"/>
    <x v="1"/>
  </r>
  <r>
    <d v="2023-12-25T00:00:00"/>
    <x v="1"/>
    <x v="1"/>
    <x v="5"/>
    <s v="UPI"/>
    <n v="2188"/>
    <x v="1"/>
    <x v="0"/>
    <n v="12"/>
    <n v="5000"/>
    <x v="1"/>
  </r>
  <r>
    <d v="2023-10-04T00:00:00"/>
    <x v="0"/>
    <x v="0"/>
    <x v="8"/>
    <s v="Credit Card"/>
    <n v="4556"/>
    <x v="0"/>
    <x v="0"/>
    <n v="10"/>
    <n v="2000"/>
    <x v="0"/>
  </r>
  <r>
    <d v="2023-04-06T00:00:00"/>
    <x v="6"/>
    <x v="4"/>
    <x v="5"/>
    <s v="UPI"/>
    <n v="1627"/>
    <x v="1"/>
    <x v="0"/>
    <n v="4"/>
    <n v="4000"/>
    <x v="1"/>
  </r>
  <r>
    <d v="2024-01-02T00:00:00"/>
    <x v="8"/>
    <x v="5"/>
    <x v="4"/>
    <s v="Cash"/>
    <n v="1389"/>
    <x v="0"/>
    <x v="1"/>
    <n v="1"/>
    <n v="3000"/>
    <x v="1"/>
  </r>
  <r>
    <d v="2023-09-09T00:00:00"/>
    <x v="9"/>
    <x v="6"/>
    <x v="2"/>
    <s v="Debit Card"/>
    <n v="4839"/>
    <x v="0"/>
    <x v="0"/>
    <n v="9"/>
    <n v="5500"/>
    <x v="1"/>
  </r>
  <r>
    <d v="2024-12-20T00:00:00"/>
    <x v="1"/>
    <x v="1"/>
    <x v="6"/>
    <s v="Cash"/>
    <n v="2897"/>
    <x v="1"/>
    <x v="1"/>
    <n v="12"/>
    <n v="5000"/>
    <x v="1"/>
  </r>
  <r>
    <d v="2024-04-27T00:00:00"/>
    <x v="6"/>
    <x v="0"/>
    <x v="4"/>
    <s v="Net Banking"/>
    <n v="4634"/>
    <x v="0"/>
    <x v="0"/>
    <n v="4"/>
    <n v="2000"/>
    <x v="0"/>
  </r>
  <r>
    <d v="2023-02-07T00:00:00"/>
    <x v="7"/>
    <x v="2"/>
    <x v="7"/>
    <s v="Net Banking"/>
    <n v="124"/>
    <x v="1"/>
    <x v="0"/>
    <n v="2"/>
    <n v="5000"/>
    <x v="1"/>
  </r>
  <r>
    <d v="2024-03-01T00:00:00"/>
    <x v="2"/>
    <x v="1"/>
    <x v="6"/>
    <s v="Net Banking"/>
    <n v="2807"/>
    <x v="1"/>
    <x v="0"/>
    <n v="3"/>
    <n v="5000"/>
    <x v="1"/>
  </r>
  <r>
    <d v="2024-02-03T00:00:00"/>
    <x v="7"/>
    <x v="6"/>
    <x v="4"/>
    <s v="Cash"/>
    <n v="4722"/>
    <x v="0"/>
    <x v="1"/>
    <n v="2"/>
    <n v="5500"/>
    <x v="1"/>
  </r>
  <r>
    <d v="2023-10-27T00:00:00"/>
    <x v="0"/>
    <x v="6"/>
    <x v="3"/>
    <s v="UPI"/>
    <n v="1465"/>
    <x v="0"/>
    <x v="0"/>
    <n v="10"/>
    <n v="5500"/>
    <x v="1"/>
  </r>
  <r>
    <d v="2023-05-18T00:00:00"/>
    <x v="5"/>
    <x v="8"/>
    <x v="2"/>
    <s v="Cash"/>
    <n v="2617"/>
    <x v="1"/>
    <x v="1"/>
    <n v="5"/>
    <n v="7000"/>
    <x v="1"/>
  </r>
  <r>
    <d v="2024-08-04T00:00:00"/>
    <x v="4"/>
    <x v="6"/>
    <x v="5"/>
    <s v="UPI"/>
    <n v="3065"/>
    <x v="0"/>
    <x v="0"/>
    <n v="8"/>
    <n v="5500"/>
    <x v="1"/>
  </r>
  <r>
    <d v="2024-11-01T00:00:00"/>
    <x v="11"/>
    <x v="3"/>
    <x v="8"/>
    <s v="Credit Card"/>
    <n v="2120"/>
    <x v="1"/>
    <x v="0"/>
    <n v="11"/>
    <n v="1000"/>
    <x v="0"/>
  </r>
  <r>
    <d v="2023-01-17T00:00:00"/>
    <x v="8"/>
    <x v="0"/>
    <x v="3"/>
    <s v="Debit Card"/>
    <n v="4742"/>
    <x v="0"/>
    <x v="0"/>
    <n v="1"/>
    <n v="2000"/>
    <x v="0"/>
  </r>
  <r>
    <d v="2023-03-28T00:00:00"/>
    <x v="2"/>
    <x v="5"/>
    <x v="8"/>
    <s v="Net Banking"/>
    <n v="3123"/>
    <x v="0"/>
    <x v="0"/>
    <n v="3"/>
    <n v="3000"/>
    <x v="0"/>
  </r>
  <r>
    <d v="2023-04-23T00:00:00"/>
    <x v="6"/>
    <x v="1"/>
    <x v="8"/>
    <s v="Cash"/>
    <n v="4652"/>
    <x v="1"/>
    <x v="1"/>
    <n v="4"/>
    <n v="5000"/>
    <x v="1"/>
  </r>
  <r>
    <d v="2024-01-22T00:00:00"/>
    <x v="8"/>
    <x v="5"/>
    <x v="6"/>
    <s v="Credit Card"/>
    <n v="2967"/>
    <x v="0"/>
    <x v="0"/>
    <n v="1"/>
    <n v="3000"/>
    <x v="1"/>
  </r>
  <r>
    <d v="2024-06-20T00:00:00"/>
    <x v="10"/>
    <x v="1"/>
    <x v="4"/>
    <s v="Debit Card"/>
    <n v="4837"/>
    <x v="1"/>
    <x v="0"/>
    <n v="6"/>
    <n v="5000"/>
    <x v="1"/>
  </r>
  <r>
    <d v="2024-12-12T00:00:00"/>
    <x v="1"/>
    <x v="1"/>
    <x v="7"/>
    <s v="Credit Card"/>
    <n v="4820"/>
    <x v="1"/>
    <x v="0"/>
    <n v="12"/>
    <n v="5000"/>
    <x v="1"/>
  </r>
  <r>
    <d v="2023-05-30T00:00:00"/>
    <x v="5"/>
    <x v="4"/>
    <x v="4"/>
    <s v="Debit Card"/>
    <n v="394"/>
    <x v="1"/>
    <x v="0"/>
    <n v="5"/>
    <n v="4000"/>
    <x v="1"/>
  </r>
  <r>
    <d v="2024-09-15T00:00:00"/>
    <x v="9"/>
    <x v="1"/>
    <x v="7"/>
    <s v="Credit Card"/>
    <n v="3932"/>
    <x v="1"/>
    <x v="0"/>
    <n v="9"/>
    <n v="5000"/>
    <x v="1"/>
  </r>
  <r>
    <d v="2024-10-02T00:00:00"/>
    <x v="0"/>
    <x v="2"/>
    <x v="5"/>
    <s v="UPI"/>
    <n v="4675"/>
    <x v="1"/>
    <x v="0"/>
    <n v="10"/>
    <n v="5000"/>
    <x v="1"/>
  </r>
  <r>
    <d v="2024-01-25T00:00:00"/>
    <x v="8"/>
    <x v="2"/>
    <x v="0"/>
    <s v="UPI"/>
    <n v="1149"/>
    <x v="1"/>
    <x v="0"/>
    <n v="1"/>
    <n v="5000"/>
    <x v="1"/>
  </r>
  <r>
    <d v="2023-04-04T00:00:00"/>
    <x v="6"/>
    <x v="6"/>
    <x v="0"/>
    <s v="Cash"/>
    <n v="925"/>
    <x v="0"/>
    <x v="1"/>
    <n v="4"/>
    <n v="5500"/>
    <x v="1"/>
  </r>
  <r>
    <d v="2024-09-19T00:00:00"/>
    <x v="9"/>
    <x v="4"/>
    <x v="1"/>
    <s v="Credit Card"/>
    <n v="1478"/>
    <x v="1"/>
    <x v="0"/>
    <n v="9"/>
    <n v="4000"/>
    <x v="1"/>
  </r>
  <r>
    <d v="2023-08-27T00:00:00"/>
    <x v="4"/>
    <x v="3"/>
    <x v="4"/>
    <s v="Net Banking"/>
    <n v="3054"/>
    <x v="1"/>
    <x v="0"/>
    <n v="8"/>
    <n v="1000"/>
    <x v="0"/>
  </r>
  <r>
    <d v="2024-01-05T00:00:00"/>
    <x v="8"/>
    <x v="5"/>
    <x v="4"/>
    <s v="Debit Card"/>
    <n v="522"/>
    <x v="0"/>
    <x v="0"/>
    <n v="1"/>
    <n v="3000"/>
    <x v="1"/>
  </r>
  <r>
    <d v="2024-06-11T00:00:00"/>
    <x v="10"/>
    <x v="1"/>
    <x v="9"/>
    <s v="Net Banking"/>
    <n v="3540"/>
    <x v="1"/>
    <x v="0"/>
    <n v="6"/>
    <n v="5000"/>
    <x v="1"/>
  </r>
  <r>
    <d v="2023-12-09T00:00:00"/>
    <x v="1"/>
    <x v="5"/>
    <x v="5"/>
    <s v="UPI"/>
    <n v="2884"/>
    <x v="0"/>
    <x v="0"/>
    <n v="12"/>
    <n v="3000"/>
    <x v="1"/>
  </r>
  <r>
    <d v="2024-12-13T00:00:00"/>
    <x v="1"/>
    <x v="2"/>
    <x v="3"/>
    <s v="Net Banking"/>
    <n v="565"/>
    <x v="1"/>
    <x v="0"/>
    <n v="12"/>
    <n v="5000"/>
    <x v="1"/>
  </r>
  <r>
    <d v="2023-09-26T00:00:00"/>
    <x v="9"/>
    <x v="6"/>
    <x v="3"/>
    <s v="Debit Card"/>
    <n v="1815"/>
    <x v="0"/>
    <x v="0"/>
    <n v="9"/>
    <n v="5500"/>
    <x v="1"/>
  </r>
  <r>
    <d v="2023-09-18T00:00:00"/>
    <x v="9"/>
    <x v="6"/>
    <x v="0"/>
    <s v="Debit Card"/>
    <n v="3804"/>
    <x v="0"/>
    <x v="0"/>
    <n v="9"/>
    <n v="5500"/>
    <x v="1"/>
  </r>
  <r>
    <d v="2024-08-08T00:00:00"/>
    <x v="4"/>
    <x v="0"/>
    <x v="0"/>
    <s v="Cash"/>
    <n v="4418"/>
    <x v="0"/>
    <x v="1"/>
    <n v="8"/>
    <n v="2000"/>
    <x v="0"/>
  </r>
  <r>
    <d v="2023-02-15T00:00:00"/>
    <x v="7"/>
    <x v="3"/>
    <x v="9"/>
    <s v="Credit Card"/>
    <n v="1699"/>
    <x v="1"/>
    <x v="0"/>
    <n v="2"/>
    <n v="1000"/>
    <x v="0"/>
  </r>
  <r>
    <d v="2024-10-18T00:00:00"/>
    <x v="0"/>
    <x v="7"/>
    <x v="9"/>
    <s v="Cash"/>
    <n v="4894"/>
    <x v="1"/>
    <x v="1"/>
    <n v="10"/>
    <n v="10000"/>
    <x v="1"/>
  </r>
  <r>
    <d v="2023-10-29T00:00:00"/>
    <x v="0"/>
    <x v="4"/>
    <x v="2"/>
    <s v="UPI"/>
    <n v="3439"/>
    <x v="1"/>
    <x v="0"/>
    <n v="10"/>
    <n v="4000"/>
    <x v="1"/>
  </r>
  <r>
    <d v="2023-04-15T00:00:00"/>
    <x v="6"/>
    <x v="2"/>
    <x v="5"/>
    <s v="UPI"/>
    <n v="1953"/>
    <x v="1"/>
    <x v="0"/>
    <n v="4"/>
    <n v="5000"/>
    <x v="1"/>
  </r>
  <r>
    <d v="2024-10-04T00:00:00"/>
    <x v="0"/>
    <x v="5"/>
    <x v="7"/>
    <s v="Cash"/>
    <n v="2377"/>
    <x v="0"/>
    <x v="1"/>
    <n v="10"/>
    <n v="3000"/>
    <x v="1"/>
  </r>
  <r>
    <d v="2024-07-26T00:00:00"/>
    <x v="3"/>
    <x v="0"/>
    <x v="8"/>
    <s v="Net Banking"/>
    <n v="1349"/>
    <x v="0"/>
    <x v="0"/>
    <n v="7"/>
    <n v="2000"/>
    <x v="1"/>
  </r>
  <r>
    <d v="2024-01-27T00:00:00"/>
    <x v="8"/>
    <x v="8"/>
    <x v="2"/>
    <s v="UPI"/>
    <n v="1367"/>
    <x v="1"/>
    <x v="0"/>
    <n v="1"/>
    <n v="7000"/>
    <x v="1"/>
  </r>
  <r>
    <d v="2024-03-11T00:00:00"/>
    <x v="2"/>
    <x v="1"/>
    <x v="2"/>
    <s v="Credit Card"/>
    <n v="3008"/>
    <x v="1"/>
    <x v="0"/>
    <n v="3"/>
    <n v="5000"/>
    <x v="1"/>
  </r>
  <r>
    <d v="2024-07-14T00:00:00"/>
    <x v="3"/>
    <x v="5"/>
    <x v="2"/>
    <s v="Net Banking"/>
    <n v="1058"/>
    <x v="0"/>
    <x v="0"/>
    <n v="7"/>
    <n v="3000"/>
    <x v="1"/>
  </r>
  <r>
    <d v="2024-12-26T00:00:00"/>
    <x v="1"/>
    <x v="5"/>
    <x v="1"/>
    <s v="Net Banking"/>
    <n v="2923"/>
    <x v="0"/>
    <x v="0"/>
    <n v="12"/>
    <n v="3000"/>
    <x v="1"/>
  </r>
  <r>
    <d v="2024-08-02T00:00:00"/>
    <x v="4"/>
    <x v="5"/>
    <x v="5"/>
    <s v="Net Banking"/>
    <n v="2666"/>
    <x v="0"/>
    <x v="0"/>
    <n v="8"/>
    <n v="3000"/>
    <x v="1"/>
  </r>
  <r>
    <d v="2023-09-13T00:00:00"/>
    <x v="9"/>
    <x v="1"/>
    <x v="3"/>
    <s v="Debit Card"/>
    <n v="79"/>
    <x v="1"/>
    <x v="0"/>
    <n v="9"/>
    <n v="5000"/>
    <x v="1"/>
  </r>
  <r>
    <d v="2024-03-02T00:00:00"/>
    <x v="2"/>
    <x v="6"/>
    <x v="3"/>
    <s v="Net Banking"/>
    <n v="4722"/>
    <x v="0"/>
    <x v="0"/>
    <n v="3"/>
    <n v="5500"/>
    <x v="1"/>
  </r>
  <r>
    <d v="2023-01-30T00:00:00"/>
    <x v="8"/>
    <x v="8"/>
    <x v="3"/>
    <s v="UPI"/>
    <n v="4005"/>
    <x v="1"/>
    <x v="0"/>
    <n v="1"/>
    <n v="7000"/>
    <x v="1"/>
  </r>
  <r>
    <d v="2023-07-21T00:00:00"/>
    <x v="3"/>
    <x v="7"/>
    <x v="0"/>
    <s v="Debit Card"/>
    <n v="3342"/>
    <x v="1"/>
    <x v="0"/>
    <n v="7"/>
    <n v="10000"/>
    <x v="1"/>
  </r>
  <r>
    <d v="2024-12-05T00:00:00"/>
    <x v="1"/>
    <x v="1"/>
    <x v="8"/>
    <s v="UPI"/>
    <n v="478"/>
    <x v="1"/>
    <x v="0"/>
    <n v="12"/>
    <n v="5000"/>
    <x v="1"/>
  </r>
  <r>
    <d v="2024-07-03T00:00:00"/>
    <x v="3"/>
    <x v="6"/>
    <x v="4"/>
    <s v="Credit Card"/>
    <n v="2834"/>
    <x v="0"/>
    <x v="0"/>
    <n v="7"/>
    <n v="5500"/>
    <x v="1"/>
  </r>
  <r>
    <d v="2023-10-29T00:00:00"/>
    <x v="0"/>
    <x v="4"/>
    <x v="3"/>
    <s v="Net Banking"/>
    <n v="308"/>
    <x v="1"/>
    <x v="0"/>
    <n v="10"/>
    <n v="4000"/>
    <x v="1"/>
  </r>
  <r>
    <d v="2024-04-23T00:00:00"/>
    <x v="6"/>
    <x v="0"/>
    <x v="3"/>
    <s v="Debit Card"/>
    <n v="4276"/>
    <x v="0"/>
    <x v="0"/>
    <n v="4"/>
    <n v="2000"/>
    <x v="0"/>
  </r>
  <r>
    <d v="2023-04-10T00:00:00"/>
    <x v="6"/>
    <x v="2"/>
    <x v="9"/>
    <s v="Debit Card"/>
    <n v="3015"/>
    <x v="1"/>
    <x v="0"/>
    <n v="4"/>
    <n v="5000"/>
    <x v="1"/>
  </r>
  <r>
    <d v="2024-09-08T00:00:00"/>
    <x v="9"/>
    <x v="4"/>
    <x v="2"/>
    <s v="Debit Card"/>
    <n v="4945"/>
    <x v="1"/>
    <x v="0"/>
    <n v="9"/>
    <n v="4000"/>
    <x v="0"/>
  </r>
  <r>
    <d v="2024-07-01T00:00:00"/>
    <x v="3"/>
    <x v="2"/>
    <x v="9"/>
    <s v="Credit Card"/>
    <n v="1894"/>
    <x v="1"/>
    <x v="0"/>
    <n v="7"/>
    <n v="5000"/>
    <x v="1"/>
  </r>
  <r>
    <d v="2023-07-27T00:00:00"/>
    <x v="3"/>
    <x v="2"/>
    <x v="1"/>
    <s v="Net Banking"/>
    <n v="602"/>
    <x v="1"/>
    <x v="0"/>
    <n v="7"/>
    <n v="5000"/>
    <x v="1"/>
  </r>
  <r>
    <d v="2024-09-07T00:00:00"/>
    <x v="9"/>
    <x v="7"/>
    <x v="9"/>
    <s v="Credit Card"/>
    <n v="3833"/>
    <x v="1"/>
    <x v="0"/>
    <n v="9"/>
    <n v="10000"/>
    <x v="1"/>
  </r>
  <r>
    <d v="2024-05-23T00:00:00"/>
    <x v="5"/>
    <x v="8"/>
    <x v="3"/>
    <s v="UPI"/>
    <n v="1818"/>
    <x v="1"/>
    <x v="0"/>
    <n v="5"/>
    <n v="7000"/>
    <x v="1"/>
  </r>
  <r>
    <d v="2024-04-03T00:00:00"/>
    <x v="6"/>
    <x v="4"/>
    <x v="4"/>
    <s v="Net Banking"/>
    <n v="1246"/>
    <x v="1"/>
    <x v="0"/>
    <n v="4"/>
    <n v="4000"/>
    <x v="1"/>
  </r>
  <r>
    <d v="2024-07-04T00:00:00"/>
    <x v="3"/>
    <x v="1"/>
    <x v="3"/>
    <s v="Net Banking"/>
    <n v="1153"/>
    <x v="1"/>
    <x v="0"/>
    <n v="7"/>
    <n v="5000"/>
    <x v="1"/>
  </r>
  <r>
    <d v="2024-11-09T00:00:00"/>
    <x v="11"/>
    <x v="3"/>
    <x v="9"/>
    <s v="Debit Card"/>
    <n v="1327"/>
    <x v="1"/>
    <x v="0"/>
    <n v="11"/>
    <n v="1000"/>
    <x v="0"/>
  </r>
  <r>
    <d v="2023-03-17T00:00:00"/>
    <x v="2"/>
    <x v="0"/>
    <x v="6"/>
    <s v="Debit Card"/>
    <n v="467"/>
    <x v="0"/>
    <x v="0"/>
    <n v="3"/>
    <n v="2000"/>
    <x v="1"/>
  </r>
  <r>
    <d v="2024-06-08T00:00:00"/>
    <x v="10"/>
    <x v="7"/>
    <x v="2"/>
    <s v="UPI"/>
    <n v="3331"/>
    <x v="1"/>
    <x v="0"/>
    <n v="6"/>
    <n v="10000"/>
    <x v="1"/>
  </r>
  <r>
    <d v="2024-10-10T00:00:00"/>
    <x v="0"/>
    <x v="1"/>
    <x v="3"/>
    <s v="UPI"/>
    <n v="360"/>
    <x v="1"/>
    <x v="0"/>
    <n v="10"/>
    <n v="5000"/>
    <x v="1"/>
  </r>
  <r>
    <d v="2024-12-02T00:00:00"/>
    <x v="1"/>
    <x v="2"/>
    <x v="3"/>
    <s v="UPI"/>
    <n v="603"/>
    <x v="1"/>
    <x v="0"/>
    <n v="12"/>
    <n v="5000"/>
    <x v="1"/>
  </r>
  <r>
    <d v="2024-02-08T00:00:00"/>
    <x v="7"/>
    <x v="3"/>
    <x v="6"/>
    <s v="Net Banking"/>
    <n v="660"/>
    <x v="1"/>
    <x v="0"/>
    <n v="2"/>
    <n v="1000"/>
    <x v="1"/>
  </r>
  <r>
    <d v="2024-01-22T00:00:00"/>
    <x v="8"/>
    <x v="4"/>
    <x v="4"/>
    <s v="Net Banking"/>
    <n v="1575"/>
    <x v="1"/>
    <x v="0"/>
    <n v="1"/>
    <n v="4000"/>
    <x v="1"/>
  </r>
  <r>
    <d v="2023-12-20T00:00:00"/>
    <x v="1"/>
    <x v="6"/>
    <x v="8"/>
    <s v="Net Banking"/>
    <n v="1960"/>
    <x v="0"/>
    <x v="0"/>
    <n v="12"/>
    <n v="5500"/>
    <x v="1"/>
  </r>
  <r>
    <d v="2024-04-08T00:00:00"/>
    <x v="6"/>
    <x v="5"/>
    <x v="1"/>
    <s v="Credit Card"/>
    <n v="4757"/>
    <x v="0"/>
    <x v="0"/>
    <n v="4"/>
    <n v="3000"/>
    <x v="0"/>
  </r>
  <r>
    <d v="2023-05-05T00:00:00"/>
    <x v="5"/>
    <x v="3"/>
    <x v="3"/>
    <s v="UPI"/>
    <n v="3553"/>
    <x v="1"/>
    <x v="0"/>
    <n v="5"/>
    <n v="1000"/>
    <x v="0"/>
  </r>
  <r>
    <d v="2024-03-12T00:00:00"/>
    <x v="2"/>
    <x v="3"/>
    <x v="0"/>
    <s v="Debit Card"/>
    <n v="2191"/>
    <x v="1"/>
    <x v="0"/>
    <n v="3"/>
    <n v="1000"/>
    <x v="0"/>
  </r>
  <r>
    <d v="2024-07-27T00:00:00"/>
    <x v="3"/>
    <x v="0"/>
    <x v="5"/>
    <s v="Net Banking"/>
    <n v="3950"/>
    <x v="0"/>
    <x v="0"/>
    <n v="7"/>
    <n v="2000"/>
    <x v="0"/>
  </r>
  <r>
    <d v="2024-04-07T00:00:00"/>
    <x v="6"/>
    <x v="4"/>
    <x v="9"/>
    <s v="UPI"/>
    <n v="1935"/>
    <x v="1"/>
    <x v="0"/>
    <n v="4"/>
    <n v="4000"/>
    <x v="1"/>
  </r>
  <r>
    <d v="2024-06-12T00:00:00"/>
    <x v="10"/>
    <x v="3"/>
    <x v="7"/>
    <s v="Net Banking"/>
    <n v="2110"/>
    <x v="1"/>
    <x v="0"/>
    <n v="6"/>
    <n v="1000"/>
    <x v="0"/>
  </r>
  <r>
    <d v="2024-12-16T00:00:00"/>
    <x v="1"/>
    <x v="7"/>
    <x v="5"/>
    <s v="Debit Card"/>
    <n v="2108"/>
    <x v="1"/>
    <x v="0"/>
    <n v="12"/>
    <n v="10000"/>
    <x v="1"/>
  </r>
  <r>
    <d v="2024-01-27T00:00:00"/>
    <x v="8"/>
    <x v="1"/>
    <x v="4"/>
    <s v="Net Banking"/>
    <n v="631"/>
    <x v="1"/>
    <x v="0"/>
    <n v="1"/>
    <n v="5000"/>
    <x v="1"/>
  </r>
  <r>
    <d v="2023-02-06T00:00:00"/>
    <x v="7"/>
    <x v="6"/>
    <x v="7"/>
    <s v="Net Banking"/>
    <n v="1998"/>
    <x v="0"/>
    <x v="0"/>
    <n v="2"/>
    <n v="5500"/>
    <x v="1"/>
  </r>
  <r>
    <d v="2023-10-30T00:00:00"/>
    <x v="0"/>
    <x v="1"/>
    <x v="2"/>
    <s v="UPI"/>
    <n v="4130"/>
    <x v="1"/>
    <x v="0"/>
    <n v="10"/>
    <n v="5000"/>
    <x v="1"/>
  </r>
  <r>
    <d v="2024-02-11T00:00:00"/>
    <x v="7"/>
    <x v="7"/>
    <x v="5"/>
    <s v="Credit Card"/>
    <n v="3846"/>
    <x v="1"/>
    <x v="0"/>
    <n v="2"/>
    <n v="10000"/>
    <x v="1"/>
  </r>
  <r>
    <d v="2024-03-05T00:00:00"/>
    <x v="2"/>
    <x v="0"/>
    <x v="7"/>
    <s v="Cash"/>
    <n v="3998"/>
    <x v="0"/>
    <x v="1"/>
    <n v="3"/>
    <n v="2000"/>
    <x v="0"/>
  </r>
  <r>
    <d v="2023-07-20T00:00:00"/>
    <x v="3"/>
    <x v="5"/>
    <x v="8"/>
    <s v="Cash"/>
    <n v="3761"/>
    <x v="0"/>
    <x v="1"/>
    <n v="7"/>
    <n v="3000"/>
    <x v="0"/>
  </r>
  <r>
    <d v="2023-10-27T00:00:00"/>
    <x v="0"/>
    <x v="1"/>
    <x v="7"/>
    <s v="Credit Card"/>
    <n v="583"/>
    <x v="1"/>
    <x v="0"/>
    <n v="10"/>
    <n v="5000"/>
    <x v="1"/>
  </r>
  <r>
    <d v="2024-12-11T00:00:00"/>
    <x v="1"/>
    <x v="1"/>
    <x v="6"/>
    <s v="Net Banking"/>
    <n v="1120"/>
    <x v="1"/>
    <x v="0"/>
    <n v="12"/>
    <n v="5000"/>
    <x v="1"/>
  </r>
  <r>
    <d v="2023-03-16T00:00:00"/>
    <x v="2"/>
    <x v="3"/>
    <x v="0"/>
    <s v="Credit Card"/>
    <n v="2112"/>
    <x v="1"/>
    <x v="0"/>
    <n v="3"/>
    <n v="1000"/>
    <x v="0"/>
  </r>
  <r>
    <d v="2024-10-06T00:00:00"/>
    <x v="0"/>
    <x v="5"/>
    <x v="5"/>
    <s v="Net Banking"/>
    <n v="3671"/>
    <x v="0"/>
    <x v="0"/>
    <n v="10"/>
    <n v="3000"/>
    <x v="0"/>
  </r>
  <r>
    <d v="2024-01-07T00:00:00"/>
    <x v="8"/>
    <x v="4"/>
    <x v="6"/>
    <s v="Debit Card"/>
    <n v="2923"/>
    <x v="1"/>
    <x v="0"/>
    <n v="1"/>
    <n v="4000"/>
    <x v="1"/>
  </r>
  <r>
    <d v="2023-09-09T00:00:00"/>
    <x v="9"/>
    <x v="6"/>
    <x v="0"/>
    <s v="Debit Card"/>
    <n v="3375"/>
    <x v="0"/>
    <x v="0"/>
    <n v="9"/>
    <n v="5500"/>
    <x v="1"/>
  </r>
  <r>
    <d v="2023-01-11T00:00:00"/>
    <x v="8"/>
    <x v="8"/>
    <x v="4"/>
    <s v="Debit Card"/>
    <n v="1720"/>
    <x v="1"/>
    <x v="0"/>
    <n v="1"/>
    <n v="7000"/>
    <x v="1"/>
  </r>
  <r>
    <d v="2024-09-10T00:00:00"/>
    <x v="9"/>
    <x v="8"/>
    <x v="3"/>
    <s v="Cash"/>
    <n v="1376"/>
    <x v="1"/>
    <x v="1"/>
    <n v="9"/>
    <n v="7000"/>
    <x v="1"/>
  </r>
  <r>
    <d v="2023-02-07T00:00:00"/>
    <x v="7"/>
    <x v="6"/>
    <x v="6"/>
    <s v="Net Banking"/>
    <n v="98"/>
    <x v="0"/>
    <x v="0"/>
    <n v="2"/>
    <n v="5500"/>
    <x v="1"/>
  </r>
  <r>
    <d v="2023-10-25T00:00:00"/>
    <x v="0"/>
    <x v="1"/>
    <x v="0"/>
    <s v="Net Banking"/>
    <n v="3650"/>
    <x v="1"/>
    <x v="0"/>
    <n v="10"/>
    <n v="5000"/>
    <x v="1"/>
  </r>
  <r>
    <d v="2023-07-01T00:00:00"/>
    <x v="3"/>
    <x v="6"/>
    <x v="3"/>
    <s v="Debit Card"/>
    <n v="963"/>
    <x v="0"/>
    <x v="0"/>
    <n v="7"/>
    <n v="5500"/>
    <x v="1"/>
  </r>
  <r>
    <d v="2024-11-21T00:00:00"/>
    <x v="11"/>
    <x v="2"/>
    <x v="5"/>
    <s v="Credit Card"/>
    <n v="4755"/>
    <x v="1"/>
    <x v="0"/>
    <n v="11"/>
    <n v="5000"/>
    <x v="1"/>
  </r>
  <r>
    <d v="2023-02-04T00:00:00"/>
    <x v="7"/>
    <x v="3"/>
    <x v="0"/>
    <s v="Net Banking"/>
    <n v="1530"/>
    <x v="1"/>
    <x v="0"/>
    <n v="2"/>
    <n v="1000"/>
    <x v="0"/>
  </r>
  <r>
    <d v="2023-01-06T00:00:00"/>
    <x v="8"/>
    <x v="8"/>
    <x v="4"/>
    <s v="Net Banking"/>
    <n v="3421"/>
    <x v="1"/>
    <x v="0"/>
    <n v="1"/>
    <n v="7000"/>
    <x v="1"/>
  </r>
  <r>
    <d v="2024-10-23T00:00:00"/>
    <x v="0"/>
    <x v="5"/>
    <x v="5"/>
    <s v="Net Banking"/>
    <n v="1189"/>
    <x v="0"/>
    <x v="0"/>
    <n v="10"/>
    <n v="3000"/>
    <x v="1"/>
  </r>
  <r>
    <d v="2023-03-16T00:00:00"/>
    <x v="2"/>
    <x v="1"/>
    <x v="1"/>
    <s v="Cash"/>
    <n v="3413"/>
    <x v="1"/>
    <x v="1"/>
    <n v="3"/>
    <n v="5000"/>
    <x v="1"/>
  </r>
  <r>
    <d v="2023-01-11T00:00:00"/>
    <x v="8"/>
    <x v="5"/>
    <x v="5"/>
    <s v="Cash"/>
    <n v="1906"/>
    <x v="0"/>
    <x v="1"/>
    <n v="1"/>
    <n v="3000"/>
    <x v="1"/>
  </r>
  <r>
    <d v="2024-05-18T00:00:00"/>
    <x v="5"/>
    <x v="0"/>
    <x v="3"/>
    <s v="UPI"/>
    <n v="2246"/>
    <x v="0"/>
    <x v="0"/>
    <n v="5"/>
    <n v="2000"/>
    <x v="0"/>
  </r>
  <r>
    <d v="2023-11-01T00:00:00"/>
    <x v="11"/>
    <x v="8"/>
    <x v="1"/>
    <s v="Net Banking"/>
    <n v="2053"/>
    <x v="1"/>
    <x v="0"/>
    <n v="11"/>
    <n v="7000"/>
    <x v="1"/>
  </r>
  <r>
    <d v="2023-12-08T00:00:00"/>
    <x v="1"/>
    <x v="3"/>
    <x v="4"/>
    <s v="Cash"/>
    <n v="2926"/>
    <x v="1"/>
    <x v="1"/>
    <n v="12"/>
    <n v="1000"/>
    <x v="0"/>
  </r>
  <r>
    <d v="2024-10-10T00:00:00"/>
    <x v="0"/>
    <x v="1"/>
    <x v="4"/>
    <s v="UPI"/>
    <n v="2637"/>
    <x v="1"/>
    <x v="0"/>
    <n v="10"/>
    <n v="5000"/>
    <x v="1"/>
  </r>
  <r>
    <d v="2024-08-14T00:00:00"/>
    <x v="4"/>
    <x v="8"/>
    <x v="4"/>
    <s v="Credit Card"/>
    <n v="463"/>
    <x v="1"/>
    <x v="0"/>
    <n v="8"/>
    <n v="7000"/>
    <x v="1"/>
  </r>
  <r>
    <d v="2023-05-25T00:00:00"/>
    <x v="5"/>
    <x v="3"/>
    <x v="0"/>
    <s v="Cash"/>
    <n v="2284"/>
    <x v="1"/>
    <x v="1"/>
    <n v="5"/>
    <n v="1000"/>
    <x v="0"/>
  </r>
  <r>
    <d v="2023-08-27T00:00:00"/>
    <x v="4"/>
    <x v="2"/>
    <x v="8"/>
    <s v="Credit Card"/>
    <n v="1690"/>
    <x v="1"/>
    <x v="0"/>
    <n v="8"/>
    <n v="5000"/>
    <x v="1"/>
  </r>
  <r>
    <d v="2024-01-18T00:00:00"/>
    <x v="8"/>
    <x v="1"/>
    <x v="2"/>
    <s v="UPI"/>
    <n v="1446"/>
    <x v="1"/>
    <x v="0"/>
    <n v="1"/>
    <n v="5000"/>
    <x v="1"/>
  </r>
  <r>
    <d v="2024-06-17T00:00:00"/>
    <x v="10"/>
    <x v="5"/>
    <x v="9"/>
    <s v="Net Banking"/>
    <n v="1849"/>
    <x v="0"/>
    <x v="0"/>
    <n v="6"/>
    <n v="3000"/>
    <x v="1"/>
  </r>
  <r>
    <d v="2023-10-12T00:00:00"/>
    <x v="0"/>
    <x v="0"/>
    <x v="6"/>
    <s v="Cash"/>
    <n v="4017"/>
    <x v="0"/>
    <x v="1"/>
    <n v="10"/>
    <n v="2000"/>
    <x v="0"/>
  </r>
  <r>
    <d v="2024-05-11T00:00:00"/>
    <x v="5"/>
    <x v="3"/>
    <x v="3"/>
    <s v="Cash"/>
    <n v="3113"/>
    <x v="1"/>
    <x v="1"/>
    <n v="5"/>
    <n v="1000"/>
    <x v="0"/>
  </r>
  <r>
    <d v="2023-12-27T00:00:00"/>
    <x v="1"/>
    <x v="5"/>
    <x v="3"/>
    <s v="Debit Card"/>
    <n v="4120"/>
    <x v="0"/>
    <x v="0"/>
    <n v="12"/>
    <n v="3000"/>
    <x v="0"/>
  </r>
  <r>
    <d v="2023-02-14T00:00:00"/>
    <x v="7"/>
    <x v="8"/>
    <x v="2"/>
    <s v="Cash"/>
    <n v="3963"/>
    <x v="1"/>
    <x v="1"/>
    <n v="2"/>
    <n v="7000"/>
    <x v="1"/>
  </r>
  <r>
    <d v="2024-07-06T00:00:00"/>
    <x v="3"/>
    <x v="5"/>
    <x v="4"/>
    <s v="Cash"/>
    <n v="3416"/>
    <x v="0"/>
    <x v="1"/>
    <n v="7"/>
    <n v="3000"/>
    <x v="0"/>
  </r>
  <r>
    <d v="2023-08-26T00:00:00"/>
    <x v="4"/>
    <x v="3"/>
    <x v="3"/>
    <s v="Credit Card"/>
    <n v="3682"/>
    <x v="1"/>
    <x v="0"/>
    <n v="8"/>
    <n v="1000"/>
    <x v="0"/>
  </r>
  <r>
    <d v="2024-10-04T00:00:00"/>
    <x v="0"/>
    <x v="1"/>
    <x v="3"/>
    <s v="Net Banking"/>
    <n v="3683"/>
    <x v="1"/>
    <x v="0"/>
    <n v="10"/>
    <n v="5000"/>
    <x v="1"/>
  </r>
  <r>
    <d v="2023-11-28T00:00:00"/>
    <x v="11"/>
    <x v="4"/>
    <x v="3"/>
    <s v="Debit Card"/>
    <n v="3182"/>
    <x v="1"/>
    <x v="0"/>
    <n v="11"/>
    <n v="4000"/>
    <x v="1"/>
  </r>
  <r>
    <d v="2024-01-17T00:00:00"/>
    <x v="8"/>
    <x v="8"/>
    <x v="8"/>
    <s v="Net Banking"/>
    <n v="452"/>
    <x v="1"/>
    <x v="0"/>
    <n v="1"/>
    <n v="7000"/>
    <x v="1"/>
  </r>
  <r>
    <d v="2023-01-23T00:00:00"/>
    <x v="8"/>
    <x v="2"/>
    <x v="1"/>
    <s v="Cash"/>
    <n v="2882"/>
    <x v="1"/>
    <x v="1"/>
    <n v="1"/>
    <n v="5000"/>
    <x v="1"/>
  </r>
  <r>
    <d v="2024-10-07T00:00:00"/>
    <x v="0"/>
    <x v="7"/>
    <x v="5"/>
    <s v="Credit Card"/>
    <n v="2905"/>
    <x v="1"/>
    <x v="0"/>
    <n v="10"/>
    <n v="10000"/>
    <x v="1"/>
  </r>
  <r>
    <d v="2023-01-24T00:00:00"/>
    <x v="8"/>
    <x v="2"/>
    <x v="4"/>
    <s v="Debit Card"/>
    <n v="3374"/>
    <x v="1"/>
    <x v="0"/>
    <n v="1"/>
    <n v="5000"/>
    <x v="1"/>
  </r>
  <r>
    <d v="2024-01-09T00:00:00"/>
    <x v="8"/>
    <x v="4"/>
    <x v="3"/>
    <s v="Debit Card"/>
    <n v="1313"/>
    <x v="1"/>
    <x v="0"/>
    <n v="1"/>
    <n v="4000"/>
    <x v="1"/>
  </r>
  <r>
    <d v="2023-12-02T00:00:00"/>
    <x v="1"/>
    <x v="7"/>
    <x v="7"/>
    <s v="Debit Card"/>
    <n v="2886"/>
    <x v="1"/>
    <x v="0"/>
    <n v="12"/>
    <n v="10000"/>
    <x v="1"/>
  </r>
  <r>
    <d v="2023-02-20T00:00:00"/>
    <x v="7"/>
    <x v="3"/>
    <x v="7"/>
    <s v="Credit Card"/>
    <n v="4041"/>
    <x v="1"/>
    <x v="0"/>
    <n v="2"/>
    <n v="1000"/>
    <x v="0"/>
  </r>
  <r>
    <d v="2024-07-17T00:00:00"/>
    <x v="3"/>
    <x v="4"/>
    <x v="7"/>
    <s v="Credit Card"/>
    <n v="1861"/>
    <x v="1"/>
    <x v="0"/>
    <n v="7"/>
    <n v="4000"/>
    <x v="1"/>
  </r>
  <r>
    <d v="2024-09-04T00:00:00"/>
    <x v="9"/>
    <x v="5"/>
    <x v="7"/>
    <s v="Cash"/>
    <n v="3051"/>
    <x v="0"/>
    <x v="1"/>
    <n v="9"/>
    <n v="3000"/>
    <x v="0"/>
  </r>
  <r>
    <d v="2024-12-19T00:00:00"/>
    <x v="1"/>
    <x v="0"/>
    <x v="1"/>
    <s v="Credit Card"/>
    <n v="3611"/>
    <x v="0"/>
    <x v="0"/>
    <n v="12"/>
    <n v="2000"/>
    <x v="0"/>
  </r>
  <r>
    <d v="2023-11-11T00:00:00"/>
    <x v="11"/>
    <x v="3"/>
    <x v="9"/>
    <s v="Debit Card"/>
    <n v="146"/>
    <x v="1"/>
    <x v="0"/>
    <n v="11"/>
    <n v="1000"/>
    <x v="1"/>
  </r>
  <r>
    <d v="2023-01-13T00:00:00"/>
    <x v="8"/>
    <x v="7"/>
    <x v="0"/>
    <s v="UPI"/>
    <n v="4525"/>
    <x v="1"/>
    <x v="0"/>
    <n v="1"/>
    <n v="10000"/>
    <x v="1"/>
  </r>
  <r>
    <d v="2023-12-16T00:00:00"/>
    <x v="1"/>
    <x v="2"/>
    <x v="2"/>
    <s v="Cash"/>
    <n v="4650"/>
    <x v="1"/>
    <x v="1"/>
    <n v="12"/>
    <n v="5000"/>
    <x v="1"/>
  </r>
  <r>
    <d v="2023-03-31T00:00:00"/>
    <x v="2"/>
    <x v="2"/>
    <x v="6"/>
    <s v="Cash"/>
    <n v="2143"/>
    <x v="1"/>
    <x v="1"/>
    <n v="3"/>
    <n v="5000"/>
    <x v="1"/>
  </r>
  <r>
    <d v="2023-04-09T00:00:00"/>
    <x v="6"/>
    <x v="4"/>
    <x v="6"/>
    <s v="UPI"/>
    <n v="433"/>
    <x v="1"/>
    <x v="0"/>
    <n v="4"/>
    <n v="4000"/>
    <x v="1"/>
  </r>
  <r>
    <d v="2023-10-07T00:00:00"/>
    <x v="0"/>
    <x v="7"/>
    <x v="2"/>
    <s v="Net Banking"/>
    <n v="4002"/>
    <x v="1"/>
    <x v="0"/>
    <n v="10"/>
    <n v="10000"/>
    <x v="1"/>
  </r>
  <r>
    <d v="2024-08-04T00:00:00"/>
    <x v="4"/>
    <x v="5"/>
    <x v="4"/>
    <s v="UPI"/>
    <n v="1616"/>
    <x v="0"/>
    <x v="0"/>
    <n v="8"/>
    <n v="3000"/>
    <x v="1"/>
  </r>
  <r>
    <d v="2023-02-04T00:00:00"/>
    <x v="7"/>
    <x v="4"/>
    <x v="7"/>
    <s v="Net Banking"/>
    <n v="894"/>
    <x v="1"/>
    <x v="0"/>
    <n v="2"/>
    <n v="4000"/>
    <x v="1"/>
  </r>
  <r>
    <d v="2023-11-30T00:00:00"/>
    <x v="11"/>
    <x v="6"/>
    <x v="3"/>
    <s v="Cash"/>
    <n v="1098"/>
    <x v="0"/>
    <x v="1"/>
    <n v="11"/>
    <n v="5500"/>
    <x v="1"/>
  </r>
  <r>
    <d v="2024-06-25T00:00:00"/>
    <x v="10"/>
    <x v="4"/>
    <x v="5"/>
    <s v="Credit Card"/>
    <n v="1727"/>
    <x v="1"/>
    <x v="0"/>
    <n v="6"/>
    <n v="4000"/>
    <x v="1"/>
  </r>
  <r>
    <d v="2023-08-12T00:00:00"/>
    <x v="4"/>
    <x v="5"/>
    <x v="1"/>
    <s v="Cash"/>
    <n v="904"/>
    <x v="0"/>
    <x v="1"/>
    <n v="8"/>
    <n v="3000"/>
    <x v="1"/>
  </r>
  <r>
    <d v="2024-10-10T00:00:00"/>
    <x v="0"/>
    <x v="8"/>
    <x v="6"/>
    <s v="Debit Card"/>
    <n v="533"/>
    <x v="1"/>
    <x v="0"/>
    <n v="10"/>
    <n v="7000"/>
    <x v="1"/>
  </r>
  <r>
    <d v="2024-05-22T00:00:00"/>
    <x v="5"/>
    <x v="2"/>
    <x v="0"/>
    <s v="Cash"/>
    <n v="1572"/>
    <x v="1"/>
    <x v="1"/>
    <n v="5"/>
    <n v="5000"/>
    <x v="1"/>
  </r>
  <r>
    <d v="2023-08-03T00:00:00"/>
    <x v="4"/>
    <x v="7"/>
    <x v="0"/>
    <s v="Net Banking"/>
    <n v="1397"/>
    <x v="1"/>
    <x v="0"/>
    <n v="8"/>
    <n v="10000"/>
    <x v="1"/>
  </r>
  <r>
    <d v="2023-06-04T00:00:00"/>
    <x v="10"/>
    <x v="3"/>
    <x v="2"/>
    <s v="Cash"/>
    <n v="3200"/>
    <x v="1"/>
    <x v="1"/>
    <n v="6"/>
    <n v="1000"/>
    <x v="0"/>
  </r>
  <r>
    <d v="2023-10-21T00:00:00"/>
    <x v="0"/>
    <x v="4"/>
    <x v="0"/>
    <s v="Net Banking"/>
    <n v="2728"/>
    <x v="1"/>
    <x v="0"/>
    <n v="10"/>
    <n v="4000"/>
    <x v="1"/>
  </r>
  <r>
    <d v="2024-09-18T00:00:00"/>
    <x v="9"/>
    <x v="3"/>
    <x v="5"/>
    <s v="Debit Card"/>
    <n v="2746"/>
    <x v="1"/>
    <x v="0"/>
    <n v="9"/>
    <n v="1000"/>
    <x v="0"/>
  </r>
  <r>
    <d v="2023-02-08T00:00:00"/>
    <x v="7"/>
    <x v="4"/>
    <x v="7"/>
    <s v="Net Banking"/>
    <n v="3255"/>
    <x v="1"/>
    <x v="0"/>
    <n v="2"/>
    <n v="4000"/>
    <x v="1"/>
  </r>
  <r>
    <d v="2024-04-19T00:00:00"/>
    <x v="6"/>
    <x v="3"/>
    <x v="2"/>
    <s v="Debit Card"/>
    <n v="738"/>
    <x v="1"/>
    <x v="0"/>
    <n v="4"/>
    <n v="1000"/>
    <x v="1"/>
  </r>
  <r>
    <d v="2024-09-23T00:00:00"/>
    <x v="9"/>
    <x v="0"/>
    <x v="9"/>
    <s v="Debit Card"/>
    <n v="1495"/>
    <x v="0"/>
    <x v="0"/>
    <n v="9"/>
    <n v="2000"/>
    <x v="1"/>
  </r>
  <r>
    <d v="2023-11-01T00:00:00"/>
    <x v="11"/>
    <x v="0"/>
    <x v="4"/>
    <s v="Cash"/>
    <n v="3785"/>
    <x v="0"/>
    <x v="1"/>
    <n v="11"/>
    <n v="2000"/>
    <x v="0"/>
  </r>
  <r>
    <d v="2023-03-11T00:00:00"/>
    <x v="2"/>
    <x v="2"/>
    <x v="7"/>
    <s v="Debit Card"/>
    <n v="4565"/>
    <x v="1"/>
    <x v="0"/>
    <n v="3"/>
    <n v="5000"/>
    <x v="1"/>
  </r>
  <r>
    <d v="2024-05-26T00:00:00"/>
    <x v="5"/>
    <x v="4"/>
    <x v="9"/>
    <s v="UPI"/>
    <n v="1245"/>
    <x v="1"/>
    <x v="0"/>
    <n v="5"/>
    <n v="4000"/>
    <x v="1"/>
  </r>
  <r>
    <d v="2024-01-06T00:00:00"/>
    <x v="8"/>
    <x v="8"/>
    <x v="1"/>
    <s v="Credit Card"/>
    <n v="331"/>
    <x v="1"/>
    <x v="0"/>
    <n v="1"/>
    <n v="7000"/>
    <x v="1"/>
  </r>
  <r>
    <d v="2023-10-19T00:00:00"/>
    <x v="0"/>
    <x v="0"/>
    <x v="4"/>
    <s v="Credit Card"/>
    <n v="559"/>
    <x v="0"/>
    <x v="0"/>
    <n v="10"/>
    <n v="2000"/>
    <x v="1"/>
  </r>
  <r>
    <d v="2023-02-17T00:00:00"/>
    <x v="7"/>
    <x v="4"/>
    <x v="7"/>
    <s v="UPI"/>
    <n v="656"/>
    <x v="1"/>
    <x v="0"/>
    <n v="2"/>
    <n v="4000"/>
    <x v="1"/>
  </r>
  <r>
    <d v="2024-08-07T00:00:00"/>
    <x v="4"/>
    <x v="0"/>
    <x v="5"/>
    <s v="Credit Card"/>
    <n v="3570"/>
    <x v="0"/>
    <x v="0"/>
    <n v="8"/>
    <n v="2000"/>
    <x v="0"/>
  </r>
  <r>
    <d v="2023-02-07T00:00:00"/>
    <x v="7"/>
    <x v="6"/>
    <x v="6"/>
    <s v="Net Banking"/>
    <n v="3534"/>
    <x v="0"/>
    <x v="0"/>
    <n v="2"/>
    <n v="5500"/>
    <x v="1"/>
  </r>
  <r>
    <d v="2023-11-10T00:00:00"/>
    <x v="11"/>
    <x v="6"/>
    <x v="5"/>
    <s v="Debit Card"/>
    <n v="1959"/>
    <x v="0"/>
    <x v="0"/>
    <n v="11"/>
    <n v="5500"/>
    <x v="1"/>
  </r>
  <r>
    <d v="2023-09-02T00:00:00"/>
    <x v="9"/>
    <x v="3"/>
    <x v="6"/>
    <s v="Credit Card"/>
    <n v="629"/>
    <x v="1"/>
    <x v="0"/>
    <n v="9"/>
    <n v="1000"/>
    <x v="1"/>
  </r>
  <r>
    <d v="2024-09-06T00:00:00"/>
    <x v="9"/>
    <x v="3"/>
    <x v="6"/>
    <s v="Net Banking"/>
    <n v="1560"/>
    <x v="1"/>
    <x v="0"/>
    <n v="9"/>
    <n v="1000"/>
    <x v="0"/>
  </r>
  <r>
    <d v="2023-11-12T00:00:00"/>
    <x v="11"/>
    <x v="2"/>
    <x v="9"/>
    <s v="Net Banking"/>
    <n v="699"/>
    <x v="1"/>
    <x v="0"/>
    <n v="11"/>
    <n v="5000"/>
    <x v="1"/>
  </r>
  <r>
    <d v="2023-03-24T00:00:00"/>
    <x v="2"/>
    <x v="1"/>
    <x v="2"/>
    <s v="UPI"/>
    <n v="1041"/>
    <x v="1"/>
    <x v="0"/>
    <n v="3"/>
    <n v="5000"/>
    <x v="1"/>
  </r>
  <r>
    <d v="2023-06-18T00:00:00"/>
    <x v="10"/>
    <x v="7"/>
    <x v="7"/>
    <s v="Net Banking"/>
    <n v="178"/>
    <x v="1"/>
    <x v="0"/>
    <n v="6"/>
    <n v="10000"/>
    <x v="1"/>
  </r>
  <r>
    <d v="2024-09-29T00:00:00"/>
    <x v="9"/>
    <x v="6"/>
    <x v="7"/>
    <s v="UPI"/>
    <n v="4703"/>
    <x v="0"/>
    <x v="0"/>
    <n v="9"/>
    <n v="5500"/>
    <x v="1"/>
  </r>
  <r>
    <d v="2023-03-11T00:00:00"/>
    <x v="2"/>
    <x v="3"/>
    <x v="4"/>
    <s v="Cash"/>
    <n v="275"/>
    <x v="1"/>
    <x v="1"/>
    <n v="3"/>
    <n v="1000"/>
    <x v="1"/>
  </r>
  <r>
    <d v="2024-06-13T00:00:00"/>
    <x v="10"/>
    <x v="1"/>
    <x v="1"/>
    <s v="Cash"/>
    <n v="3678"/>
    <x v="1"/>
    <x v="1"/>
    <n v="6"/>
    <n v="5000"/>
    <x v="1"/>
  </r>
  <r>
    <d v="2023-03-05T00:00:00"/>
    <x v="2"/>
    <x v="3"/>
    <x v="3"/>
    <s v="Credit Card"/>
    <n v="775"/>
    <x v="1"/>
    <x v="0"/>
    <n v="3"/>
    <n v="1000"/>
    <x v="1"/>
  </r>
  <r>
    <d v="2023-09-27T00:00:00"/>
    <x v="9"/>
    <x v="8"/>
    <x v="6"/>
    <s v="Credit Card"/>
    <n v="1775"/>
    <x v="1"/>
    <x v="0"/>
    <n v="9"/>
    <n v="7000"/>
    <x v="1"/>
  </r>
  <r>
    <d v="2023-08-15T00:00:00"/>
    <x v="4"/>
    <x v="7"/>
    <x v="9"/>
    <s v="Net Banking"/>
    <n v="4250"/>
    <x v="1"/>
    <x v="0"/>
    <n v="8"/>
    <n v="10000"/>
    <x v="1"/>
  </r>
  <r>
    <d v="2023-02-10T00:00:00"/>
    <x v="7"/>
    <x v="6"/>
    <x v="0"/>
    <s v="Cash"/>
    <n v="3219"/>
    <x v="0"/>
    <x v="1"/>
    <n v="2"/>
    <n v="5500"/>
    <x v="1"/>
  </r>
  <r>
    <d v="2024-12-07T00:00:00"/>
    <x v="1"/>
    <x v="8"/>
    <x v="5"/>
    <s v="Cash"/>
    <n v="4499"/>
    <x v="1"/>
    <x v="1"/>
    <n v="12"/>
    <n v="7000"/>
    <x v="1"/>
  </r>
  <r>
    <d v="2024-10-13T00:00:00"/>
    <x v="0"/>
    <x v="6"/>
    <x v="9"/>
    <s v="Credit Card"/>
    <n v="3341"/>
    <x v="0"/>
    <x v="0"/>
    <n v="10"/>
    <n v="5500"/>
    <x v="1"/>
  </r>
  <r>
    <d v="2023-08-16T00:00:00"/>
    <x v="4"/>
    <x v="7"/>
    <x v="8"/>
    <s v="Cash"/>
    <n v="1851"/>
    <x v="1"/>
    <x v="1"/>
    <n v="8"/>
    <n v="10000"/>
    <x v="1"/>
  </r>
  <r>
    <d v="2024-01-15T00:00:00"/>
    <x v="8"/>
    <x v="2"/>
    <x v="2"/>
    <s v="UPI"/>
    <n v="3402"/>
    <x v="1"/>
    <x v="0"/>
    <n v="1"/>
    <n v="5000"/>
    <x v="1"/>
  </r>
  <r>
    <d v="2023-03-01T00:00:00"/>
    <x v="2"/>
    <x v="1"/>
    <x v="6"/>
    <s v="UPI"/>
    <n v="3021"/>
    <x v="1"/>
    <x v="0"/>
    <n v="3"/>
    <n v="5000"/>
    <x v="1"/>
  </r>
  <r>
    <d v="2024-05-23T00:00:00"/>
    <x v="5"/>
    <x v="1"/>
    <x v="4"/>
    <s v="Debit Card"/>
    <n v="2182"/>
    <x v="1"/>
    <x v="0"/>
    <n v="5"/>
    <n v="5000"/>
    <x v="1"/>
  </r>
  <r>
    <d v="2023-06-20T00:00:00"/>
    <x v="10"/>
    <x v="4"/>
    <x v="6"/>
    <s v="Credit Card"/>
    <n v="2499"/>
    <x v="1"/>
    <x v="0"/>
    <n v="6"/>
    <n v="4000"/>
    <x v="1"/>
  </r>
  <r>
    <d v="2024-05-21T00:00:00"/>
    <x v="5"/>
    <x v="2"/>
    <x v="0"/>
    <s v="Debit Card"/>
    <n v="2208"/>
    <x v="1"/>
    <x v="0"/>
    <n v="5"/>
    <n v="5000"/>
    <x v="1"/>
  </r>
  <r>
    <d v="2024-10-03T00:00:00"/>
    <x v="0"/>
    <x v="7"/>
    <x v="4"/>
    <s v="Credit Card"/>
    <n v="2658"/>
    <x v="1"/>
    <x v="0"/>
    <n v="10"/>
    <n v="10000"/>
    <x v="1"/>
  </r>
  <r>
    <d v="2024-09-01T00:00:00"/>
    <x v="9"/>
    <x v="1"/>
    <x v="8"/>
    <s v="Debit Card"/>
    <n v="2135"/>
    <x v="1"/>
    <x v="0"/>
    <n v="9"/>
    <n v="5000"/>
    <x v="1"/>
  </r>
  <r>
    <d v="2023-03-01T00:00:00"/>
    <x v="2"/>
    <x v="6"/>
    <x v="6"/>
    <s v="UPI"/>
    <n v="4636"/>
    <x v="0"/>
    <x v="0"/>
    <n v="3"/>
    <n v="5500"/>
    <x v="1"/>
  </r>
  <r>
    <d v="2023-07-27T00:00:00"/>
    <x v="3"/>
    <x v="4"/>
    <x v="3"/>
    <s v="UPI"/>
    <n v="3087"/>
    <x v="1"/>
    <x v="0"/>
    <n v="7"/>
    <n v="4000"/>
    <x v="1"/>
  </r>
  <r>
    <d v="2023-01-26T00:00:00"/>
    <x v="8"/>
    <x v="4"/>
    <x v="8"/>
    <s v="Debit Card"/>
    <n v="1024"/>
    <x v="1"/>
    <x v="0"/>
    <n v="1"/>
    <n v="4000"/>
    <x v="1"/>
  </r>
  <r>
    <d v="2023-05-08T00:00:00"/>
    <x v="5"/>
    <x v="4"/>
    <x v="1"/>
    <s v="UPI"/>
    <n v="2892"/>
    <x v="1"/>
    <x v="0"/>
    <n v="5"/>
    <n v="4000"/>
    <x v="1"/>
  </r>
  <r>
    <d v="2024-06-28T00:00:00"/>
    <x v="10"/>
    <x v="2"/>
    <x v="5"/>
    <s v="Debit Card"/>
    <n v="4521"/>
    <x v="1"/>
    <x v="0"/>
    <n v="6"/>
    <n v="5000"/>
    <x v="1"/>
  </r>
  <r>
    <d v="2023-10-15T00:00:00"/>
    <x v="0"/>
    <x v="2"/>
    <x v="9"/>
    <s v="Net Banking"/>
    <n v="345"/>
    <x v="1"/>
    <x v="0"/>
    <n v="10"/>
    <n v="5000"/>
    <x v="1"/>
  </r>
  <r>
    <d v="2024-03-14T00:00:00"/>
    <x v="2"/>
    <x v="4"/>
    <x v="1"/>
    <s v="Net Banking"/>
    <n v="1410"/>
    <x v="1"/>
    <x v="0"/>
    <n v="3"/>
    <n v="4000"/>
    <x v="1"/>
  </r>
  <r>
    <d v="2024-08-30T00:00:00"/>
    <x v="4"/>
    <x v="2"/>
    <x v="3"/>
    <s v="UPI"/>
    <n v="907"/>
    <x v="1"/>
    <x v="0"/>
    <n v="8"/>
    <n v="5000"/>
    <x v="1"/>
  </r>
  <r>
    <d v="2023-09-28T00:00:00"/>
    <x v="9"/>
    <x v="3"/>
    <x v="2"/>
    <s v="Cash"/>
    <n v="4610"/>
    <x v="1"/>
    <x v="1"/>
    <n v="9"/>
    <n v="1000"/>
    <x v="0"/>
  </r>
  <r>
    <d v="2023-10-12T00:00:00"/>
    <x v="0"/>
    <x v="4"/>
    <x v="4"/>
    <s v="Credit Card"/>
    <n v="2417"/>
    <x v="1"/>
    <x v="0"/>
    <n v="10"/>
    <n v="4000"/>
    <x v="1"/>
  </r>
  <r>
    <d v="2024-01-12T00:00:00"/>
    <x v="8"/>
    <x v="7"/>
    <x v="9"/>
    <s v="UPI"/>
    <n v="4911"/>
    <x v="1"/>
    <x v="0"/>
    <n v="1"/>
    <n v="10000"/>
    <x v="1"/>
  </r>
  <r>
    <d v="2023-04-30T00:00:00"/>
    <x v="6"/>
    <x v="0"/>
    <x v="5"/>
    <s v="UPI"/>
    <n v="3364"/>
    <x v="0"/>
    <x v="0"/>
    <n v="4"/>
    <n v="2000"/>
    <x v="0"/>
  </r>
  <r>
    <d v="2023-07-05T00:00:00"/>
    <x v="3"/>
    <x v="7"/>
    <x v="8"/>
    <s v="Cash"/>
    <n v="1192"/>
    <x v="1"/>
    <x v="1"/>
    <n v="7"/>
    <n v="10000"/>
    <x v="1"/>
  </r>
  <r>
    <d v="2024-06-14T00:00:00"/>
    <x v="10"/>
    <x v="0"/>
    <x v="7"/>
    <s v="Cash"/>
    <n v="970"/>
    <x v="0"/>
    <x v="1"/>
    <n v="6"/>
    <n v="2000"/>
    <x v="1"/>
  </r>
  <r>
    <d v="2024-05-09T00:00:00"/>
    <x v="5"/>
    <x v="6"/>
    <x v="6"/>
    <s v="Cash"/>
    <n v="3188"/>
    <x v="0"/>
    <x v="1"/>
    <n v="5"/>
    <n v="5500"/>
    <x v="1"/>
  </r>
  <r>
    <d v="2024-01-04T00:00:00"/>
    <x v="8"/>
    <x v="5"/>
    <x v="1"/>
    <s v="Cash"/>
    <n v="3486"/>
    <x v="0"/>
    <x v="1"/>
    <n v="1"/>
    <n v="3000"/>
    <x v="0"/>
  </r>
  <r>
    <d v="2024-03-04T00:00:00"/>
    <x v="2"/>
    <x v="7"/>
    <x v="2"/>
    <s v="Debit Card"/>
    <n v="3711"/>
    <x v="1"/>
    <x v="0"/>
    <n v="3"/>
    <n v="10000"/>
    <x v="1"/>
  </r>
  <r>
    <d v="2024-01-08T00:00:00"/>
    <x v="8"/>
    <x v="1"/>
    <x v="2"/>
    <s v="UPI"/>
    <n v="571"/>
    <x v="1"/>
    <x v="0"/>
    <n v="1"/>
    <n v="5000"/>
    <x v="1"/>
  </r>
  <r>
    <d v="2024-11-11T00:00:00"/>
    <x v="11"/>
    <x v="8"/>
    <x v="8"/>
    <s v="Debit Card"/>
    <n v="1467"/>
    <x v="1"/>
    <x v="0"/>
    <n v="11"/>
    <n v="7000"/>
    <x v="1"/>
  </r>
  <r>
    <d v="2023-10-09T00:00:00"/>
    <x v="0"/>
    <x v="3"/>
    <x v="3"/>
    <s v="Debit Card"/>
    <n v="345"/>
    <x v="1"/>
    <x v="0"/>
    <n v="10"/>
    <n v="1000"/>
    <x v="1"/>
  </r>
  <r>
    <d v="2024-01-14T00:00:00"/>
    <x v="8"/>
    <x v="8"/>
    <x v="2"/>
    <s v="UPI"/>
    <n v="4552"/>
    <x v="1"/>
    <x v="0"/>
    <n v="1"/>
    <n v="7000"/>
    <x v="1"/>
  </r>
  <r>
    <d v="2023-08-02T00:00:00"/>
    <x v="4"/>
    <x v="2"/>
    <x v="1"/>
    <s v="Cash"/>
    <n v="1891"/>
    <x v="1"/>
    <x v="1"/>
    <n v="8"/>
    <n v="5000"/>
    <x v="1"/>
  </r>
  <r>
    <d v="2024-10-01T00:00:00"/>
    <x v="0"/>
    <x v="5"/>
    <x v="9"/>
    <s v="Credit Card"/>
    <n v="1804"/>
    <x v="0"/>
    <x v="0"/>
    <n v="10"/>
    <n v="3000"/>
    <x v="1"/>
  </r>
  <r>
    <d v="2023-09-21T00:00:00"/>
    <x v="9"/>
    <x v="8"/>
    <x v="7"/>
    <s v="Credit Card"/>
    <n v="166"/>
    <x v="1"/>
    <x v="0"/>
    <n v="9"/>
    <n v="7000"/>
    <x v="1"/>
  </r>
  <r>
    <d v="2023-11-26T00:00:00"/>
    <x v="11"/>
    <x v="0"/>
    <x v="2"/>
    <s v="Net Banking"/>
    <n v="4311"/>
    <x v="0"/>
    <x v="0"/>
    <n v="11"/>
    <n v="2000"/>
    <x v="0"/>
  </r>
  <r>
    <d v="2023-10-10T00:00:00"/>
    <x v="0"/>
    <x v="2"/>
    <x v="8"/>
    <s v="Debit Card"/>
    <n v="4084"/>
    <x v="1"/>
    <x v="0"/>
    <n v="10"/>
    <n v="5000"/>
    <x v="1"/>
  </r>
  <r>
    <d v="2023-07-01T00:00:00"/>
    <x v="3"/>
    <x v="1"/>
    <x v="8"/>
    <s v="Credit Card"/>
    <n v="649"/>
    <x v="1"/>
    <x v="0"/>
    <n v="7"/>
    <n v="5000"/>
    <x v="1"/>
  </r>
  <r>
    <d v="2024-05-20T00:00:00"/>
    <x v="5"/>
    <x v="1"/>
    <x v="8"/>
    <s v="Cash"/>
    <n v="623"/>
    <x v="1"/>
    <x v="1"/>
    <n v="5"/>
    <n v="5000"/>
    <x v="1"/>
  </r>
  <r>
    <d v="2024-05-12T00:00:00"/>
    <x v="5"/>
    <x v="6"/>
    <x v="8"/>
    <s v="Net Banking"/>
    <n v="1556"/>
    <x v="0"/>
    <x v="0"/>
    <n v="5"/>
    <n v="5500"/>
    <x v="1"/>
  </r>
  <r>
    <d v="2024-04-24T00:00:00"/>
    <x v="6"/>
    <x v="6"/>
    <x v="5"/>
    <s v="Credit Card"/>
    <n v="1712"/>
    <x v="0"/>
    <x v="0"/>
    <n v="4"/>
    <n v="5500"/>
    <x v="1"/>
  </r>
  <r>
    <d v="2024-11-11T00:00:00"/>
    <x v="11"/>
    <x v="8"/>
    <x v="5"/>
    <s v="UPI"/>
    <n v="3534"/>
    <x v="1"/>
    <x v="0"/>
    <n v="11"/>
    <n v="7000"/>
    <x v="1"/>
  </r>
  <r>
    <d v="2024-12-13T00:00:00"/>
    <x v="1"/>
    <x v="3"/>
    <x v="6"/>
    <s v="Debit Card"/>
    <n v="1564"/>
    <x v="1"/>
    <x v="0"/>
    <n v="12"/>
    <n v="1000"/>
    <x v="0"/>
  </r>
  <r>
    <d v="2024-09-26T00:00:00"/>
    <x v="9"/>
    <x v="6"/>
    <x v="4"/>
    <s v="UPI"/>
    <n v="4272"/>
    <x v="0"/>
    <x v="0"/>
    <n v="9"/>
    <n v="5500"/>
    <x v="1"/>
  </r>
  <r>
    <d v="2023-11-25T00:00:00"/>
    <x v="11"/>
    <x v="6"/>
    <x v="9"/>
    <s v="Net Banking"/>
    <n v="1828"/>
    <x v="0"/>
    <x v="0"/>
    <n v="11"/>
    <n v="5500"/>
    <x v="1"/>
  </r>
  <r>
    <d v="2024-02-14T00:00:00"/>
    <x v="7"/>
    <x v="8"/>
    <x v="0"/>
    <s v="Net Banking"/>
    <n v="155"/>
    <x v="1"/>
    <x v="0"/>
    <n v="2"/>
    <n v="7000"/>
    <x v="1"/>
  </r>
  <r>
    <d v="2023-10-20T00:00:00"/>
    <x v="0"/>
    <x v="7"/>
    <x v="0"/>
    <s v="Net Banking"/>
    <n v="2822"/>
    <x v="1"/>
    <x v="0"/>
    <n v="10"/>
    <n v="10000"/>
    <x v="1"/>
  </r>
  <r>
    <d v="2024-07-29T00:00:00"/>
    <x v="3"/>
    <x v="3"/>
    <x v="9"/>
    <s v="Net Banking"/>
    <n v="3902"/>
    <x v="1"/>
    <x v="0"/>
    <n v="7"/>
    <n v="1000"/>
    <x v="0"/>
  </r>
  <r>
    <d v="2023-02-26T00:00:00"/>
    <x v="7"/>
    <x v="7"/>
    <x v="2"/>
    <s v="UPI"/>
    <n v="4869"/>
    <x v="1"/>
    <x v="0"/>
    <n v="2"/>
    <n v="10000"/>
    <x v="1"/>
  </r>
  <r>
    <d v="2023-10-10T00:00:00"/>
    <x v="0"/>
    <x v="0"/>
    <x v="5"/>
    <s v="UPI"/>
    <n v="2483"/>
    <x v="0"/>
    <x v="0"/>
    <n v="10"/>
    <n v="2000"/>
    <x v="0"/>
  </r>
  <r>
    <d v="2024-05-18T00:00:00"/>
    <x v="5"/>
    <x v="3"/>
    <x v="6"/>
    <s v="UPI"/>
    <n v="1116"/>
    <x v="1"/>
    <x v="0"/>
    <n v="5"/>
    <n v="1000"/>
    <x v="0"/>
  </r>
  <r>
    <d v="2024-12-11T00:00:00"/>
    <x v="1"/>
    <x v="7"/>
    <x v="9"/>
    <s v="Cash"/>
    <n v="1055"/>
    <x v="1"/>
    <x v="1"/>
    <n v="12"/>
    <n v="10000"/>
    <x v="1"/>
  </r>
  <r>
    <d v="2024-12-24T00:00:00"/>
    <x v="1"/>
    <x v="5"/>
    <x v="1"/>
    <s v="Net Banking"/>
    <n v="721"/>
    <x v="0"/>
    <x v="0"/>
    <n v="12"/>
    <n v="3000"/>
    <x v="1"/>
  </r>
  <r>
    <d v="2024-04-11T00:00:00"/>
    <x v="6"/>
    <x v="4"/>
    <x v="5"/>
    <s v="Cash"/>
    <n v="275"/>
    <x v="1"/>
    <x v="1"/>
    <n v="4"/>
    <n v="4000"/>
    <x v="1"/>
  </r>
  <r>
    <d v="2023-07-11T00:00:00"/>
    <x v="3"/>
    <x v="8"/>
    <x v="9"/>
    <s v="UPI"/>
    <n v="4858"/>
    <x v="1"/>
    <x v="0"/>
    <n v="7"/>
    <n v="7000"/>
    <x v="1"/>
  </r>
  <r>
    <d v="2023-07-17T00:00:00"/>
    <x v="3"/>
    <x v="2"/>
    <x v="1"/>
    <s v="UPI"/>
    <n v="3466"/>
    <x v="1"/>
    <x v="0"/>
    <n v="7"/>
    <n v="5000"/>
    <x v="1"/>
  </r>
  <r>
    <d v="2024-03-11T00:00:00"/>
    <x v="2"/>
    <x v="7"/>
    <x v="0"/>
    <s v="Cash"/>
    <n v="3251"/>
    <x v="1"/>
    <x v="1"/>
    <n v="3"/>
    <n v="10000"/>
    <x v="1"/>
  </r>
  <r>
    <d v="2023-04-14T00:00:00"/>
    <x v="6"/>
    <x v="7"/>
    <x v="0"/>
    <s v="Cash"/>
    <n v="2538"/>
    <x v="1"/>
    <x v="1"/>
    <n v="4"/>
    <n v="10000"/>
    <x v="1"/>
  </r>
  <r>
    <d v="2023-05-16T00:00:00"/>
    <x v="5"/>
    <x v="8"/>
    <x v="5"/>
    <s v="Credit Card"/>
    <n v="669"/>
    <x v="1"/>
    <x v="0"/>
    <n v="5"/>
    <n v="7000"/>
    <x v="1"/>
  </r>
  <r>
    <d v="2024-08-04T00:00:00"/>
    <x v="4"/>
    <x v="4"/>
    <x v="3"/>
    <s v="Credit Card"/>
    <n v="4413"/>
    <x v="1"/>
    <x v="0"/>
    <n v="8"/>
    <n v="4000"/>
    <x v="0"/>
  </r>
  <r>
    <d v="2023-06-24T00:00:00"/>
    <x v="10"/>
    <x v="4"/>
    <x v="6"/>
    <s v="Cash"/>
    <n v="4610"/>
    <x v="1"/>
    <x v="1"/>
    <n v="6"/>
    <n v="4000"/>
    <x v="0"/>
  </r>
  <r>
    <d v="2024-08-05T00:00:00"/>
    <x v="4"/>
    <x v="5"/>
    <x v="0"/>
    <s v="Cash"/>
    <n v="4242"/>
    <x v="0"/>
    <x v="1"/>
    <n v="8"/>
    <n v="3000"/>
    <x v="0"/>
  </r>
  <r>
    <d v="2023-04-11T00:00:00"/>
    <x v="6"/>
    <x v="1"/>
    <x v="3"/>
    <s v="Credit Card"/>
    <n v="926"/>
    <x v="1"/>
    <x v="0"/>
    <n v="4"/>
    <n v="5000"/>
    <x v="1"/>
  </r>
  <r>
    <d v="2024-08-20T00:00:00"/>
    <x v="4"/>
    <x v="4"/>
    <x v="8"/>
    <s v="UPI"/>
    <n v="327"/>
    <x v="1"/>
    <x v="0"/>
    <n v="8"/>
    <n v="4000"/>
    <x v="1"/>
  </r>
  <r>
    <d v="2023-12-12T00:00:00"/>
    <x v="1"/>
    <x v="3"/>
    <x v="6"/>
    <s v="UPI"/>
    <n v="1993"/>
    <x v="1"/>
    <x v="0"/>
    <n v="12"/>
    <n v="1000"/>
    <x v="0"/>
  </r>
  <r>
    <d v="2023-04-13T00:00:00"/>
    <x v="6"/>
    <x v="2"/>
    <x v="8"/>
    <s v="Net Banking"/>
    <n v="4333"/>
    <x v="1"/>
    <x v="0"/>
    <n v="4"/>
    <n v="5000"/>
    <x v="1"/>
  </r>
  <r>
    <d v="2024-06-20T00:00:00"/>
    <x v="10"/>
    <x v="4"/>
    <x v="1"/>
    <s v="Net Banking"/>
    <n v="1967"/>
    <x v="1"/>
    <x v="0"/>
    <n v="6"/>
    <n v="4000"/>
    <x v="1"/>
  </r>
  <r>
    <d v="2024-09-09T00:00:00"/>
    <x v="9"/>
    <x v="3"/>
    <x v="5"/>
    <s v="Debit Card"/>
    <n v="4370"/>
    <x v="1"/>
    <x v="0"/>
    <n v="9"/>
    <n v="1000"/>
    <x v="0"/>
  </r>
  <r>
    <d v="2024-10-27T00:00:00"/>
    <x v="0"/>
    <x v="3"/>
    <x v="3"/>
    <s v="Debit Card"/>
    <n v="1262"/>
    <x v="1"/>
    <x v="0"/>
    <n v="10"/>
    <n v="1000"/>
    <x v="0"/>
  </r>
  <r>
    <d v="2024-01-11T00:00:00"/>
    <x v="8"/>
    <x v="3"/>
    <x v="8"/>
    <s v="UPI"/>
    <n v="201"/>
    <x v="1"/>
    <x v="0"/>
    <n v="1"/>
    <n v="1000"/>
    <x v="1"/>
  </r>
  <r>
    <d v="2024-08-10T00:00:00"/>
    <x v="4"/>
    <x v="1"/>
    <x v="9"/>
    <s v="Net Banking"/>
    <n v="2829"/>
    <x v="1"/>
    <x v="0"/>
    <n v="8"/>
    <n v="5000"/>
    <x v="1"/>
  </r>
  <r>
    <d v="2024-06-25T00:00:00"/>
    <x v="10"/>
    <x v="4"/>
    <x v="9"/>
    <s v="Credit Card"/>
    <n v="1318"/>
    <x v="1"/>
    <x v="0"/>
    <n v="6"/>
    <n v="4000"/>
    <x v="1"/>
  </r>
  <r>
    <d v="2024-02-16T00:00:00"/>
    <x v="7"/>
    <x v="0"/>
    <x v="1"/>
    <s v="Credit Card"/>
    <n v="3600"/>
    <x v="0"/>
    <x v="0"/>
    <n v="2"/>
    <n v="2000"/>
    <x v="0"/>
  </r>
  <r>
    <d v="2024-10-23T00:00:00"/>
    <x v="0"/>
    <x v="0"/>
    <x v="9"/>
    <s v="Debit Card"/>
    <n v="1018"/>
    <x v="0"/>
    <x v="0"/>
    <n v="10"/>
    <n v="2000"/>
    <x v="1"/>
  </r>
  <r>
    <d v="2024-06-02T00:00:00"/>
    <x v="10"/>
    <x v="1"/>
    <x v="4"/>
    <s v="Debit Card"/>
    <n v="3961"/>
    <x v="1"/>
    <x v="0"/>
    <n v="6"/>
    <n v="5000"/>
    <x v="1"/>
  </r>
  <r>
    <d v="2023-11-20T00:00:00"/>
    <x v="11"/>
    <x v="3"/>
    <x v="0"/>
    <s v="UPI"/>
    <n v="3298"/>
    <x v="1"/>
    <x v="0"/>
    <n v="11"/>
    <n v="1000"/>
    <x v="0"/>
  </r>
  <r>
    <d v="2024-10-06T00:00:00"/>
    <x v="0"/>
    <x v="1"/>
    <x v="7"/>
    <s v="UPI"/>
    <n v="168"/>
    <x v="1"/>
    <x v="0"/>
    <n v="10"/>
    <n v="5000"/>
    <x v="1"/>
  </r>
  <r>
    <d v="2023-10-21T00:00:00"/>
    <x v="0"/>
    <x v="0"/>
    <x v="6"/>
    <s v="Net Banking"/>
    <n v="4600"/>
    <x v="0"/>
    <x v="0"/>
    <n v="10"/>
    <n v="2000"/>
    <x v="0"/>
  </r>
  <r>
    <d v="2024-05-29T00:00:00"/>
    <x v="5"/>
    <x v="1"/>
    <x v="2"/>
    <s v="Debit Card"/>
    <n v="267"/>
    <x v="1"/>
    <x v="0"/>
    <n v="5"/>
    <n v="5000"/>
    <x v="1"/>
  </r>
  <r>
    <d v="2023-05-08T00:00:00"/>
    <x v="5"/>
    <x v="8"/>
    <x v="2"/>
    <s v="Net Banking"/>
    <n v="2572"/>
    <x v="1"/>
    <x v="0"/>
    <n v="5"/>
    <n v="7000"/>
    <x v="1"/>
  </r>
  <r>
    <d v="2024-07-08T00:00:00"/>
    <x v="3"/>
    <x v="2"/>
    <x v="1"/>
    <s v="UPI"/>
    <n v="2566"/>
    <x v="1"/>
    <x v="0"/>
    <n v="7"/>
    <n v="5000"/>
    <x v="1"/>
  </r>
  <r>
    <d v="2024-10-31T00:00:00"/>
    <x v="0"/>
    <x v="7"/>
    <x v="0"/>
    <s v="Debit Card"/>
    <n v="3069"/>
    <x v="1"/>
    <x v="0"/>
    <n v="10"/>
    <n v="10000"/>
    <x v="1"/>
  </r>
  <r>
    <d v="2023-02-17T00:00:00"/>
    <x v="7"/>
    <x v="1"/>
    <x v="4"/>
    <s v="UPI"/>
    <n v="295"/>
    <x v="1"/>
    <x v="0"/>
    <n v="2"/>
    <n v="5000"/>
    <x v="1"/>
  </r>
  <r>
    <d v="2024-08-23T00:00:00"/>
    <x v="4"/>
    <x v="7"/>
    <x v="9"/>
    <s v="Net Banking"/>
    <n v="2251"/>
    <x v="1"/>
    <x v="0"/>
    <n v="8"/>
    <n v="10000"/>
    <x v="1"/>
  </r>
  <r>
    <d v="2024-08-12T00:00:00"/>
    <x v="4"/>
    <x v="4"/>
    <x v="5"/>
    <s v="UPI"/>
    <n v="537"/>
    <x v="1"/>
    <x v="0"/>
    <n v="8"/>
    <n v="4000"/>
    <x v="1"/>
  </r>
  <r>
    <d v="2023-06-10T00:00:00"/>
    <x v="10"/>
    <x v="3"/>
    <x v="0"/>
    <s v="Cash"/>
    <n v="2350"/>
    <x v="1"/>
    <x v="1"/>
    <n v="6"/>
    <n v="1000"/>
    <x v="0"/>
  </r>
  <r>
    <d v="2023-08-05T00:00:00"/>
    <x v="4"/>
    <x v="2"/>
    <x v="5"/>
    <s v="Debit Card"/>
    <n v="4855"/>
    <x v="1"/>
    <x v="0"/>
    <n v="8"/>
    <n v="5000"/>
    <x v="1"/>
  </r>
  <r>
    <d v="2023-02-03T00:00:00"/>
    <x v="7"/>
    <x v="7"/>
    <x v="5"/>
    <s v="UPI"/>
    <n v="3667"/>
    <x v="1"/>
    <x v="0"/>
    <n v="2"/>
    <n v="10000"/>
    <x v="1"/>
  </r>
  <r>
    <d v="2023-08-01T00:00:00"/>
    <x v="4"/>
    <x v="2"/>
    <x v="0"/>
    <s v="Debit Card"/>
    <n v="3369"/>
    <x v="1"/>
    <x v="0"/>
    <n v="8"/>
    <n v="5000"/>
    <x v="1"/>
  </r>
  <r>
    <d v="2023-01-24T00:00:00"/>
    <x v="8"/>
    <x v="1"/>
    <x v="2"/>
    <s v="Credit Card"/>
    <n v="351"/>
    <x v="1"/>
    <x v="0"/>
    <n v="1"/>
    <n v="5000"/>
    <x v="1"/>
  </r>
  <r>
    <d v="2023-11-16T00:00:00"/>
    <x v="11"/>
    <x v="2"/>
    <x v="0"/>
    <s v="Net Banking"/>
    <n v="4648"/>
    <x v="1"/>
    <x v="0"/>
    <n v="11"/>
    <n v="5000"/>
    <x v="1"/>
  </r>
  <r>
    <d v="2023-01-28T00:00:00"/>
    <x v="8"/>
    <x v="8"/>
    <x v="3"/>
    <s v="UPI"/>
    <n v="4588"/>
    <x v="1"/>
    <x v="0"/>
    <n v="1"/>
    <n v="7000"/>
    <x v="1"/>
  </r>
  <r>
    <d v="2023-01-03T00:00:00"/>
    <x v="8"/>
    <x v="2"/>
    <x v="7"/>
    <s v="UPI"/>
    <n v="430"/>
    <x v="1"/>
    <x v="0"/>
    <n v="1"/>
    <n v="5000"/>
    <x v="1"/>
  </r>
  <r>
    <d v="2024-10-23T00:00:00"/>
    <x v="0"/>
    <x v="7"/>
    <x v="7"/>
    <s v="Cash"/>
    <n v="1203"/>
    <x v="1"/>
    <x v="1"/>
    <n v="10"/>
    <n v="10000"/>
    <x v="1"/>
  </r>
  <r>
    <d v="2024-07-04T00:00:00"/>
    <x v="3"/>
    <x v="2"/>
    <x v="0"/>
    <s v="Credit Card"/>
    <n v="1074"/>
    <x v="1"/>
    <x v="0"/>
    <n v="7"/>
    <n v="5000"/>
    <x v="1"/>
  </r>
  <r>
    <d v="2024-02-20T00:00:00"/>
    <x v="7"/>
    <x v="8"/>
    <x v="7"/>
    <s v="Debit Card"/>
    <n v="4572"/>
    <x v="1"/>
    <x v="0"/>
    <n v="2"/>
    <n v="7000"/>
    <x v="1"/>
  </r>
  <r>
    <d v="2023-11-01T00:00:00"/>
    <x v="11"/>
    <x v="3"/>
    <x v="9"/>
    <s v="UPI"/>
    <n v="4457"/>
    <x v="1"/>
    <x v="0"/>
    <n v="11"/>
    <n v="1000"/>
    <x v="0"/>
  </r>
  <r>
    <d v="2024-02-13T00:00:00"/>
    <x v="7"/>
    <x v="4"/>
    <x v="4"/>
    <s v="UPI"/>
    <n v="2306"/>
    <x v="1"/>
    <x v="0"/>
    <n v="2"/>
    <n v="4000"/>
    <x v="1"/>
  </r>
  <r>
    <d v="2023-03-25T00:00:00"/>
    <x v="2"/>
    <x v="1"/>
    <x v="2"/>
    <s v="Net Banking"/>
    <n v="3289"/>
    <x v="1"/>
    <x v="0"/>
    <n v="3"/>
    <n v="5000"/>
    <x v="1"/>
  </r>
  <r>
    <d v="2024-01-18T00:00:00"/>
    <x v="8"/>
    <x v="3"/>
    <x v="8"/>
    <s v="Debit Card"/>
    <n v="2775"/>
    <x v="1"/>
    <x v="0"/>
    <n v="1"/>
    <n v="1000"/>
    <x v="0"/>
  </r>
  <r>
    <d v="2024-04-05T00:00:00"/>
    <x v="6"/>
    <x v="3"/>
    <x v="6"/>
    <s v="UPI"/>
    <n v="2279"/>
    <x v="1"/>
    <x v="0"/>
    <n v="4"/>
    <n v="1000"/>
    <x v="0"/>
  </r>
  <r>
    <d v="2024-06-01T00:00:00"/>
    <x v="10"/>
    <x v="2"/>
    <x v="7"/>
    <s v="Credit Card"/>
    <n v="2852"/>
    <x v="1"/>
    <x v="0"/>
    <n v="6"/>
    <n v="5000"/>
    <x v="1"/>
  </r>
  <r>
    <d v="2023-10-07T00:00:00"/>
    <x v="0"/>
    <x v="2"/>
    <x v="0"/>
    <s v="Debit Card"/>
    <n v="4113"/>
    <x v="1"/>
    <x v="0"/>
    <n v="10"/>
    <n v="5000"/>
    <x v="1"/>
  </r>
  <r>
    <d v="2024-07-30T00:00:00"/>
    <x v="3"/>
    <x v="7"/>
    <x v="0"/>
    <s v="Net Banking"/>
    <n v="4363"/>
    <x v="1"/>
    <x v="0"/>
    <n v="7"/>
    <n v="10000"/>
    <x v="1"/>
  </r>
  <r>
    <d v="2024-06-03T00:00:00"/>
    <x v="10"/>
    <x v="1"/>
    <x v="6"/>
    <s v="Debit Card"/>
    <n v="488"/>
    <x v="1"/>
    <x v="0"/>
    <n v="6"/>
    <n v="5000"/>
    <x v="1"/>
  </r>
  <r>
    <d v="2024-01-27T00:00:00"/>
    <x v="8"/>
    <x v="7"/>
    <x v="6"/>
    <s v="Net Banking"/>
    <n v="1894"/>
    <x v="1"/>
    <x v="0"/>
    <n v="1"/>
    <n v="10000"/>
    <x v="1"/>
  </r>
  <r>
    <d v="2023-02-01T00:00:00"/>
    <x v="7"/>
    <x v="1"/>
    <x v="1"/>
    <s v="Debit Card"/>
    <n v="1310"/>
    <x v="1"/>
    <x v="0"/>
    <n v="2"/>
    <n v="5000"/>
    <x v="1"/>
  </r>
  <r>
    <d v="2024-01-27T00:00:00"/>
    <x v="8"/>
    <x v="3"/>
    <x v="7"/>
    <s v="Net Banking"/>
    <n v="1851"/>
    <x v="1"/>
    <x v="0"/>
    <n v="1"/>
    <n v="1000"/>
    <x v="0"/>
  </r>
  <r>
    <d v="2024-05-16T00:00:00"/>
    <x v="5"/>
    <x v="0"/>
    <x v="9"/>
    <s v="Debit Card"/>
    <n v="2021"/>
    <x v="0"/>
    <x v="0"/>
    <n v="5"/>
    <n v="2000"/>
    <x v="0"/>
  </r>
  <r>
    <d v="2023-11-28T00:00:00"/>
    <x v="11"/>
    <x v="5"/>
    <x v="2"/>
    <s v="Net Banking"/>
    <n v="4741"/>
    <x v="0"/>
    <x v="0"/>
    <n v="11"/>
    <n v="3000"/>
    <x v="0"/>
  </r>
  <r>
    <d v="2023-10-20T00:00:00"/>
    <x v="0"/>
    <x v="0"/>
    <x v="0"/>
    <s v="Net Banking"/>
    <n v="943"/>
    <x v="0"/>
    <x v="0"/>
    <n v="10"/>
    <n v="2000"/>
    <x v="1"/>
  </r>
  <r>
    <d v="2023-01-25T00:00:00"/>
    <x v="8"/>
    <x v="3"/>
    <x v="9"/>
    <s v="Debit Card"/>
    <n v="2461"/>
    <x v="1"/>
    <x v="0"/>
    <n v="1"/>
    <n v="1000"/>
    <x v="0"/>
  </r>
  <r>
    <d v="2023-01-23T00:00:00"/>
    <x v="8"/>
    <x v="2"/>
    <x v="9"/>
    <s v="Credit Card"/>
    <n v="511"/>
    <x v="1"/>
    <x v="0"/>
    <n v="1"/>
    <n v="5000"/>
    <x v="1"/>
  </r>
  <r>
    <d v="2024-08-05T00:00:00"/>
    <x v="4"/>
    <x v="2"/>
    <x v="5"/>
    <s v="Debit Card"/>
    <n v="2913"/>
    <x v="1"/>
    <x v="0"/>
    <n v="8"/>
    <n v="5000"/>
    <x v="1"/>
  </r>
  <r>
    <d v="2023-01-22T00:00:00"/>
    <x v="8"/>
    <x v="5"/>
    <x v="4"/>
    <s v="UPI"/>
    <n v="4393"/>
    <x v="0"/>
    <x v="0"/>
    <n v="1"/>
    <n v="3000"/>
    <x v="0"/>
  </r>
  <r>
    <d v="2023-05-28T00:00:00"/>
    <x v="5"/>
    <x v="8"/>
    <x v="3"/>
    <s v="Credit Card"/>
    <n v="3386"/>
    <x v="1"/>
    <x v="0"/>
    <n v="5"/>
    <n v="7000"/>
    <x v="1"/>
  </r>
  <r>
    <d v="2024-04-04T00:00:00"/>
    <x v="6"/>
    <x v="0"/>
    <x v="8"/>
    <s v="Debit Card"/>
    <n v="1350"/>
    <x v="0"/>
    <x v="0"/>
    <n v="4"/>
    <n v="2000"/>
    <x v="1"/>
  </r>
  <r>
    <d v="2024-02-13T00:00:00"/>
    <x v="7"/>
    <x v="4"/>
    <x v="5"/>
    <s v="UPI"/>
    <n v="1251"/>
    <x v="1"/>
    <x v="0"/>
    <n v="2"/>
    <n v="4000"/>
    <x v="1"/>
  </r>
  <r>
    <d v="2023-05-02T00:00:00"/>
    <x v="5"/>
    <x v="1"/>
    <x v="1"/>
    <s v="Credit Card"/>
    <n v="2322"/>
    <x v="1"/>
    <x v="0"/>
    <n v="5"/>
    <n v="5000"/>
    <x v="1"/>
  </r>
  <r>
    <d v="2023-11-22T00:00:00"/>
    <x v="11"/>
    <x v="0"/>
    <x v="3"/>
    <s v="Net Banking"/>
    <n v="285"/>
    <x v="0"/>
    <x v="0"/>
    <n v="11"/>
    <n v="2000"/>
    <x v="1"/>
  </r>
  <r>
    <d v="2024-05-31T00:00:00"/>
    <x v="5"/>
    <x v="0"/>
    <x v="6"/>
    <s v="UPI"/>
    <n v="2503"/>
    <x v="0"/>
    <x v="0"/>
    <n v="5"/>
    <n v="2000"/>
    <x v="0"/>
  </r>
  <r>
    <d v="2023-01-18T00:00:00"/>
    <x v="8"/>
    <x v="2"/>
    <x v="9"/>
    <s v="Net Banking"/>
    <n v="2932"/>
    <x v="1"/>
    <x v="0"/>
    <n v="1"/>
    <n v="5000"/>
    <x v="1"/>
  </r>
  <r>
    <d v="2024-12-17T00:00:00"/>
    <x v="1"/>
    <x v="3"/>
    <x v="6"/>
    <s v="UPI"/>
    <n v="3404"/>
    <x v="1"/>
    <x v="0"/>
    <n v="12"/>
    <n v="1000"/>
    <x v="0"/>
  </r>
  <r>
    <d v="2023-08-15T00:00:00"/>
    <x v="4"/>
    <x v="2"/>
    <x v="0"/>
    <s v="Debit Card"/>
    <n v="2521"/>
    <x v="1"/>
    <x v="0"/>
    <n v="8"/>
    <n v="5000"/>
    <x v="1"/>
  </r>
  <r>
    <d v="2024-10-31T00:00:00"/>
    <x v="0"/>
    <x v="8"/>
    <x v="7"/>
    <s v="Cash"/>
    <n v="614"/>
    <x v="1"/>
    <x v="1"/>
    <n v="10"/>
    <n v="7000"/>
    <x v="1"/>
  </r>
  <r>
    <d v="2023-05-20T00:00:00"/>
    <x v="5"/>
    <x v="0"/>
    <x v="8"/>
    <s v="Cash"/>
    <n v="483"/>
    <x v="0"/>
    <x v="1"/>
    <n v="5"/>
    <n v="2000"/>
    <x v="1"/>
  </r>
  <r>
    <d v="2023-07-02T00:00:00"/>
    <x v="3"/>
    <x v="3"/>
    <x v="3"/>
    <s v="UPI"/>
    <n v="4008"/>
    <x v="1"/>
    <x v="0"/>
    <n v="7"/>
    <n v="1000"/>
    <x v="0"/>
  </r>
  <r>
    <d v="2023-10-12T00:00:00"/>
    <x v="0"/>
    <x v="2"/>
    <x v="0"/>
    <s v="Cash"/>
    <n v="3095"/>
    <x v="1"/>
    <x v="1"/>
    <n v="10"/>
    <n v="5000"/>
    <x v="1"/>
  </r>
  <r>
    <d v="2023-06-14T00:00:00"/>
    <x v="10"/>
    <x v="3"/>
    <x v="8"/>
    <s v="Net Banking"/>
    <n v="519"/>
    <x v="1"/>
    <x v="0"/>
    <n v="6"/>
    <n v="1000"/>
    <x v="1"/>
  </r>
  <r>
    <d v="2024-04-04T00:00:00"/>
    <x v="6"/>
    <x v="3"/>
    <x v="9"/>
    <s v="Net Banking"/>
    <n v="4961"/>
    <x v="1"/>
    <x v="0"/>
    <n v="4"/>
    <n v="1000"/>
    <x v="0"/>
  </r>
  <r>
    <d v="2023-06-06T00:00:00"/>
    <x v="10"/>
    <x v="2"/>
    <x v="1"/>
    <s v="Net Banking"/>
    <n v="3288"/>
    <x v="1"/>
    <x v="0"/>
    <n v="6"/>
    <n v="5000"/>
    <x v="1"/>
  </r>
  <r>
    <d v="2024-10-02T00:00:00"/>
    <x v="0"/>
    <x v="1"/>
    <x v="7"/>
    <s v="Cash"/>
    <n v="2909"/>
    <x v="1"/>
    <x v="1"/>
    <n v="10"/>
    <n v="5000"/>
    <x v="1"/>
  </r>
  <r>
    <d v="2023-06-08T00:00:00"/>
    <x v="10"/>
    <x v="7"/>
    <x v="1"/>
    <s v="UPI"/>
    <n v="3647"/>
    <x v="1"/>
    <x v="0"/>
    <n v="6"/>
    <n v="10000"/>
    <x v="1"/>
  </r>
  <r>
    <d v="2023-03-25T00:00:00"/>
    <x v="2"/>
    <x v="0"/>
    <x v="4"/>
    <s v="Cash"/>
    <n v="1500"/>
    <x v="0"/>
    <x v="1"/>
    <n v="3"/>
    <n v="2000"/>
    <x v="1"/>
  </r>
  <r>
    <d v="2023-06-02T00:00:00"/>
    <x v="10"/>
    <x v="6"/>
    <x v="9"/>
    <s v="Cash"/>
    <n v="1110"/>
    <x v="0"/>
    <x v="1"/>
    <n v="6"/>
    <n v="5500"/>
    <x v="1"/>
  </r>
  <r>
    <d v="2023-11-06T00:00:00"/>
    <x v="11"/>
    <x v="6"/>
    <x v="9"/>
    <s v="Debit Card"/>
    <n v="3067"/>
    <x v="0"/>
    <x v="0"/>
    <n v="11"/>
    <n v="5500"/>
    <x v="1"/>
  </r>
  <r>
    <d v="2023-08-28T00:00:00"/>
    <x v="4"/>
    <x v="7"/>
    <x v="7"/>
    <s v="Net Banking"/>
    <n v="1306"/>
    <x v="1"/>
    <x v="0"/>
    <n v="8"/>
    <n v="10000"/>
    <x v="1"/>
  </r>
  <r>
    <d v="2024-09-27T00:00:00"/>
    <x v="9"/>
    <x v="3"/>
    <x v="6"/>
    <s v="Net Banking"/>
    <n v="4005"/>
    <x v="1"/>
    <x v="0"/>
    <n v="9"/>
    <n v="1000"/>
    <x v="0"/>
  </r>
  <r>
    <d v="2024-06-26T00:00:00"/>
    <x v="10"/>
    <x v="5"/>
    <x v="4"/>
    <s v="Net Banking"/>
    <n v="3186"/>
    <x v="0"/>
    <x v="0"/>
    <n v="6"/>
    <n v="3000"/>
    <x v="0"/>
  </r>
  <r>
    <d v="2024-08-11T00:00:00"/>
    <x v="4"/>
    <x v="5"/>
    <x v="1"/>
    <s v="Debit Card"/>
    <n v="4531"/>
    <x v="0"/>
    <x v="0"/>
    <n v="8"/>
    <n v="3000"/>
    <x v="0"/>
  </r>
  <r>
    <d v="2023-08-17T00:00:00"/>
    <x v="4"/>
    <x v="0"/>
    <x v="8"/>
    <s v="Debit Card"/>
    <n v="2456"/>
    <x v="0"/>
    <x v="0"/>
    <n v="8"/>
    <n v="2000"/>
    <x v="0"/>
  </r>
  <r>
    <d v="2024-12-25T00:00:00"/>
    <x v="1"/>
    <x v="1"/>
    <x v="1"/>
    <s v="UPI"/>
    <n v="1086"/>
    <x v="1"/>
    <x v="0"/>
    <n v="12"/>
    <n v="5000"/>
    <x v="1"/>
  </r>
  <r>
    <d v="2024-05-13T00:00:00"/>
    <x v="5"/>
    <x v="5"/>
    <x v="4"/>
    <s v="Debit Card"/>
    <n v="3159"/>
    <x v="0"/>
    <x v="0"/>
    <n v="5"/>
    <n v="3000"/>
    <x v="0"/>
  </r>
  <r>
    <d v="2023-12-20T00:00:00"/>
    <x v="1"/>
    <x v="5"/>
    <x v="8"/>
    <s v="Net Banking"/>
    <n v="3783"/>
    <x v="0"/>
    <x v="0"/>
    <n v="12"/>
    <n v="3000"/>
    <x v="0"/>
  </r>
  <r>
    <d v="2024-12-02T00:00:00"/>
    <x v="1"/>
    <x v="1"/>
    <x v="6"/>
    <s v="Cash"/>
    <n v="184"/>
    <x v="1"/>
    <x v="1"/>
    <n v="12"/>
    <n v="5000"/>
    <x v="1"/>
  </r>
  <r>
    <d v="2023-10-14T00:00:00"/>
    <x v="0"/>
    <x v="4"/>
    <x v="0"/>
    <s v="Credit Card"/>
    <n v="246"/>
    <x v="1"/>
    <x v="0"/>
    <n v="10"/>
    <n v="4000"/>
    <x v="1"/>
  </r>
  <r>
    <d v="2023-02-04T00:00:00"/>
    <x v="7"/>
    <x v="6"/>
    <x v="0"/>
    <s v="Debit Card"/>
    <n v="4290"/>
    <x v="0"/>
    <x v="0"/>
    <n v="2"/>
    <n v="5500"/>
    <x v="1"/>
  </r>
  <r>
    <d v="2024-04-06T00:00:00"/>
    <x v="6"/>
    <x v="0"/>
    <x v="2"/>
    <s v="Credit Card"/>
    <n v="1191"/>
    <x v="0"/>
    <x v="0"/>
    <n v="4"/>
    <n v="2000"/>
    <x v="1"/>
  </r>
  <r>
    <d v="2023-05-11T00:00:00"/>
    <x v="5"/>
    <x v="6"/>
    <x v="4"/>
    <s v="Net Banking"/>
    <n v="2621"/>
    <x v="0"/>
    <x v="0"/>
    <n v="5"/>
    <n v="5500"/>
    <x v="1"/>
  </r>
  <r>
    <d v="2023-05-12T00:00:00"/>
    <x v="5"/>
    <x v="1"/>
    <x v="8"/>
    <s v="UPI"/>
    <n v="1492"/>
    <x v="1"/>
    <x v="0"/>
    <n v="5"/>
    <n v="5000"/>
    <x v="1"/>
  </r>
  <r>
    <d v="2024-11-26T00:00:00"/>
    <x v="11"/>
    <x v="2"/>
    <x v="4"/>
    <s v="Net Banking"/>
    <n v="4911"/>
    <x v="1"/>
    <x v="0"/>
    <n v="11"/>
    <n v="5000"/>
    <x v="1"/>
  </r>
  <r>
    <d v="2024-01-07T00:00:00"/>
    <x v="8"/>
    <x v="8"/>
    <x v="7"/>
    <s v="Debit Card"/>
    <n v="730"/>
    <x v="1"/>
    <x v="0"/>
    <n v="1"/>
    <n v="7000"/>
    <x v="1"/>
  </r>
  <r>
    <d v="2024-11-08T00:00:00"/>
    <x v="11"/>
    <x v="1"/>
    <x v="3"/>
    <s v="Net Banking"/>
    <n v="3351"/>
    <x v="1"/>
    <x v="0"/>
    <n v="11"/>
    <n v="5000"/>
    <x v="1"/>
  </r>
  <r>
    <d v="2024-10-07T00:00:00"/>
    <x v="0"/>
    <x v="3"/>
    <x v="5"/>
    <s v="Net Banking"/>
    <n v="2509"/>
    <x v="1"/>
    <x v="0"/>
    <n v="10"/>
    <n v="1000"/>
    <x v="0"/>
  </r>
  <r>
    <d v="2023-10-10T00:00:00"/>
    <x v="0"/>
    <x v="3"/>
    <x v="0"/>
    <s v="Credit Card"/>
    <n v="4856"/>
    <x v="1"/>
    <x v="0"/>
    <n v="10"/>
    <n v="1000"/>
    <x v="0"/>
  </r>
  <r>
    <d v="2023-06-14T00:00:00"/>
    <x v="10"/>
    <x v="6"/>
    <x v="4"/>
    <s v="Cash"/>
    <n v="952"/>
    <x v="0"/>
    <x v="1"/>
    <n v="6"/>
    <n v="5500"/>
    <x v="1"/>
  </r>
  <r>
    <d v="2024-01-28T00:00:00"/>
    <x v="8"/>
    <x v="6"/>
    <x v="3"/>
    <s v="Credit Card"/>
    <n v="1174"/>
    <x v="0"/>
    <x v="0"/>
    <n v="1"/>
    <n v="5500"/>
    <x v="1"/>
  </r>
  <r>
    <d v="2023-03-24T00:00:00"/>
    <x v="2"/>
    <x v="5"/>
    <x v="1"/>
    <s v="Cash"/>
    <n v="749"/>
    <x v="0"/>
    <x v="1"/>
    <n v="3"/>
    <n v="3000"/>
    <x v="1"/>
  </r>
  <r>
    <d v="2024-05-04T00:00:00"/>
    <x v="5"/>
    <x v="7"/>
    <x v="7"/>
    <s v="Credit Card"/>
    <n v="1590"/>
    <x v="1"/>
    <x v="0"/>
    <n v="5"/>
    <n v="10000"/>
    <x v="1"/>
  </r>
  <r>
    <d v="2023-03-07T00:00:00"/>
    <x v="2"/>
    <x v="7"/>
    <x v="9"/>
    <s v="UPI"/>
    <n v="3749"/>
    <x v="1"/>
    <x v="0"/>
    <n v="3"/>
    <n v="10000"/>
    <x v="1"/>
  </r>
  <r>
    <d v="2024-02-09T00:00:00"/>
    <x v="7"/>
    <x v="0"/>
    <x v="5"/>
    <s v="Net Banking"/>
    <n v="3346"/>
    <x v="0"/>
    <x v="0"/>
    <n v="2"/>
    <n v="2000"/>
    <x v="0"/>
  </r>
  <r>
    <d v="2024-03-28T00:00:00"/>
    <x v="2"/>
    <x v="1"/>
    <x v="3"/>
    <s v="UPI"/>
    <n v="4781"/>
    <x v="1"/>
    <x v="0"/>
    <n v="3"/>
    <n v="5000"/>
    <x v="1"/>
  </r>
  <r>
    <d v="2023-10-27T00:00:00"/>
    <x v="0"/>
    <x v="6"/>
    <x v="6"/>
    <s v="Debit Card"/>
    <n v="1301"/>
    <x v="0"/>
    <x v="0"/>
    <n v="10"/>
    <n v="5500"/>
    <x v="1"/>
  </r>
  <r>
    <d v="2024-11-28T00:00:00"/>
    <x v="11"/>
    <x v="5"/>
    <x v="0"/>
    <s v="Cash"/>
    <n v="605"/>
    <x v="0"/>
    <x v="1"/>
    <n v="11"/>
    <n v="3000"/>
    <x v="1"/>
  </r>
  <r>
    <d v="2023-06-12T00:00:00"/>
    <x v="10"/>
    <x v="7"/>
    <x v="1"/>
    <s v="Debit Card"/>
    <n v="4191"/>
    <x v="1"/>
    <x v="0"/>
    <n v="6"/>
    <n v="10000"/>
    <x v="1"/>
  </r>
  <r>
    <d v="2024-11-08T00:00:00"/>
    <x v="11"/>
    <x v="8"/>
    <x v="6"/>
    <s v="UPI"/>
    <n v="1250"/>
    <x v="1"/>
    <x v="0"/>
    <n v="11"/>
    <n v="7000"/>
    <x v="1"/>
  </r>
  <r>
    <d v="2023-11-06T00:00:00"/>
    <x v="11"/>
    <x v="6"/>
    <x v="5"/>
    <s v="Net Banking"/>
    <n v="4550"/>
    <x v="0"/>
    <x v="0"/>
    <n v="11"/>
    <n v="5500"/>
    <x v="1"/>
  </r>
  <r>
    <d v="2023-02-01T00:00:00"/>
    <x v="7"/>
    <x v="2"/>
    <x v="8"/>
    <s v="Debit Card"/>
    <n v="836"/>
    <x v="1"/>
    <x v="0"/>
    <n v="2"/>
    <n v="5000"/>
    <x v="1"/>
  </r>
  <r>
    <d v="2024-04-06T00:00:00"/>
    <x v="6"/>
    <x v="6"/>
    <x v="6"/>
    <s v="Credit Card"/>
    <n v="1183"/>
    <x v="0"/>
    <x v="0"/>
    <n v="4"/>
    <n v="5500"/>
    <x v="1"/>
  </r>
  <r>
    <d v="2023-10-02T00:00:00"/>
    <x v="0"/>
    <x v="7"/>
    <x v="5"/>
    <s v="UPI"/>
    <n v="4636"/>
    <x v="1"/>
    <x v="0"/>
    <n v="10"/>
    <n v="10000"/>
    <x v="1"/>
  </r>
  <r>
    <d v="2024-06-30T00:00:00"/>
    <x v="10"/>
    <x v="2"/>
    <x v="9"/>
    <s v="Credit Card"/>
    <n v="4481"/>
    <x v="1"/>
    <x v="0"/>
    <n v="6"/>
    <n v="5000"/>
    <x v="1"/>
  </r>
  <r>
    <d v="2024-11-17T00:00:00"/>
    <x v="11"/>
    <x v="1"/>
    <x v="7"/>
    <s v="Credit Card"/>
    <n v="269"/>
    <x v="1"/>
    <x v="0"/>
    <n v="11"/>
    <n v="5000"/>
    <x v="1"/>
  </r>
  <r>
    <d v="2023-10-25T00:00:00"/>
    <x v="0"/>
    <x v="8"/>
    <x v="1"/>
    <s v="Net Banking"/>
    <n v="2201"/>
    <x v="1"/>
    <x v="0"/>
    <n v="10"/>
    <n v="7000"/>
    <x v="1"/>
  </r>
  <r>
    <d v="2023-07-30T00:00:00"/>
    <x v="3"/>
    <x v="3"/>
    <x v="3"/>
    <s v="Debit Card"/>
    <n v="3951"/>
    <x v="1"/>
    <x v="0"/>
    <n v="7"/>
    <n v="1000"/>
    <x v="0"/>
  </r>
  <r>
    <d v="2023-12-30T00:00:00"/>
    <x v="1"/>
    <x v="3"/>
    <x v="8"/>
    <s v="Cash"/>
    <n v="1608"/>
    <x v="1"/>
    <x v="1"/>
    <n v="12"/>
    <n v="1000"/>
    <x v="0"/>
  </r>
  <r>
    <d v="2024-09-10T00:00:00"/>
    <x v="9"/>
    <x v="6"/>
    <x v="4"/>
    <s v="Cash"/>
    <n v="4368"/>
    <x v="0"/>
    <x v="1"/>
    <n v="9"/>
    <n v="5500"/>
    <x v="1"/>
  </r>
  <r>
    <d v="2024-12-16T00:00:00"/>
    <x v="1"/>
    <x v="0"/>
    <x v="3"/>
    <s v="Credit Card"/>
    <n v="1519"/>
    <x v="0"/>
    <x v="0"/>
    <n v="12"/>
    <n v="2000"/>
    <x v="1"/>
  </r>
  <r>
    <d v="2023-08-03T00:00:00"/>
    <x v="4"/>
    <x v="0"/>
    <x v="6"/>
    <s v="Net Banking"/>
    <n v="4066"/>
    <x v="0"/>
    <x v="0"/>
    <n v="8"/>
    <n v="2000"/>
    <x v="0"/>
  </r>
  <r>
    <d v="2024-08-21T00:00:00"/>
    <x v="4"/>
    <x v="2"/>
    <x v="6"/>
    <s v="Debit Card"/>
    <n v="716"/>
    <x v="1"/>
    <x v="0"/>
    <n v="8"/>
    <n v="5000"/>
    <x v="1"/>
  </r>
  <r>
    <d v="2024-04-28T00:00:00"/>
    <x v="6"/>
    <x v="3"/>
    <x v="3"/>
    <s v="Debit Card"/>
    <n v="3853"/>
    <x v="1"/>
    <x v="0"/>
    <n v="4"/>
    <n v="1000"/>
    <x v="0"/>
  </r>
  <r>
    <d v="2024-11-03T00:00:00"/>
    <x v="11"/>
    <x v="4"/>
    <x v="0"/>
    <s v="Cash"/>
    <n v="1995"/>
    <x v="1"/>
    <x v="1"/>
    <n v="11"/>
    <n v="4000"/>
    <x v="1"/>
  </r>
  <r>
    <d v="2023-08-10T00:00:00"/>
    <x v="4"/>
    <x v="3"/>
    <x v="7"/>
    <s v="Cash"/>
    <n v="2548"/>
    <x v="1"/>
    <x v="1"/>
    <n v="8"/>
    <n v="1000"/>
    <x v="0"/>
  </r>
  <r>
    <d v="2023-05-26T00:00:00"/>
    <x v="5"/>
    <x v="7"/>
    <x v="4"/>
    <s v="Credit Card"/>
    <n v="3367"/>
    <x v="1"/>
    <x v="0"/>
    <n v="5"/>
    <n v="10000"/>
    <x v="1"/>
  </r>
  <r>
    <d v="2023-07-16T00:00:00"/>
    <x v="3"/>
    <x v="8"/>
    <x v="9"/>
    <s v="Cash"/>
    <n v="2953"/>
    <x v="1"/>
    <x v="1"/>
    <n v="7"/>
    <n v="7000"/>
    <x v="1"/>
  </r>
  <r>
    <d v="2023-07-15T00:00:00"/>
    <x v="3"/>
    <x v="7"/>
    <x v="3"/>
    <s v="UPI"/>
    <n v="2398"/>
    <x v="1"/>
    <x v="0"/>
    <n v="7"/>
    <n v="10000"/>
    <x v="1"/>
  </r>
  <r>
    <d v="2024-04-07T00:00:00"/>
    <x v="6"/>
    <x v="7"/>
    <x v="0"/>
    <s v="UPI"/>
    <n v="1243"/>
    <x v="1"/>
    <x v="0"/>
    <n v="4"/>
    <n v="10000"/>
    <x v="1"/>
  </r>
  <r>
    <d v="2024-07-23T00:00:00"/>
    <x v="3"/>
    <x v="5"/>
    <x v="7"/>
    <s v="UPI"/>
    <n v="3579"/>
    <x v="0"/>
    <x v="0"/>
    <n v="7"/>
    <n v="3000"/>
    <x v="0"/>
  </r>
  <r>
    <d v="2023-05-21T00:00:00"/>
    <x v="5"/>
    <x v="8"/>
    <x v="8"/>
    <s v="Cash"/>
    <n v="2396"/>
    <x v="1"/>
    <x v="1"/>
    <n v="5"/>
    <n v="7000"/>
    <x v="1"/>
  </r>
  <r>
    <d v="2024-10-21T00:00:00"/>
    <x v="0"/>
    <x v="5"/>
    <x v="1"/>
    <s v="Net Banking"/>
    <n v="2109"/>
    <x v="0"/>
    <x v="0"/>
    <n v="10"/>
    <n v="3000"/>
    <x v="1"/>
  </r>
  <r>
    <d v="2024-10-23T00:00:00"/>
    <x v="0"/>
    <x v="1"/>
    <x v="4"/>
    <s v="UPI"/>
    <n v="3853"/>
    <x v="1"/>
    <x v="0"/>
    <n v="10"/>
    <n v="5000"/>
    <x v="1"/>
  </r>
  <r>
    <d v="2023-06-06T00:00:00"/>
    <x v="10"/>
    <x v="2"/>
    <x v="1"/>
    <s v="Credit Card"/>
    <n v="776"/>
    <x v="1"/>
    <x v="0"/>
    <n v="6"/>
    <n v="5000"/>
    <x v="1"/>
  </r>
  <r>
    <d v="2023-08-08T00:00:00"/>
    <x v="4"/>
    <x v="7"/>
    <x v="2"/>
    <s v="Debit Card"/>
    <n v="176"/>
    <x v="1"/>
    <x v="0"/>
    <n v="8"/>
    <n v="10000"/>
    <x v="1"/>
  </r>
  <r>
    <d v="2024-06-05T00:00:00"/>
    <x v="10"/>
    <x v="2"/>
    <x v="7"/>
    <s v="Net Banking"/>
    <n v="1327"/>
    <x v="1"/>
    <x v="0"/>
    <n v="6"/>
    <n v="5000"/>
    <x v="1"/>
  </r>
  <r>
    <d v="2023-08-02T00:00:00"/>
    <x v="4"/>
    <x v="4"/>
    <x v="1"/>
    <s v="Net Banking"/>
    <n v="1142"/>
    <x v="1"/>
    <x v="0"/>
    <n v="8"/>
    <n v="4000"/>
    <x v="1"/>
  </r>
  <r>
    <d v="2024-12-20T00:00:00"/>
    <x v="1"/>
    <x v="0"/>
    <x v="0"/>
    <s v="Debit Card"/>
    <n v="4382"/>
    <x v="0"/>
    <x v="0"/>
    <n v="12"/>
    <n v="2000"/>
    <x v="0"/>
  </r>
  <r>
    <d v="2024-05-14T00:00:00"/>
    <x v="5"/>
    <x v="1"/>
    <x v="6"/>
    <s v="Debit Card"/>
    <n v="4545"/>
    <x v="1"/>
    <x v="0"/>
    <n v="5"/>
    <n v="5000"/>
    <x v="1"/>
  </r>
  <r>
    <d v="2024-05-16T00:00:00"/>
    <x v="5"/>
    <x v="2"/>
    <x v="6"/>
    <s v="UPI"/>
    <n v="430"/>
    <x v="1"/>
    <x v="0"/>
    <n v="5"/>
    <n v="5000"/>
    <x v="1"/>
  </r>
  <r>
    <d v="2023-02-08T00:00:00"/>
    <x v="7"/>
    <x v="4"/>
    <x v="8"/>
    <s v="UPI"/>
    <n v="2508"/>
    <x v="1"/>
    <x v="0"/>
    <n v="2"/>
    <n v="4000"/>
    <x v="1"/>
  </r>
  <r>
    <d v="2023-06-29T00:00:00"/>
    <x v="10"/>
    <x v="6"/>
    <x v="9"/>
    <s v="Credit Card"/>
    <n v="1414"/>
    <x v="0"/>
    <x v="0"/>
    <n v="6"/>
    <n v="5500"/>
    <x v="1"/>
  </r>
  <r>
    <d v="2023-07-22T00:00:00"/>
    <x v="3"/>
    <x v="5"/>
    <x v="6"/>
    <s v="Credit Card"/>
    <n v="362"/>
    <x v="0"/>
    <x v="0"/>
    <n v="7"/>
    <n v="3000"/>
    <x v="1"/>
  </r>
  <r>
    <d v="2024-12-22T00:00:00"/>
    <x v="1"/>
    <x v="4"/>
    <x v="8"/>
    <s v="Debit Card"/>
    <n v="1719"/>
    <x v="1"/>
    <x v="0"/>
    <n v="12"/>
    <n v="4000"/>
    <x v="1"/>
  </r>
  <r>
    <d v="2024-05-16T00:00:00"/>
    <x v="5"/>
    <x v="8"/>
    <x v="3"/>
    <s v="Credit Card"/>
    <n v="3146"/>
    <x v="1"/>
    <x v="0"/>
    <n v="5"/>
    <n v="7000"/>
    <x v="1"/>
  </r>
  <r>
    <d v="2024-06-12T00:00:00"/>
    <x v="10"/>
    <x v="5"/>
    <x v="8"/>
    <s v="Cash"/>
    <n v="2810"/>
    <x v="0"/>
    <x v="1"/>
    <n v="6"/>
    <n v="3000"/>
    <x v="1"/>
  </r>
  <r>
    <d v="2023-07-07T00:00:00"/>
    <x v="3"/>
    <x v="4"/>
    <x v="2"/>
    <s v="Debit Card"/>
    <n v="4465"/>
    <x v="1"/>
    <x v="0"/>
    <n v="7"/>
    <n v="4000"/>
    <x v="0"/>
  </r>
  <r>
    <d v="2024-08-18T00:00:00"/>
    <x v="4"/>
    <x v="7"/>
    <x v="0"/>
    <s v="Net Banking"/>
    <n v="2497"/>
    <x v="1"/>
    <x v="0"/>
    <n v="8"/>
    <n v="10000"/>
    <x v="1"/>
  </r>
  <r>
    <d v="2023-07-04T00:00:00"/>
    <x v="3"/>
    <x v="4"/>
    <x v="4"/>
    <s v="Credit Card"/>
    <n v="2820"/>
    <x v="1"/>
    <x v="0"/>
    <n v="7"/>
    <n v="4000"/>
    <x v="1"/>
  </r>
  <r>
    <d v="2024-01-07T00:00:00"/>
    <x v="8"/>
    <x v="1"/>
    <x v="0"/>
    <s v="Debit Card"/>
    <n v="4242"/>
    <x v="1"/>
    <x v="0"/>
    <n v="1"/>
    <n v="5000"/>
    <x v="1"/>
  </r>
  <r>
    <d v="2023-01-25T00:00:00"/>
    <x v="8"/>
    <x v="1"/>
    <x v="3"/>
    <s v="Cash"/>
    <n v="4771"/>
    <x v="1"/>
    <x v="1"/>
    <n v="1"/>
    <n v="5000"/>
    <x v="1"/>
  </r>
  <r>
    <d v="2024-03-31T00:00:00"/>
    <x v="2"/>
    <x v="1"/>
    <x v="6"/>
    <s v="Debit Card"/>
    <n v="308"/>
    <x v="1"/>
    <x v="0"/>
    <n v="3"/>
    <n v="5000"/>
    <x v="1"/>
  </r>
  <r>
    <d v="2024-11-10T00:00:00"/>
    <x v="11"/>
    <x v="5"/>
    <x v="9"/>
    <s v="UPI"/>
    <n v="4687"/>
    <x v="0"/>
    <x v="0"/>
    <n v="11"/>
    <n v="3000"/>
    <x v="0"/>
  </r>
  <r>
    <d v="2024-04-28T00:00:00"/>
    <x v="6"/>
    <x v="2"/>
    <x v="8"/>
    <s v="Credit Card"/>
    <n v="2102"/>
    <x v="1"/>
    <x v="0"/>
    <n v="4"/>
    <n v="5000"/>
    <x v="1"/>
  </r>
  <r>
    <d v="2024-11-20T00:00:00"/>
    <x v="11"/>
    <x v="4"/>
    <x v="0"/>
    <s v="UPI"/>
    <n v="4490"/>
    <x v="1"/>
    <x v="0"/>
    <n v="11"/>
    <n v="4000"/>
    <x v="0"/>
  </r>
  <r>
    <d v="2024-11-01T00:00:00"/>
    <x v="11"/>
    <x v="5"/>
    <x v="3"/>
    <s v="Net Banking"/>
    <n v="3477"/>
    <x v="0"/>
    <x v="0"/>
    <n v="11"/>
    <n v="3000"/>
    <x v="0"/>
  </r>
  <r>
    <d v="2023-08-20T00:00:00"/>
    <x v="4"/>
    <x v="6"/>
    <x v="9"/>
    <s v="Net Banking"/>
    <n v="944"/>
    <x v="0"/>
    <x v="0"/>
    <n v="8"/>
    <n v="5500"/>
    <x v="1"/>
  </r>
  <r>
    <d v="2024-12-18T00:00:00"/>
    <x v="1"/>
    <x v="7"/>
    <x v="8"/>
    <s v="Cash"/>
    <n v="2101"/>
    <x v="1"/>
    <x v="1"/>
    <n v="12"/>
    <n v="10000"/>
    <x v="1"/>
  </r>
  <r>
    <d v="2023-11-22T00:00:00"/>
    <x v="11"/>
    <x v="4"/>
    <x v="3"/>
    <s v="Debit Card"/>
    <n v="2510"/>
    <x v="1"/>
    <x v="0"/>
    <n v="11"/>
    <n v="4000"/>
    <x v="1"/>
  </r>
  <r>
    <d v="2023-01-09T00:00:00"/>
    <x v="8"/>
    <x v="7"/>
    <x v="5"/>
    <s v="UPI"/>
    <n v="396"/>
    <x v="1"/>
    <x v="0"/>
    <n v="1"/>
    <n v="10000"/>
    <x v="1"/>
  </r>
  <r>
    <d v="2023-08-20T00:00:00"/>
    <x v="4"/>
    <x v="5"/>
    <x v="7"/>
    <s v="UPI"/>
    <n v="2404"/>
    <x v="0"/>
    <x v="0"/>
    <n v="8"/>
    <n v="3000"/>
    <x v="1"/>
  </r>
  <r>
    <d v="2023-03-28T00:00:00"/>
    <x v="2"/>
    <x v="5"/>
    <x v="7"/>
    <s v="Cash"/>
    <n v="1026"/>
    <x v="0"/>
    <x v="1"/>
    <n v="3"/>
    <n v="3000"/>
    <x v="1"/>
  </r>
  <r>
    <d v="2024-11-29T00:00:00"/>
    <x v="11"/>
    <x v="1"/>
    <x v="2"/>
    <s v="Net Banking"/>
    <n v="2110"/>
    <x v="1"/>
    <x v="0"/>
    <n v="11"/>
    <n v="5000"/>
    <x v="1"/>
  </r>
  <r>
    <d v="2023-04-26T00:00:00"/>
    <x v="6"/>
    <x v="3"/>
    <x v="2"/>
    <s v="UPI"/>
    <n v="1777"/>
    <x v="1"/>
    <x v="0"/>
    <n v="4"/>
    <n v="1000"/>
    <x v="0"/>
  </r>
  <r>
    <d v="2023-11-17T00:00:00"/>
    <x v="11"/>
    <x v="5"/>
    <x v="6"/>
    <s v="UPI"/>
    <n v="325"/>
    <x v="0"/>
    <x v="0"/>
    <n v="11"/>
    <n v="3000"/>
    <x v="1"/>
  </r>
  <r>
    <d v="2024-02-26T00:00:00"/>
    <x v="7"/>
    <x v="5"/>
    <x v="7"/>
    <s v="Cash"/>
    <n v="800"/>
    <x v="0"/>
    <x v="1"/>
    <n v="2"/>
    <n v="3000"/>
    <x v="1"/>
  </r>
  <r>
    <d v="2024-09-05T00:00:00"/>
    <x v="9"/>
    <x v="2"/>
    <x v="8"/>
    <s v="Debit Card"/>
    <n v="4390"/>
    <x v="1"/>
    <x v="0"/>
    <n v="9"/>
    <n v="5000"/>
    <x v="1"/>
  </r>
  <r>
    <d v="2023-01-08T00:00:00"/>
    <x v="8"/>
    <x v="8"/>
    <x v="4"/>
    <s v="UPI"/>
    <n v="3345"/>
    <x v="1"/>
    <x v="0"/>
    <n v="1"/>
    <n v="7000"/>
    <x v="1"/>
  </r>
  <r>
    <d v="2023-03-11T00:00:00"/>
    <x v="2"/>
    <x v="5"/>
    <x v="7"/>
    <s v="Net Banking"/>
    <n v="3078"/>
    <x v="0"/>
    <x v="0"/>
    <n v="3"/>
    <n v="3000"/>
    <x v="0"/>
  </r>
  <r>
    <d v="2024-11-04T00:00:00"/>
    <x v="11"/>
    <x v="0"/>
    <x v="5"/>
    <s v="Debit Card"/>
    <n v="1210"/>
    <x v="0"/>
    <x v="0"/>
    <n v="11"/>
    <n v="2000"/>
    <x v="1"/>
  </r>
  <r>
    <d v="2023-02-05T00:00:00"/>
    <x v="7"/>
    <x v="1"/>
    <x v="5"/>
    <s v="UPI"/>
    <n v="1476"/>
    <x v="1"/>
    <x v="0"/>
    <n v="2"/>
    <n v="5000"/>
    <x v="1"/>
  </r>
  <r>
    <d v="2023-06-04T00:00:00"/>
    <x v="10"/>
    <x v="4"/>
    <x v="3"/>
    <s v="Cash"/>
    <n v="2241"/>
    <x v="1"/>
    <x v="1"/>
    <n v="6"/>
    <n v="4000"/>
    <x v="1"/>
  </r>
  <r>
    <d v="2024-06-20T00:00:00"/>
    <x v="10"/>
    <x v="1"/>
    <x v="1"/>
    <s v="Credit Card"/>
    <n v="2149"/>
    <x v="1"/>
    <x v="0"/>
    <n v="6"/>
    <n v="5000"/>
    <x v="1"/>
  </r>
  <r>
    <d v="2023-05-13T00:00:00"/>
    <x v="5"/>
    <x v="8"/>
    <x v="0"/>
    <s v="UPI"/>
    <n v="4738"/>
    <x v="1"/>
    <x v="0"/>
    <n v="5"/>
    <n v="7000"/>
    <x v="1"/>
  </r>
  <r>
    <d v="2024-08-03T00:00:00"/>
    <x v="4"/>
    <x v="7"/>
    <x v="8"/>
    <s v="Credit Card"/>
    <n v="1036"/>
    <x v="1"/>
    <x v="0"/>
    <n v="8"/>
    <n v="10000"/>
    <x v="1"/>
  </r>
  <r>
    <d v="2023-09-19T00:00:00"/>
    <x v="9"/>
    <x v="0"/>
    <x v="1"/>
    <s v="UPI"/>
    <n v="3119"/>
    <x v="0"/>
    <x v="0"/>
    <n v="9"/>
    <n v="2000"/>
    <x v="0"/>
  </r>
  <r>
    <d v="2024-09-13T00:00:00"/>
    <x v="9"/>
    <x v="1"/>
    <x v="1"/>
    <s v="Net Banking"/>
    <n v="1597"/>
    <x v="1"/>
    <x v="0"/>
    <n v="9"/>
    <n v="5000"/>
    <x v="1"/>
  </r>
  <r>
    <d v="2023-05-08T00:00:00"/>
    <x v="5"/>
    <x v="6"/>
    <x v="0"/>
    <s v="Net Banking"/>
    <n v="2458"/>
    <x v="0"/>
    <x v="0"/>
    <n v="5"/>
    <n v="5500"/>
    <x v="1"/>
  </r>
  <r>
    <d v="2023-09-01T00:00:00"/>
    <x v="9"/>
    <x v="5"/>
    <x v="4"/>
    <s v="Net Banking"/>
    <n v="1181"/>
    <x v="0"/>
    <x v="0"/>
    <n v="9"/>
    <n v="3000"/>
    <x v="1"/>
  </r>
  <r>
    <d v="2024-05-27T00:00:00"/>
    <x v="5"/>
    <x v="6"/>
    <x v="0"/>
    <s v="UPI"/>
    <n v="4783"/>
    <x v="0"/>
    <x v="0"/>
    <n v="5"/>
    <n v="5500"/>
    <x v="1"/>
  </r>
  <r>
    <d v="2023-03-01T00:00:00"/>
    <x v="2"/>
    <x v="6"/>
    <x v="7"/>
    <s v="Cash"/>
    <n v="4047"/>
    <x v="0"/>
    <x v="1"/>
    <n v="3"/>
    <n v="5500"/>
    <x v="1"/>
  </r>
  <r>
    <d v="2023-10-25T00:00:00"/>
    <x v="0"/>
    <x v="6"/>
    <x v="0"/>
    <s v="Net Banking"/>
    <n v="4569"/>
    <x v="0"/>
    <x v="0"/>
    <n v="10"/>
    <n v="5500"/>
    <x v="1"/>
  </r>
  <r>
    <d v="2024-05-16T00:00:00"/>
    <x v="5"/>
    <x v="8"/>
    <x v="3"/>
    <s v="Net Banking"/>
    <n v="3695"/>
    <x v="1"/>
    <x v="0"/>
    <n v="5"/>
    <n v="7000"/>
    <x v="1"/>
  </r>
  <r>
    <d v="2023-10-25T00:00:00"/>
    <x v="0"/>
    <x v="4"/>
    <x v="3"/>
    <s v="Credit Card"/>
    <n v="2035"/>
    <x v="1"/>
    <x v="0"/>
    <n v="10"/>
    <n v="4000"/>
    <x v="1"/>
  </r>
  <r>
    <d v="2024-03-04T00:00:00"/>
    <x v="2"/>
    <x v="4"/>
    <x v="7"/>
    <s v="Credit Card"/>
    <n v="3066"/>
    <x v="1"/>
    <x v="0"/>
    <n v="3"/>
    <n v="4000"/>
    <x v="1"/>
  </r>
  <r>
    <d v="2024-02-28T00:00:00"/>
    <x v="7"/>
    <x v="5"/>
    <x v="7"/>
    <s v="Credit Card"/>
    <n v="1652"/>
    <x v="0"/>
    <x v="0"/>
    <n v="2"/>
    <n v="3000"/>
    <x v="1"/>
  </r>
  <r>
    <d v="2023-06-25T00:00:00"/>
    <x v="10"/>
    <x v="1"/>
    <x v="4"/>
    <s v="Cash"/>
    <n v="1096"/>
    <x v="1"/>
    <x v="1"/>
    <n v="6"/>
    <n v="5000"/>
    <x v="1"/>
  </r>
  <r>
    <d v="2023-12-01T00:00:00"/>
    <x v="1"/>
    <x v="5"/>
    <x v="2"/>
    <s v="Cash"/>
    <n v="3724"/>
    <x v="0"/>
    <x v="1"/>
    <n v="12"/>
    <n v="3000"/>
    <x v="0"/>
  </r>
  <r>
    <d v="2023-10-04T00:00:00"/>
    <x v="0"/>
    <x v="7"/>
    <x v="0"/>
    <s v="Net Banking"/>
    <n v="756"/>
    <x v="1"/>
    <x v="0"/>
    <n v="10"/>
    <n v="10000"/>
    <x v="1"/>
  </r>
  <r>
    <d v="2024-10-02T00:00:00"/>
    <x v="0"/>
    <x v="2"/>
    <x v="1"/>
    <s v="UPI"/>
    <n v="4686"/>
    <x v="1"/>
    <x v="0"/>
    <n v="10"/>
    <n v="5000"/>
    <x v="1"/>
  </r>
  <r>
    <d v="2023-03-09T00:00:00"/>
    <x v="2"/>
    <x v="1"/>
    <x v="8"/>
    <s v="Credit Card"/>
    <n v="313"/>
    <x v="1"/>
    <x v="0"/>
    <n v="3"/>
    <n v="5000"/>
    <x v="1"/>
  </r>
  <r>
    <d v="2024-11-12T00:00:00"/>
    <x v="11"/>
    <x v="1"/>
    <x v="1"/>
    <s v="Cash"/>
    <n v="3595"/>
    <x v="1"/>
    <x v="1"/>
    <n v="11"/>
    <n v="5000"/>
    <x v="1"/>
  </r>
  <r>
    <d v="2023-11-10T00:00:00"/>
    <x v="11"/>
    <x v="1"/>
    <x v="5"/>
    <s v="Credit Card"/>
    <n v="1834"/>
    <x v="1"/>
    <x v="0"/>
    <n v="11"/>
    <n v="5000"/>
    <x v="1"/>
  </r>
  <r>
    <d v="2023-06-03T00:00:00"/>
    <x v="10"/>
    <x v="6"/>
    <x v="3"/>
    <s v="UPI"/>
    <n v="1929"/>
    <x v="0"/>
    <x v="0"/>
    <n v="6"/>
    <n v="5500"/>
    <x v="1"/>
  </r>
  <r>
    <d v="2023-09-26T00:00:00"/>
    <x v="9"/>
    <x v="4"/>
    <x v="5"/>
    <s v="Debit Card"/>
    <n v="4973"/>
    <x v="1"/>
    <x v="0"/>
    <n v="9"/>
    <n v="4000"/>
    <x v="0"/>
  </r>
  <r>
    <d v="2023-06-23T00:00:00"/>
    <x v="10"/>
    <x v="2"/>
    <x v="3"/>
    <s v="Debit Card"/>
    <n v="806"/>
    <x v="1"/>
    <x v="0"/>
    <n v="6"/>
    <n v="5000"/>
    <x v="1"/>
  </r>
  <r>
    <d v="2023-07-28T00:00:00"/>
    <x v="3"/>
    <x v="3"/>
    <x v="3"/>
    <s v="Cash"/>
    <n v="3301"/>
    <x v="1"/>
    <x v="1"/>
    <n v="7"/>
    <n v="1000"/>
    <x v="0"/>
  </r>
  <r>
    <d v="2024-04-28T00:00:00"/>
    <x v="6"/>
    <x v="8"/>
    <x v="7"/>
    <s v="Net Banking"/>
    <n v="4181"/>
    <x v="1"/>
    <x v="0"/>
    <n v="4"/>
    <n v="7000"/>
    <x v="1"/>
  </r>
  <r>
    <d v="2023-10-07T00:00:00"/>
    <x v="0"/>
    <x v="3"/>
    <x v="5"/>
    <s v="Net Banking"/>
    <n v="2460"/>
    <x v="1"/>
    <x v="0"/>
    <n v="10"/>
    <n v="1000"/>
    <x v="0"/>
  </r>
  <r>
    <d v="2023-05-11T00:00:00"/>
    <x v="5"/>
    <x v="3"/>
    <x v="4"/>
    <s v="Debit Card"/>
    <n v="165"/>
    <x v="1"/>
    <x v="0"/>
    <n v="5"/>
    <n v="1000"/>
    <x v="1"/>
  </r>
  <r>
    <d v="2024-06-17T00:00:00"/>
    <x v="10"/>
    <x v="1"/>
    <x v="3"/>
    <s v="UPI"/>
    <n v="2949"/>
    <x v="1"/>
    <x v="0"/>
    <n v="6"/>
    <n v="5000"/>
    <x v="1"/>
  </r>
  <r>
    <d v="2024-04-26T00:00:00"/>
    <x v="6"/>
    <x v="6"/>
    <x v="5"/>
    <s v="Net Banking"/>
    <n v="710"/>
    <x v="0"/>
    <x v="0"/>
    <n v="4"/>
    <n v="5500"/>
    <x v="1"/>
  </r>
  <r>
    <d v="2023-06-29T00:00:00"/>
    <x v="10"/>
    <x v="6"/>
    <x v="6"/>
    <s v="Cash"/>
    <n v="3393"/>
    <x v="0"/>
    <x v="1"/>
    <n v="6"/>
    <n v="5500"/>
    <x v="1"/>
  </r>
  <r>
    <d v="2023-08-04T00:00:00"/>
    <x v="4"/>
    <x v="1"/>
    <x v="0"/>
    <s v="Cash"/>
    <n v="2552"/>
    <x v="1"/>
    <x v="1"/>
    <n v="8"/>
    <n v="5000"/>
    <x v="1"/>
  </r>
  <r>
    <d v="2023-10-30T00:00:00"/>
    <x v="0"/>
    <x v="1"/>
    <x v="6"/>
    <s v="Net Banking"/>
    <n v="672"/>
    <x v="1"/>
    <x v="0"/>
    <n v="10"/>
    <n v="5000"/>
    <x v="1"/>
  </r>
  <r>
    <d v="2023-11-19T00:00:00"/>
    <x v="11"/>
    <x v="5"/>
    <x v="5"/>
    <s v="Cash"/>
    <n v="1087"/>
    <x v="0"/>
    <x v="1"/>
    <n v="11"/>
    <n v="3000"/>
    <x v="1"/>
  </r>
  <r>
    <d v="2023-08-05T00:00:00"/>
    <x v="4"/>
    <x v="2"/>
    <x v="0"/>
    <s v="UPI"/>
    <n v="4008"/>
    <x v="1"/>
    <x v="0"/>
    <n v="8"/>
    <n v="5000"/>
    <x v="1"/>
  </r>
  <r>
    <d v="2023-12-09T00:00:00"/>
    <x v="1"/>
    <x v="0"/>
    <x v="8"/>
    <s v="Credit Card"/>
    <n v="2710"/>
    <x v="0"/>
    <x v="0"/>
    <n v="12"/>
    <n v="2000"/>
    <x v="0"/>
  </r>
  <r>
    <d v="2023-12-26T00:00:00"/>
    <x v="1"/>
    <x v="2"/>
    <x v="2"/>
    <s v="Net Banking"/>
    <n v="4458"/>
    <x v="1"/>
    <x v="0"/>
    <n v="12"/>
    <n v="5000"/>
    <x v="1"/>
  </r>
  <r>
    <d v="2023-09-04T00:00:00"/>
    <x v="9"/>
    <x v="2"/>
    <x v="0"/>
    <s v="Cash"/>
    <n v="1737"/>
    <x v="1"/>
    <x v="1"/>
    <n v="9"/>
    <n v="5000"/>
    <x v="1"/>
  </r>
  <r>
    <d v="2024-08-19T00:00:00"/>
    <x v="4"/>
    <x v="3"/>
    <x v="6"/>
    <s v="Credit Card"/>
    <n v="1110"/>
    <x v="1"/>
    <x v="0"/>
    <n v="8"/>
    <n v="1000"/>
    <x v="0"/>
  </r>
  <r>
    <d v="2023-06-22T00:00:00"/>
    <x v="10"/>
    <x v="7"/>
    <x v="2"/>
    <s v="Net Banking"/>
    <n v="1225"/>
    <x v="1"/>
    <x v="0"/>
    <n v="6"/>
    <n v="10000"/>
    <x v="1"/>
  </r>
  <r>
    <d v="2024-11-08T00:00:00"/>
    <x v="11"/>
    <x v="5"/>
    <x v="3"/>
    <s v="Cash"/>
    <n v="2215"/>
    <x v="0"/>
    <x v="1"/>
    <n v="11"/>
    <n v="3000"/>
    <x v="1"/>
  </r>
  <r>
    <d v="2023-02-21T00:00:00"/>
    <x v="7"/>
    <x v="5"/>
    <x v="9"/>
    <s v="UPI"/>
    <n v="3342"/>
    <x v="0"/>
    <x v="0"/>
    <n v="2"/>
    <n v="3000"/>
    <x v="0"/>
  </r>
  <r>
    <d v="2023-05-01T00:00:00"/>
    <x v="5"/>
    <x v="0"/>
    <x v="4"/>
    <s v="Net Banking"/>
    <n v="117"/>
    <x v="0"/>
    <x v="0"/>
    <n v="5"/>
    <n v="2000"/>
    <x v="1"/>
  </r>
  <r>
    <d v="2023-07-19T00:00:00"/>
    <x v="3"/>
    <x v="5"/>
    <x v="1"/>
    <s v="Credit Card"/>
    <n v="2096"/>
    <x v="0"/>
    <x v="0"/>
    <n v="7"/>
    <n v="3000"/>
    <x v="1"/>
  </r>
  <r>
    <d v="2024-09-27T00:00:00"/>
    <x v="9"/>
    <x v="4"/>
    <x v="0"/>
    <s v="Cash"/>
    <n v="4463"/>
    <x v="1"/>
    <x v="1"/>
    <n v="9"/>
    <n v="4000"/>
    <x v="0"/>
  </r>
  <r>
    <d v="2023-09-13T00:00:00"/>
    <x v="9"/>
    <x v="5"/>
    <x v="4"/>
    <s v="Net Banking"/>
    <n v="2769"/>
    <x v="0"/>
    <x v="0"/>
    <n v="9"/>
    <n v="3000"/>
    <x v="1"/>
  </r>
  <r>
    <d v="2023-07-01T00:00:00"/>
    <x v="3"/>
    <x v="7"/>
    <x v="8"/>
    <s v="Net Banking"/>
    <n v="3116"/>
    <x v="1"/>
    <x v="0"/>
    <n v="7"/>
    <n v="10000"/>
    <x v="1"/>
  </r>
  <r>
    <d v="2024-08-19T00:00:00"/>
    <x v="4"/>
    <x v="3"/>
    <x v="4"/>
    <s v="Debit Card"/>
    <n v="2312"/>
    <x v="1"/>
    <x v="0"/>
    <n v="8"/>
    <n v="1000"/>
    <x v="0"/>
  </r>
  <r>
    <d v="2023-08-19T00:00:00"/>
    <x v="4"/>
    <x v="6"/>
    <x v="7"/>
    <s v="UPI"/>
    <n v="4833"/>
    <x v="0"/>
    <x v="0"/>
    <n v="8"/>
    <n v="5500"/>
    <x v="1"/>
  </r>
  <r>
    <d v="2023-04-26T00:00:00"/>
    <x v="6"/>
    <x v="8"/>
    <x v="2"/>
    <s v="UPI"/>
    <n v="605"/>
    <x v="1"/>
    <x v="0"/>
    <n v="4"/>
    <n v="7000"/>
    <x v="1"/>
  </r>
  <r>
    <d v="2023-06-10T00:00:00"/>
    <x v="10"/>
    <x v="0"/>
    <x v="0"/>
    <s v="Credit Card"/>
    <n v="737"/>
    <x v="0"/>
    <x v="0"/>
    <n v="6"/>
    <n v="2000"/>
    <x v="1"/>
  </r>
  <r>
    <d v="2024-06-08T00:00:00"/>
    <x v="10"/>
    <x v="1"/>
    <x v="9"/>
    <s v="UPI"/>
    <n v="138"/>
    <x v="1"/>
    <x v="0"/>
    <n v="6"/>
    <n v="5000"/>
    <x v="1"/>
  </r>
  <r>
    <d v="2024-03-31T00:00:00"/>
    <x v="2"/>
    <x v="2"/>
    <x v="8"/>
    <s v="Credit Card"/>
    <n v="4348"/>
    <x v="1"/>
    <x v="0"/>
    <n v="3"/>
    <n v="5000"/>
    <x v="1"/>
  </r>
  <r>
    <d v="2024-12-28T00:00:00"/>
    <x v="1"/>
    <x v="6"/>
    <x v="5"/>
    <s v="UPI"/>
    <n v="3514"/>
    <x v="0"/>
    <x v="0"/>
    <n v="12"/>
    <n v="5500"/>
    <x v="1"/>
  </r>
  <r>
    <d v="2024-05-06T00:00:00"/>
    <x v="5"/>
    <x v="7"/>
    <x v="4"/>
    <s v="Credit Card"/>
    <n v="4178"/>
    <x v="1"/>
    <x v="0"/>
    <n v="5"/>
    <n v="10000"/>
    <x v="1"/>
  </r>
  <r>
    <d v="2024-08-25T00:00:00"/>
    <x v="4"/>
    <x v="5"/>
    <x v="6"/>
    <s v="Net Banking"/>
    <n v="1160"/>
    <x v="0"/>
    <x v="0"/>
    <n v="8"/>
    <n v="3000"/>
    <x v="1"/>
  </r>
  <r>
    <d v="2023-12-24T00:00:00"/>
    <x v="1"/>
    <x v="7"/>
    <x v="6"/>
    <s v="Credit Card"/>
    <n v="2905"/>
    <x v="1"/>
    <x v="0"/>
    <n v="12"/>
    <n v="10000"/>
    <x v="1"/>
  </r>
  <r>
    <d v="2024-02-03T00:00:00"/>
    <x v="7"/>
    <x v="0"/>
    <x v="7"/>
    <s v="Debit Card"/>
    <n v="2783"/>
    <x v="0"/>
    <x v="0"/>
    <n v="2"/>
    <n v="2000"/>
    <x v="0"/>
  </r>
  <r>
    <d v="2024-11-08T00:00:00"/>
    <x v="11"/>
    <x v="4"/>
    <x v="9"/>
    <s v="Credit Card"/>
    <n v="188"/>
    <x v="1"/>
    <x v="0"/>
    <n v="11"/>
    <n v="4000"/>
    <x v="1"/>
  </r>
  <r>
    <d v="2023-11-05T00:00:00"/>
    <x v="11"/>
    <x v="5"/>
    <x v="6"/>
    <s v="Debit Card"/>
    <n v="2180"/>
    <x v="0"/>
    <x v="0"/>
    <n v="11"/>
    <n v="3000"/>
    <x v="1"/>
  </r>
  <r>
    <d v="2023-09-20T00:00:00"/>
    <x v="9"/>
    <x v="6"/>
    <x v="7"/>
    <s v="Net Banking"/>
    <n v="271"/>
    <x v="0"/>
    <x v="0"/>
    <n v="9"/>
    <n v="5500"/>
    <x v="1"/>
  </r>
  <r>
    <d v="2023-10-22T00:00:00"/>
    <x v="0"/>
    <x v="8"/>
    <x v="0"/>
    <s v="UPI"/>
    <n v="3173"/>
    <x v="1"/>
    <x v="0"/>
    <n v="10"/>
    <n v="7000"/>
    <x v="1"/>
  </r>
  <r>
    <d v="2024-04-06T00:00:00"/>
    <x v="6"/>
    <x v="0"/>
    <x v="8"/>
    <s v="Cash"/>
    <n v="2634"/>
    <x v="0"/>
    <x v="1"/>
    <n v="4"/>
    <n v="2000"/>
    <x v="0"/>
  </r>
  <r>
    <d v="2024-03-28T00:00:00"/>
    <x v="2"/>
    <x v="7"/>
    <x v="1"/>
    <s v="Credit Card"/>
    <n v="1992"/>
    <x v="1"/>
    <x v="0"/>
    <n v="3"/>
    <n v="10000"/>
    <x v="1"/>
  </r>
  <r>
    <d v="2023-12-14T00:00:00"/>
    <x v="1"/>
    <x v="5"/>
    <x v="7"/>
    <s v="Cash"/>
    <n v="2795"/>
    <x v="0"/>
    <x v="1"/>
    <n v="12"/>
    <n v="3000"/>
    <x v="1"/>
  </r>
  <r>
    <d v="2024-10-14T00:00:00"/>
    <x v="0"/>
    <x v="7"/>
    <x v="8"/>
    <s v="Credit Card"/>
    <n v="982"/>
    <x v="1"/>
    <x v="0"/>
    <n v="10"/>
    <n v="10000"/>
    <x v="1"/>
  </r>
  <r>
    <d v="2024-11-03T00:00:00"/>
    <x v="11"/>
    <x v="4"/>
    <x v="7"/>
    <s v="Cash"/>
    <n v="1882"/>
    <x v="1"/>
    <x v="1"/>
    <n v="11"/>
    <n v="4000"/>
    <x v="1"/>
  </r>
  <r>
    <d v="2023-01-19T00:00:00"/>
    <x v="8"/>
    <x v="0"/>
    <x v="7"/>
    <s v="Cash"/>
    <n v="3998"/>
    <x v="0"/>
    <x v="1"/>
    <n v="1"/>
    <n v="2000"/>
    <x v="0"/>
  </r>
  <r>
    <d v="2023-08-16T00:00:00"/>
    <x v="4"/>
    <x v="2"/>
    <x v="9"/>
    <s v="Credit Card"/>
    <n v="1608"/>
    <x v="1"/>
    <x v="0"/>
    <n v="8"/>
    <n v="5000"/>
    <x v="1"/>
  </r>
  <r>
    <d v="2023-10-21T00:00:00"/>
    <x v="0"/>
    <x v="6"/>
    <x v="8"/>
    <s v="UPI"/>
    <n v="1698"/>
    <x v="0"/>
    <x v="0"/>
    <n v="10"/>
    <n v="5500"/>
    <x v="1"/>
  </r>
  <r>
    <d v="2024-02-21T00:00:00"/>
    <x v="7"/>
    <x v="5"/>
    <x v="3"/>
    <s v="Net Banking"/>
    <n v="4426"/>
    <x v="0"/>
    <x v="0"/>
    <n v="2"/>
    <n v="3000"/>
    <x v="0"/>
  </r>
  <r>
    <d v="2024-12-07T00:00:00"/>
    <x v="1"/>
    <x v="0"/>
    <x v="5"/>
    <s v="Credit Card"/>
    <n v="2249"/>
    <x v="0"/>
    <x v="0"/>
    <n v="12"/>
    <n v="2000"/>
    <x v="0"/>
  </r>
  <r>
    <d v="2024-05-17T00:00:00"/>
    <x v="5"/>
    <x v="0"/>
    <x v="5"/>
    <s v="Cash"/>
    <n v="691"/>
    <x v="0"/>
    <x v="1"/>
    <n v="5"/>
    <n v="2000"/>
    <x v="1"/>
  </r>
  <r>
    <d v="2023-01-16T00:00:00"/>
    <x v="8"/>
    <x v="3"/>
    <x v="8"/>
    <s v="Debit Card"/>
    <n v="316"/>
    <x v="1"/>
    <x v="0"/>
    <n v="1"/>
    <n v="1000"/>
    <x v="1"/>
  </r>
  <r>
    <d v="2024-03-25T00:00:00"/>
    <x v="2"/>
    <x v="8"/>
    <x v="5"/>
    <s v="Credit Card"/>
    <n v="3222"/>
    <x v="1"/>
    <x v="0"/>
    <n v="3"/>
    <n v="7000"/>
    <x v="1"/>
  </r>
  <r>
    <d v="2024-05-26T00:00:00"/>
    <x v="5"/>
    <x v="5"/>
    <x v="3"/>
    <s v="Net Banking"/>
    <n v="790"/>
    <x v="0"/>
    <x v="0"/>
    <n v="5"/>
    <n v="3000"/>
    <x v="1"/>
  </r>
  <r>
    <d v="2023-08-27T00:00:00"/>
    <x v="4"/>
    <x v="0"/>
    <x v="6"/>
    <s v="UPI"/>
    <n v="2645"/>
    <x v="0"/>
    <x v="0"/>
    <n v="8"/>
    <n v="2000"/>
    <x v="0"/>
  </r>
  <r>
    <d v="2023-03-05T00:00:00"/>
    <x v="2"/>
    <x v="7"/>
    <x v="8"/>
    <s v="UPI"/>
    <n v="1825"/>
    <x v="1"/>
    <x v="0"/>
    <n v="3"/>
    <n v="10000"/>
    <x v="1"/>
  </r>
  <r>
    <d v="2023-02-03T00:00:00"/>
    <x v="7"/>
    <x v="6"/>
    <x v="1"/>
    <s v="UPI"/>
    <n v="3380"/>
    <x v="0"/>
    <x v="0"/>
    <n v="2"/>
    <n v="5500"/>
    <x v="1"/>
  </r>
  <r>
    <d v="2023-03-19T00:00:00"/>
    <x v="2"/>
    <x v="8"/>
    <x v="9"/>
    <s v="Net Banking"/>
    <n v="3970"/>
    <x v="1"/>
    <x v="0"/>
    <n v="3"/>
    <n v="7000"/>
    <x v="1"/>
  </r>
  <r>
    <d v="2024-11-05T00:00:00"/>
    <x v="11"/>
    <x v="7"/>
    <x v="2"/>
    <s v="Debit Card"/>
    <n v="1455"/>
    <x v="1"/>
    <x v="0"/>
    <n v="11"/>
    <n v="10000"/>
    <x v="1"/>
  </r>
  <r>
    <d v="2023-10-24T00:00:00"/>
    <x v="0"/>
    <x v="6"/>
    <x v="1"/>
    <s v="Cash"/>
    <n v="1289"/>
    <x v="0"/>
    <x v="1"/>
    <n v="10"/>
    <n v="5500"/>
    <x v="1"/>
  </r>
  <r>
    <d v="2024-08-27T00:00:00"/>
    <x v="4"/>
    <x v="0"/>
    <x v="9"/>
    <s v="Debit Card"/>
    <n v="3159"/>
    <x v="0"/>
    <x v="0"/>
    <n v="8"/>
    <n v="2000"/>
    <x v="0"/>
  </r>
  <r>
    <d v="2023-01-08T00:00:00"/>
    <x v="8"/>
    <x v="5"/>
    <x v="0"/>
    <s v="Debit Card"/>
    <n v="4795"/>
    <x v="0"/>
    <x v="0"/>
    <n v="1"/>
    <n v="3000"/>
    <x v="0"/>
  </r>
  <r>
    <d v="2024-11-23T00:00:00"/>
    <x v="11"/>
    <x v="2"/>
    <x v="1"/>
    <s v="Credit Card"/>
    <n v="2337"/>
    <x v="1"/>
    <x v="0"/>
    <n v="11"/>
    <n v="5000"/>
    <x v="1"/>
  </r>
  <r>
    <d v="2024-03-05T00:00:00"/>
    <x v="2"/>
    <x v="5"/>
    <x v="7"/>
    <s v="Credit Card"/>
    <n v="4612"/>
    <x v="0"/>
    <x v="0"/>
    <n v="3"/>
    <n v="3000"/>
    <x v="0"/>
  </r>
  <r>
    <d v="2024-10-13T00:00:00"/>
    <x v="0"/>
    <x v="3"/>
    <x v="0"/>
    <s v="Cash"/>
    <n v="3724"/>
    <x v="1"/>
    <x v="1"/>
    <n v="10"/>
    <n v="1000"/>
    <x v="0"/>
  </r>
  <r>
    <d v="2023-08-20T00:00:00"/>
    <x v="4"/>
    <x v="5"/>
    <x v="6"/>
    <s v="Net Banking"/>
    <n v="4445"/>
    <x v="0"/>
    <x v="0"/>
    <n v="8"/>
    <n v="3000"/>
    <x v="0"/>
  </r>
  <r>
    <d v="2024-01-14T00:00:00"/>
    <x v="8"/>
    <x v="1"/>
    <x v="8"/>
    <s v="UPI"/>
    <n v="3682"/>
    <x v="1"/>
    <x v="0"/>
    <n v="1"/>
    <n v="5000"/>
    <x v="1"/>
  </r>
  <r>
    <d v="2024-05-30T00:00:00"/>
    <x v="5"/>
    <x v="2"/>
    <x v="4"/>
    <s v="Cash"/>
    <n v="249"/>
    <x v="1"/>
    <x v="1"/>
    <n v="5"/>
    <n v="5000"/>
    <x v="1"/>
  </r>
  <r>
    <d v="2024-09-16T00:00:00"/>
    <x v="9"/>
    <x v="3"/>
    <x v="3"/>
    <s v="Net Banking"/>
    <n v="2932"/>
    <x v="1"/>
    <x v="0"/>
    <n v="9"/>
    <n v="1000"/>
    <x v="0"/>
  </r>
  <r>
    <d v="2023-07-27T00:00:00"/>
    <x v="3"/>
    <x v="1"/>
    <x v="2"/>
    <s v="Net Banking"/>
    <n v="973"/>
    <x v="1"/>
    <x v="0"/>
    <n v="7"/>
    <n v="5000"/>
    <x v="1"/>
  </r>
  <r>
    <d v="2024-04-27T00:00:00"/>
    <x v="6"/>
    <x v="4"/>
    <x v="2"/>
    <s v="Net Banking"/>
    <n v="4745"/>
    <x v="1"/>
    <x v="0"/>
    <n v="4"/>
    <n v="4000"/>
    <x v="0"/>
  </r>
  <r>
    <d v="2024-08-31T00:00:00"/>
    <x v="4"/>
    <x v="7"/>
    <x v="4"/>
    <s v="UPI"/>
    <n v="3924"/>
    <x v="1"/>
    <x v="0"/>
    <n v="8"/>
    <n v="10000"/>
    <x v="1"/>
  </r>
  <r>
    <d v="2023-08-07T00:00:00"/>
    <x v="4"/>
    <x v="7"/>
    <x v="5"/>
    <s v="UPI"/>
    <n v="2545"/>
    <x v="1"/>
    <x v="0"/>
    <n v="8"/>
    <n v="10000"/>
    <x v="1"/>
  </r>
  <r>
    <d v="2023-03-08T00:00:00"/>
    <x v="2"/>
    <x v="8"/>
    <x v="9"/>
    <s v="Net Banking"/>
    <n v="3454"/>
    <x v="1"/>
    <x v="0"/>
    <n v="3"/>
    <n v="7000"/>
    <x v="1"/>
  </r>
  <r>
    <d v="2023-05-05T00:00:00"/>
    <x v="5"/>
    <x v="1"/>
    <x v="2"/>
    <s v="Debit Card"/>
    <n v="1222"/>
    <x v="1"/>
    <x v="0"/>
    <n v="5"/>
    <n v="5000"/>
    <x v="1"/>
  </r>
  <r>
    <d v="2024-12-24T00:00:00"/>
    <x v="1"/>
    <x v="5"/>
    <x v="3"/>
    <s v="Debit Card"/>
    <n v="3848"/>
    <x v="0"/>
    <x v="0"/>
    <n v="12"/>
    <n v="3000"/>
    <x v="0"/>
  </r>
  <r>
    <d v="2024-06-16T00:00:00"/>
    <x v="10"/>
    <x v="6"/>
    <x v="0"/>
    <s v="Debit Card"/>
    <n v="1351"/>
    <x v="0"/>
    <x v="0"/>
    <n v="6"/>
    <n v="5500"/>
    <x v="1"/>
  </r>
  <r>
    <d v="2024-07-30T00:00:00"/>
    <x v="3"/>
    <x v="3"/>
    <x v="6"/>
    <s v="Net Banking"/>
    <n v="3041"/>
    <x v="1"/>
    <x v="0"/>
    <n v="7"/>
    <n v="1000"/>
    <x v="0"/>
  </r>
  <r>
    <d v="2024-10-06T00:00:00"/>
    <x v="0"/>
    <x v="4"/>
    <x v="5"/>
    <s v="UPI"/>
    <n v="425"/>
    <x v="1"/>
    <x v="0"/>
    <n v="10"/>
    <n v="4000"/>
    <x v="1"/>
  </r>
  <r>
    <d v="2023-07-04T00:00:00"/>
    <x v="3"/>
    <x v="0"/>
    <x v="4"/>
    <s v="UPI"/>
    <n v="4400"/>
    <x v="0"/>
    <x v="0"/>
    <n v="7"/>
    <n v="2000"/>
    <x v="0"/>
  </r>
  <r>
    <d v="2024-04-02T00:00:00"/>
    <x v="6"/>
    <x v="7"/>
    <x v="7"/>
    <s v="Cash"/>
    <n v="1313"/>
    <x v="1"/>
    <x v="1"/>
    <n v="4"/>
    <n v="10000"/>
    <x v="1"/>
  </r>
  <r>
    <d v="2023-12-31T00:00:00"/>
    <x v="1"/>
    <x v="8"/>
    <x v="7"/>
    <s v="UPI"/>
    <n v="4721"/>
    <x v="1"/>
    <x v="0"/>
    <n v="12"/>
    <n v="7000"/>
    <x v="1"/>
  </r>
  <r>
    <d v="2023-03-05T00:00:00"/>
    <x v="2"/>
    <x v="5"/>
    <x v="5"/>
    <s v="Debit Card"/>
    <n v="4427"/>
    <x v="0"/>
    <x v="0"/>
    <n v="3"/>
    <n v="3000"/>
    <x v="0"/>
  </r>
  <r>
    <d v="2023-03-09T00:00:00"/>
    <x v="2"/>
    <x v="6"/>
    <x v="0"/>
    <s v="Cash"/>
    <n v="1427"/>
    <x v="0"/>
    <x v="1"/>
    <n v="3"/>
    <n v="5500"/>
    <x v="1"/>
  </r>
  <r>
    <d v="2024-12-22T00:00:00"/>
    <x v="1"/>
    <x v="4"/>
    <x v="3"/>
    <s v="Net Banking"/>
    <n v="3214"/>
    <x v="1"/>
    <x v="0"/>
    <n v="12"/>
    <n v="4000"/>
    <x v="1"/>
  </r>
  <r>
    <d v="2023-01-25T00:00:00"/>
    <x v="8"/>
    <x v="1"/>
    <x v="1"/>
    <s v="Net Banking"/>
    <n v="3222"/>
    <x v="1"/>
    <x v="0"/>
    <n v="1"/>
    <n v="5000"/>
    <x v="1"/>
  </r>
  <r>
    <d v="2023-10-09T00:00:00"/>
    <x v="0"/>
    <x v="2"/>
    <x v="6"/>
    <s v="Credit Card"/>
    <n v="3849"/>
    <x v="1"/>
    <x v="0"/>
    <n v="10"/>
    <n v="5000"/>
    <x v="1"/>
  </r>
  <r>
    <d v="2024-07-12T00:00:00"/>
    <x v="3"/>
    <x v="7"/>
    <x v="4"/>
    <s v="UPI"/>
    <n v="4172"/>
    <x v="1"/>
    <x v="0"/>
    <n v="7"/>
    <n v="10000"/>
    <x v="1"/>
  </r>
  <r>
    <d v="2024-08-19T00:00:00"/>
    <x v="4"/>
    <x v="3"/>
    <x v="7"/>
    <s v="Debit Card"/>
    <n v="1465"/>
    <x v="1"/>
    <x v="0"/>
    <n v="8"/>
    <n v="1000"/>
    <x v="0"/>
  </r>
  <r>
    <d v="2023-07-20T00:00:00"/>
    <x v="3"/>
    <x v="7"/>
    <x v="1"/>
    <s v="Debit Card"/>
    <n v="780"/>
    <x v="1"/>
    <x v="0"/>
    <n v="7"/>
    <n v="10000"/>
    <x v="1"/>
  </r>
  <r>
    <d v="2024-12-25T00:00:00"/>
    <x v="1"/>
    <x v="2"/>
    <x v="6"/>
    <s v="UPI"/>
    <n v="4945"/>
    <x v="1"/>
    <x v="0"/>
    <n v="12"/>
    <n v="5000"/>
    <x v="1"/>
  </r>
  <r>
    <d v="2024-12-30T00:00:00"/>
    <x v="1"/>
    <x v="7"/>
    <x v="6"/>
    <s v="Credit Card"/>
    <n v="3739"/>
    <x v="1"/>
    <x v="0"/>
    <n v="12"/>
    <n v="10000"/>
    <x v="1"/>
  </r>
  <r>
    <d v="2023-07-01T00:00:00"/>
    <x v="3"/>
    <x v="6"/>
    <x v="3"/>
    <s v="Credit Card"/>
    <n v="3771"/>
    <x v="0"/>
    <x v="0"/>
    <n v="7"/>
    <n v="5500"/>
    <x v="1"/>
  </r>
  <r>
    <d v="2023-12-13T00:00:00"/>
    <x v="1"/>
    <x v="3"/>
    <x v="0"/>
    <s v="Debit Card"/>
    <n v="3846"/>
    <x v="1"/>
    <x v="0"/>
    <n v="12"/>
    <n v="1000"/>
    <x v="0"/>
  </r>
  <r>
    <d v="2023-02-10T00:00:00"/>
    <x v="7"/>
    <x v="4"/>
    <x v="0"/>
    <s v="Cash"/>
    <n v="4848"/>
    <x v="1"/>
    <x v="1"/>
    <n v="2"/>
    <n v="4000"/>
    <x v="0"/>
  </r>
  <r>
    <d v="2024-07-08T00:00:00"/>
    <x v="3"/>
    <x v="3"/>
    <x v="7"/>
    <s v="Net Banking"/>
    <n v="1242"/>
    <x v="1"/>
    <x v="0"/>
    <n v="7"/>
    <n v="1000"/>
    <x v="0"/>
  </r>
  <r>
    <d v="2024-04-14T00:00:00"/>
    <x v="6"/>
    <x v="6"/>
    <x v="3"/>
    <s v="Debit Card"/>
    <n v="3374"/>
    <x v="0"/>
    <x v="0"/>
    <n v="4"/>
    <n v="5500"/>
    <x v="1"/>
  </r>
  <r>
    <d v="2023-12-28T00:00:00"/>
    <x v="1"/>
    <x v="4"/>
    <x v="7"/>
    <s v="Credit Card"/>
    <n v="3660"/>
    <x v="1"/>
    <x v="0"/>
    <n v="12"/>
    <n v="4000"/>
    <x v="1"/>
  </r>
  <r>
    <d v="2023-06-01T00:00:00"/>
    <x v="10"/>
    <x v="0"/>
    <x v="2"/>
    <s v="Credit Card"/>
    <n v="2180"/>
    <x v="0"/>
    <x v="0"/>
    <n v="6"/>
    <n v="2000"/>
    <x v="0"/>
  </r>
  <r>
    <d v="2024-05-01T00:00:00"/>
    <x v="5"/>
    <x v="4"/>
    <x v="0"/>
    <s v="Debit Card"/>
    <n v="2021"/>
    <x v="1"/>
    <x v="0"/>
    <n v="5"/>
    <n v="4000"/>
    <x v="1"/>
  </r>
  <r>
    <d v="2023-02-28T00:00:00"/>
    <x v="7"/>
    <x v="4"/>
    <x v="9"/>
    <s v="Debit Card"/>
    <n v="2890"/>
    <x v="1"/>
    <x v="0"/>
    <n v="2"/>
    <n v="4000"/>
    <x v="1"/>
  </r>
  <r>
    <d v="2023-07-16T00:00:00"/>
    <x v="3"/>
    <x v="7"/>
    <x v="5"/>
    <s v="Net Banking"/>
    <n v="4877"/>
    <x v="1"/>
    <x v="0"/>
    <n v="7"/>
    <n v="10000"/>
    <x v="1"/>
  </r>
  <r>
    <d v="2023-04-17T00:00:00"/>
    <x v="6"/>
    <x v="7"/>
    <x v="4"/>
    <s v="Net Banking"/>
    <n v="3796"/>
    <x v="1"/>
    <x v="0"/>
    <n v="4"/>
    <n v="10000"/>
    <x v="1"/>
  </r>
  <r>
    <d v="2024-08-14T00:00:00"/>
    <x v="4"/>
    <x v="5"/>
    <x v="9"/>
    <s v="Debit Card"/>
    <n v="3670"/>
    <x v="0"/>
    <x v="0"/>
    <n v="8"/>
    <n v="3000"/>
    <x v="0"/>
  </r>
  <r>
    <d v="2024-04-03T00:00:00"/>
    <x v="6"/>
    <x v="5"/>
    <x v="7"/>
    <s v="UPI"/>
    <n v="196"/>
    <x v="0"/>
    <x v="0"/>
    <n v="4"/>
    <n v="3000"/>
    <x v="1"/>
  </r>
  <r>
    <d v="2023-08-03T00:00:00"/>
    <x v="4"/>
    <x v="6"/>
    <x v="5"/>
    <s v="Net Banking"/>
    <n v="1702"/>
    <x v="0"/>
    <x v="0"/>
    <n v="8"/>
    <n v="5500"/>
    <x v="1"/>
  </r>
  <r>
    <d v="2024-04-22T00:00:00"/>
    <x v="6"/>
    <x v="4"/>
    <x v="5"/>
    <s v="UPI"/>
    <n v="3968"/>
    <x v="1"/>
    <x v="0"/>
    <n v="4"/>
    <n v="4000"/>
    <x v="1"/>
  </r>
  <r>
    <d v="2023-05-19T00:00:00"/>
    <x v="5"/>
    <x v="5"/>
    <x v="3"/>
    <s v="Net Banking"/>
    <n v="4780"/>
    <x v="0"/>
    <x v="0"/>
    <n v="5"/>
    <n v="3000"/>
    <x v="0"/>
  </r>
  <r>
    <d v="2023-12-12T00:00:00"/>
    <x v="1"/>
    <x v="1"/>
    <x v="9"/>
    <s v="Debit Card"/>
    <n v="4353"/>
    <x v="1"/>
    <x v="0"/>
    <n v="12"/>
    <n v="5000"/>
    <x v="1"/>
  </r>
  <r>
    <d v="2023-09-14T00:00:00"/>
    <x v="9"/>
    <x v="1"/>
    <x v="5"/>
    <s v="Net Banking"/>
    <n v="2129"/>
    <x v="1"/>
    <x v="0"/>
    <n v="9"/>
    <n v="5000"/>
    <x v="1"/>
  </r>
  <r>
    <d v="2024-08-05T00:00:00"/>
    <x v="4"/>
    <x v="3"/>
    <x v="2"/>
    <s v="Net Banking"/>
    <n v="562"/>
    <x v="1"/>
    <x v="0"/>
    <n v="8"/>
    <n v="1000"/>
    <x v="1"/>
  </r>
  <r>
    <d v="2024-07-21T00:00:00"/>
    <x v="3"/>
    <x v="6"/>
    <x v="2"/>
    <s v="UPI"/>
    <n v="4735"/>
    <x v="0"/>
    <x v="0"/>
    <n v="7"/>
    <n v="5500"/>
    <x v="1"/>
  </r>
  <r>
    <d v="2024-02-27T00:00:00"/>
    <x v="7"/>
    <x v="2"/>
    <x v="2"/>
    <s v="Net Banking"/>
    <n v="2923"/>
    <x v="1"/>
    <x v="0"/>
    <n v="2"/>
    <n v="5000"/>
    <x v="1"/>
  </r>
  <r>
    <d v="2024-01-23T00:00:00"/>
    <x v="8"/>
    <x v="4"/>
    <x v="6"/>
    <s v="Debit Card"/>
    <n v="3409"/>
    <x v="1"/>
    <x v="0"/>
    <n v="1"/>
    <n v="4000"/>
    <x v="1"/>
  </r>
  <r>
    <d v="2023-01-22T00:00:00"/>
    <x v="8"/>
    <x v="1"/>
    <x v="0"/>
    <s v="Net Banking"/>
    <n v="2619"/>
    <x v="1"/>
    <x v="0"/>
    <n v="1"/>
    <n v="5000"/>
    <x v="1"/>
  </r>
  <r>
    <d v="2024-09-18T00:00:00"/>
    <x v="9"/>
    <x v="6"/>
    <x v="0"/>
    <s v="Cash"/>
    <n v="1767"/>
    <x v="0"/>
    <x v="1"/>
    <n v="9"/>
    <n v="5500"/>
    <x v="1"/>
  </r>
  <r>
    <d v="2023-03-01T00:00:00"/>
    <x v="2"/>
    <x v="7"/>
    <x v="4"/>
    <s v="Debit Card"/>
    <n v="4804"/>
    <x v="1"/>
    <x v="0"/>
    <n v="3"/>
    <n v="10000"/>
    <x v="1"/>
  </r>
  <r>
    <d v="2023-12-31T00:00:00"/>
    <x v="1"/>
    <x v="3"/>
    <x v="4"/>
    <s v="UPI"/>
    <n v="555"/>
    <x v="1"/>
    <x v="0"/>
    <n v="12"/>
    <n v="1000"/>
    <x v="1"/>
  </r>
  <r>
    <d v="2024-03-06T00:00:00"/>
    <x v="2"/>
    <x v="2"/>
    <x v="1"/>
    <s v="Debit Card"/>
    <n v="3877"/>
    <x v="1"/>
    <x v="0"/>
    <n v="3"/>
    <n v="5000"/>
    <x v="1"/>
  </r>
  <r>
    <d v="2024-07-31T00:00:00"/>
    <x v="3"/>
    <x v="7"/>
    <x v="8"/>
    <s v="Net Banking"/>
    <n v="1104"/>
    <x v="1"/>
    <x v="0"/>
    <n v="7"/>
    <n v="10000"/>
    <x v="1"/>
  </r>
  <r>
    <d v="2024-01-30T00:00:00"/>
    <x v="8"/>
    <x v="4"/>
    <x v="5"/>
    <s v="Net Banking"/>
    <n v="949"/>
    <x v="1"/>
    <x v="0"/>
    <n v="1"/>
    <n v="4000"/>
    <x v="1"/>
  </r>
  <r>
    <d v="2024-12-11T00:00:00"/>
    <x v="1"/>
    <x v="3"/>
    <x v="9"/>
    <s v="Credit Card"/>
    <n v="1322"/>
    <x v="1"/>
    <x v="0"/>
    <n v="12"/>
    <n v="1000"/>
    <x v="0"/>
  </r>
  <r>
    <d v="2023-07-16T00:00:00"/>
    <x v="3"/>
    <x v="4"/>
    <x v="5"/>
    <s v="Debit Card"/>
    <n v="4965"/>
    <x v="1"/>
    <x v="0"/>
    <n v="7"/>
    <n v="4000"/>
    <x v="0"/>
  </r>
  <r>
    <d v="2024-04-11T00:00:00"/>
    <x v="6"/>
    <x v="4"/>
    <x v="3"/>
    <s v="UPI"/>
    <n v="1803"/>
    <x v="1"/>
    <x v="0"/>
    <n v="4"/>
    <n v="4000"/>
    <x v="1"/>
  </r>
  <r>
    <d v="2024-11-05T00:00:00"/>
    <x v="11"/>
    <x v="6"/>
    <x v="1"/>
    <s v="Debit Card"/>
    <n v="1831"/>
    <x v="0"/>
    <x v="0"/>
    <n v="11"/>
    <n v="5500"/>
    <x v="1"/>
  </r>
  <r>
    <d v="2023-05-21T00:00:00"/>
    <x v="5"/>
    <x v="6"/>
    <x v="1"/>
    <s v="Debit Card"/>
    <n v="4558"/>
    <x v="0"/>
    <x v="0"/>
    <n v="5"/>
    <n v="5500"/>
    <x v="1"/>
  </r>
  <r>
    <d v="2024-06-25T00:00:00"/>
    <x v="10"/>
    <x v="0"/>
    <x v="1"/>
    <s v="Net Banking"/>
    <n v="3707"/>
    <x v="0"/>
    <x v="0"/>
    <n v="6"/>
    <n v="2000"/>
    <x v="0"/>
  </r>
  <r>
    <d v="2023-08-31T00:00:00"/>
    <x v="4"/>
    <x v="2"/>
    <x v="4"/>
    <s v="Credit Card"/>
    <n v="4641"/>
    <x v="1"/>
    <x v="0"/>
    <n v="8"/>
    <n v="5000"/>
    <x v="1"/>
  </r>
  <r>
    <d v="2023-05-25T00:00:00"/>
    <x v="5"/>
    <x v="0"/>
    <x v="2"/>
    <s v="Credit Card"/>
    <n v="4087"/>
    <x v="0"/>
    <x v="0"/>
    <n v="5"/>
    <n v="2000"/>
    <x v="0"/>
  </r>
  <r>
    <d v="2023-04-21T00:00:00"/>
    <x v="6"/>
    <x v="0"/>
    <x v="7"/>
    <s v="Cash"/>
    <n v="4608"/>
    <x v="0"/>
    <x v="1"/>
    <n v="4"/>
    <n v="2000"/>
    <x v="0"/>
  </r>
  <r>
    <d v="2024-03-26T00:00:00"/>
    <x v="2"/>
    <x v="6"/>
    <x v="0"/>
    <s v="Debit Card"/>
    <n v="4472"/>
    <x v="0"/>
    <x v="0"/>
    <n v="3"/>
    <n v="5500"/>
    <x v="1"/>
  </r>
  <r>
    <d v="2024-12-24T00:00:00"/>
    <x v="1"/>
    <x v="2"/>
    <x v="0"/>
    <s v="UPI"/>
    <n v="4676"/>
    <x v="1"/>
    <x v="0"/>
    <n v="12"/>
    <n v="5000"/>
    <x v="1"/>
  </r>
  <r>
    <d v="2024-07-12T00:00:00"/>
    <x v="3"/>
    <x v="5"/>
    <x v="4"/>
    <s v="Debit Card"/>
    <n v="3098"/>
    <x v="0"/>
    <x v="0"/>
    <n v="7"/>
    <n v="3000"/>
    <x v="0"/>
  </r>
  <r>
    <d v="2024-01-23T00:00:00"/>
    <x v="8"/>
    <x v="0"/>
    <x v="3"/>
    <s v="Debit Card"/>
    <n v="4363"/>
    <x v="0"/>
    <x v="0"/>
    <n v="1"/>
    <n v="2000"/>
    <x v="0"/>
  </r>
  <r>
    <d v="2023-04-19T00:00:00"/>
    <x v="6"/>
    <x v="8"/>
    <x v="5"/>
    <s v="Net Banking"/>
    <n v="4478"/>
    <x v="1"/>
    <x v="0"/>
    <n v="4"/>
    <n v="7000"/>
    <x v="1"/>
  </r>
  <r>
    <d v="2023-02-21T00:00:00"/>
    <x v="7"/>
    <x v="4"/>
    <x v="9"/>
    <s v="UPI"/>
    <n v="4955"/>
    <x v="1"/>
    <x v="0"/>
    <n v="2"/>
    <n v="4000"/>
    <x v="0"/>
  </r>
  <r>
    <d v="2024-03-04T00:00:00"/>
    <x v="2"/>
    <x v="0"/>
    <x v="8"/>
    <s v="Cash"/>
    <n v="3654"/>
    <x v="0"/>
    <x v="1"/>
    <n v="3"/>
    <n v="2000"/>
    <x v="0"/>
  </r>
  <r>
    <d v="2024-07-09T00:00:00"/>
    <x v="3"/>
    <x v="6"/>
    <x v="0"/>
    <s v="UPI"/>
    <n v="995"/>
    <x v="0"/>
    <x v="0"/>
    <n v="7"/>
    <n v="5500"/>
    <x v="1"/>
  </r>
  <r>
    <d v="2023-01-20T00:00:00"/>
    <x v="8"/>
    <x v="1"/>
    <x v="4"/>
    <s v="Net Banking"/>
    <n v="4313"/>
    <x v="1"/>
    <x v="0"/>
    <n v="1"/>
    <n v="5000"/>
    <x v="1"/>
  </r>
  <r>
    <d v="2024-10-01T00:00:00"/>
    <x v="0"/>
    <x v="5"/>
    <x v="5"/>
    <s v="Cash"/>
    <n v="3456"/>
    <x v="0"/>
    <x v="1"/>
    <n v="10"/>
    <n v="3000"/>
    <x v="0"/>
  </r>
  <r>
    <d v="2024-10-21T00:00:00"/>
    <x v="0"/>
    <x v="5"/>
    <x v="1"/>
    <s v="Debit Card"/>
    <n v="3869"/>
    <x v="0"/>
    <x v="0"/>
    <n v="10"/>
    <n v="3000"/>
    <x v="0"/>
  </r>
  <r>
    <d v="2023-08-01T00:00:00"/>
    <x v="4"/>
    <x v="6"/>
    <x v="2"/>
    <s v="Net Banking"/>
    <n v="1739"/>
    <x v="0"/>
    <x v="0"/>
    <n v="8"/>
    <n v="5500"/>
    <x v="1"/>
  </r>
  <r>
    <d v="2023-04-17T00:00:00"/>
    <x v="6"/>
    <x v="6"/>
    <x v="2"/>
    <s v="Debit Card"/>
    <n v="358"/>
    <x v="0"/>
    <x v="0"/>
    <n v="4"/>
    <n v="5500"/>
    <x v="1"/>
  </r>
  <r>
    <d v="2024-12-26T00:00:00"/>
    <x v="1"/>
    <x v="8"/>
    <x v="8"/>
    <s v="Net Banking"/>
    <n v="2315"/>
    <x v="1"/>
    <x v="0"/>
    <n v="12"/>
    <n v="7000"/>
    <x v="1"/>
  </r>
  <r>
    <d v="2023-11-13T00:00:00"/>
    <x v="11"/>
    <x v="7"/>
    <x v="8"/>
    <s v="Cash"/>
    <n v="1924"/>
    <x v="1"/>
    <x v="1"/>
    <n v="11"/>
    <n v="10000"/>
    <x v="1"/>
  </r>
  <r>
    <d v="2023-06-09T00:00:00"/>
    <x v="10"/>
    <x v="7"/>
    <x v="8"/>
    <s v="Net Banking"/>
    <n v="4679"/>
    <x v="1"/>
    <x v="0"/>
    <n v="6"/>
    <n v="10000"/>
    <x v="1"/>
  </r>
  <r>
    <d v="2024-12-28T00:00:00"/>
    <x v="1"/>
    <x v="4"/>
    <x v="2"/>
    <s v="Net Banking"/>
    <n v="4942"/>
    <x v="1"/>
    <x v="0"/>
    <n v="12"/>
    <n v="4000"/>
    <x v="0"/>
  </r>
  <r>
    <d v="2023-09-26T00:00:00"/>
    <x v="9"/>
    <x v="7"/>
    <x v="9"/>
    <s v="Cash"/>
    <n v="2205"/>
    <x v="1"/>
    <x v="1"/>
    <n v="9"/>
    <n v="10000"/>
    <x v="1"/>
  </r>
  <r>
    <d v="2023-05-05T00:00:00"/>
    <x v="5"/>
    <x v="3"/>
    <x v="4"/>
    <s v="Credit Card"/>
    <n v="1983"/>
    <x v="1"/>
    <x v="0"/>
    <n v="5"/>
    <n v="1000"/>
    <x v="0"/>
  </r>
  <r>
    <d v="2024-10-20T00:00:00"/>
    <x v="0"/>
    <x v="5"/>
    <x v="9"/>
    <s v="Debit Card"/>
    <n v="4868"/>
    <x v="0"/>
    <x v="0"/>
    <n v="10"/>
    <n v="3000"/>
    <x v="0"/>
  </r>
  <r>
    <d v="2023-09-15T00:00:00"/>
    <x v="9"/>
    <x v="2"/>
    <x v="9"/>
    <s v="UPI"/>
    <n v="3063"/>
    <x v="1"/>
    <x v="0"/>
    <n v="9"/>
    <n v="5000"/>
    <x v="1"/>
  </r>
  <r>
    <d v="2024-10-20T00:00:00"/>
    <x v="0"/>
    <x v="5"/>
    <x v="3"/>
    <s v="Cash"/>
    <n v="2913"/>
    <x v="0"/>
    <x v="1"/>
    <n v="10"/>
    <n v="3000"/>
    <x v="1"/>
  </r>
  <r>
    <d v="2023-07-25T00:00:00"/>
    <x v="3"/>
    <x v="6"/>
    <x v="1"/>
    <s v="Cash"/>
    <n v="1844"/>
    <x v="0"/>
    <x v="1"/>
    <n v="7"/>
    <n v="5500"/>
    <x v="1"/>
  </r>
  <r>
    <d v="2023-10-01T00:00:00"/>
    <x v="0"/>
    <x v="1"/>
    <x v="5"/>
    <s v="Net Banking"/>
    <n v="3801"/>
    <x v="1"/>
    <x v="0"/>
    <n v="10"/>
    <n v="5000"/>
    <x v="1"/>
  </r>
  <r>
    <d v="2024-01-04T00:00:00"/>
    <x v="8"/>
    <x v="0"/>
    <x v="5"/>
    <s v="Credit Card"/>
    <n v="1459"/>
    <x v="0"/>
    <x v="0"/>
    <n v="1"/>
    <n v="2000"/>
    <x v="1"/>
  </r>
  <r>
    <d v="2024-05-14T00:00:00"/>
    <x v="5"/>
    <x v="1"/>
    <x v="3"/>
    <s v="Cash"/>
    <n v="943"/>
    <x v="1"/>
    <x v="1"/>
    <n v="5"/>
    <n v="5000"/>
    <x v="1"/>
  </r>
  <r>
    <d v="2024-10-09T00:00:00"/>
    <x v="0"/>
    <x v="5"/>
    <x v="0"/>
    <s v="Cash"/>
    <n v="676"/>
    <x v="0"/>
    <x v="1"/>
    <n v="10"/>
    <n v="3000"/>
    <x v="1"/>
  </r>
  <r>
    <d v="2023-02-09T00:00:00"/>
    <x v="7"/>
    <x v="7"/>
    <x v="8"/>
    <s v="Debit Card"/>
    <n v="4151"/>
    <x v="1"/>
    <x v="0"/>
    <n v="2"/>
    <n v="10000"/>
    <x v="1"/>
  </r>
  <r>
    <d v="2023-11-20T00:00:00"/>
    <x v="11"/>
    <x v="6"/>
    <x v="9"/>
    <s v="Net Banking"/>
    <n v="4418"/>
    <x v="0"/>
    <x v="0"/>
    <n v="11"/>
    <n v="5500"/>
    <x v="1"/>
  </r>
  <r>
    <d v="2023-02-21T00:00:00"/>
    <x v="7"/>
    <x v="7"/>
    <x v="1"/>
    <s v="UPI"/>
    <n v="2168"/>
    <x v="1"/>
    <x v="0"/>
    <n v="2"/>
    <n v="10000"/>
    <x v="1"/>
  </r>
  <r>
    <d v="2024-04-16T00:00:00"/>
    <x v="6"/>
    <x v="0"/>
    <x v="7"/>
    <s v="Debit Card"/>
    <n v="3388"/>
    <x v="0"/>
    <x v="0"/>
    <n v="4"/>
    <n v="2000"/>
    <x v="0"/>
  </r>
  <r>
    <d v="2023-01-16T00:00:00"/>
    <x v="8"/>
    <x v="6"/>
    <x v="0"/>
    <s v="Net Banking"/>
    <n v="2847"/>
    <x v="0"/>
    <x v="0"/>
    <n v="1"/>
    <n v="5500"/>
    <x v="1"/>
  </r>
  <r>
    <d v="2023-02-18T00:00:00"/>
    <x v="7"/>
    <x v="2"/>
    <x v="4"/>
    <s v="Credit Card"/>
    <n v="1800"/>
    <x v="1"/>
    <x v="0"/>
    <n v="2"/>
    <n v="5000"/>
    <x v="1"/>
  </r>
  <r>
    <d v="2023-04-10T00:00:00"/>
    <x v="6"/>
    <x v="6"/>
    <x v="5"/>
    <s v="Debit Card"/>
    <n v="678"/>
    <x v="0"/>
    <x v="0"/>
    <n v="4"/>
    <n v="5500"/>
    <x v="1"/>
  </r>
  <r>
    <d v="2024-12-12T00:00:00"/>
    <x v="1"/>
    <x v="6"/>
    <x v="2"/>
    <s v="UPI"/>
    <n v="2772"/>
    <x v="0"/>
    <x v="0"/>
    <n v="12"/>
    <n v="5500"/>
    <x v="1"/>
  </r>
  <r>
    <d v="2023-07-21T00:00:00"/>
    <x v="3"/>
    <x v="6"/>
    <x v="8"/>
    <s v="Net Banking"/>
    <n v="4356"/>
    <x v="0"/>
    <x v="0"/>
    <n v="7"/>
    <n v="5500"/>
    <x v="1"/>
  </r>
  <r>
    <d v="2024-02-14T00:00:00"/>
    <x v="7"/>
    <x v="8"/>
    <x v="6"/>
    <s v="Credit Card"/>
    <n v="4906"/>
    <x v="1"/>
    <x v="0"/>
    <n v="2"/>
    <n v="7000"/>
    <x v="1"/>
  </r>
  <r>
    <d v="2023-09-28T00:00:00"/>
    <x v="9"/>
    <x v="8"/>
    <x v="6"/>
    <s v="Debit Card"/>
    <n v="4085"/>
    <x v="1"/>
    <x v="0"/>
    <n v="9"/>
    <n v="7000"/>
    <x v="1"/>
  </r>
  <r>
    <d v="2023-03-16T00:00:00"/>
    <x v="2"/>
    <x v="7"/>
    <x v="2"/>
    <s v="UPI"/>
    <n v="1445"/>
    <x v="1"/>
    <x v="0"/>
    <n v="3"/>
    <n v="10000"/>
    <x v="1"/>
  </r>
  <r>
    <d v="2023-11-18T00:00:00"/>
    <x v="11"/>
    <x v="5"/>
    <x v="5"/>
    <s v="Debit Card"/>
    <n v="4193"/>
    <x v="0"/>
    <x v="0"/>
    <n v="11"/>
    <n v="3000"/>
    <x v="0"/>
  </r>
  <r>
    <d v="2023-02-14T00:00:00"/>
    <x v="7"/>
    <x v="4"/>
    <x v="1"/>
    <s v="Cash"/>
    <n v="2278"/>
    <x v="1"/>
    <x v="1"/>
    <n v="2"/>
    <n v="4000"/>
    <x v="1"/>
  </r>
  <r>
    <d v="2024-09-14T00:00:00"/>
    <x v="9"/>
    <x v="4"/>
    <x v="2"/>
    <s v="UPI"/>
    <n v="1338"/>
    <x v="1"/>
    <x v="0"/>
    <n v="9"/>
    <n v="4000"/>
    <x v="1"/>
  </r>
  <r>
    <d v="2024-05-09T00:00:00"/>
    <x v="5"/>
    <x v="0"/>
    <x v="3"/>
    <s v="UPI"/>
    <n v="3968"/>
    <x v="0"/>
    <x v="0"/>
    <n v="5"/>
    <n v="2000"/>
    <x v="0"/>
  </r>
  <r>
    <d v="2024-02-14T00:00:00"/>
    <x v="7"/>
    <x v="5"/>
    <x v="2"/>
    <s v="Debit Card"/>
    <n v="2476"/>
    <x v="0"/>
    <x v="0"/>
    <n v="2"/>
    <n v="3000"/>
    <x v="1"/>
  </r>
  <r>
    <d v="2024-09-02T00:00:00"/>
    <x v="9"/>
    <x v="7"/>
    <x v="1"/>
    <s v="UPI"/>
    <n v="4390"/>
    <x v="1"/>
    <x v="0"/>
    <n v="9"/>
    <n v="10000"/>
    <x v="1"/>
  </r>
  <r>
    <d v="2024-05-23T00:00:00"/>
    <x v="5"/>
    <x v="5"/>
    <x v="3"/>
    <s v="UPI"/>
    <n v="1009"/>
    <x v="0"/>
    <x v="0"/>
    <n v="5"/>
    <n v="3000"/>
    <x v="1"/>
  </r>
  <r>
    <d v="2023-06-04T00:00:00"/>
    <x v="10"/>
    <x v="6"/>
    <x v="3"/>
    <s v="UPI"/>
    <n v="1178"/>
    <x v="0"/>
    <x v="0"/>
    <n v="6"/>
    <n v="5500"/>
    <x v="1"/>
  </r>
  <r>
    <d v="2023-05-01T00:00:00"/>
    <x v="5"/>
    <x v="4"/>
    <x v="9"/>
    <s v="Net Banking"/>
    <n v="3193"/>
    <x v="1"/>
    <x v="0"/>
    <n v="5"/>
    <n v="4000"/>
    <x v="1"/>
  </r>
  <r>
    <d v="2024-10-25T00:00:00"/>
    <x v="0"/>
    <x v="6"/>
    <x v="0"/>
    <s v="Net Banking"/>
    <n v="4269"/>
    <x v="0"/>
    <x v="0"/>
    <n v="10"/>
    <n v="5500"/>
    <x v="1"/>
  </r>
  <r>
    <d v="2024-11-07T00:00:00"/>
    <x v="11"/>
    <x v="0"/>
    <x v="1"/>
    <s v="Net Banking"/>
    <n v="4665"/>
    <x v="0"/>
    <x v="0"/>
    <n v="11"/>
    <n v="2000"/>
    <x v="0"/>
  </r>
  <r>
    <d v="2023-01-08T00:00:00"/>
    <x v="8"/>
    <x v="4"/>
    <x v="5"/>
    <s v="Cash"/>
    <n v="3734"/>
    <x v="1"/>
    <x v="1"/>
    <n v="1"/>
    <n v="4000"/>
    <x v="1"/>
  </r>
  <r>
    <d v="2023-06-07T00:00:00"/>
    <x v="10"/>
    <x v="4"/>
    <x v="1"/>
    <s v="Credit Card"/>
    <n v="2407"/>
    <x v="1"/>
    <x v="0"/>
    <n v="6"/>
    <n v="4000"/>
    <x v="1"/>
  </r>
  <r>
    <d v="2023-06-18T00:00:00"/>
    <x v="10"/>
    <x v="3"/>
    <x v="6"/>
    <s v="Cash"/>
    <n v="1578"/>
    <x v="1"/>
    <x v="1"/>
    <n v="6"/>
    <n v="1000"/>
    <x v="0"/>
  </r>
  <r>
    <d v="2023-03-23T00:00:00"/>
    <x v="2"/>
    <x v="7"/>
    <x v="7"/>
    <s v="Cash"/>
    <n v="1300"/>
    <x v="1"/>
    <x v="1"/>
    <n v="3"/>
    <n v="10000"/>
    <x v="1"/>
  </r>
  <r>
    <d v="2023-02-18T00:00:00"/>
    <x v="7"/>
    <x v="8"/>
    <x v="6"/>
    <s v="UPI"/>
    <n v="2739"/>
    <x v="1"/>
    <x v="0"/>
    <n v="2"/>
    <n v="7000"/>
    <x v="1"/>
  </r>
  <r>
    <d v="2024-01-28T00:00:00"/>
    <x v="8"/>
    <x v="4"/>
    <x v="1"/>
    <s v="Net Banking"/>
    <n v="1326"/>
    <x v="1"/>
    <x v="0"/>
    <n v="1"/>
    <n v="4000"/>
    <x v="1"/>
  </r>
  <r>
    <d v="2024-09-05T00:00:00"/>
    <x v="9"/>
    <x v="6"/>
    <x v="1"/>
    <s v="Credit Card"/>
    <n v="1266"/>
    <x v="0"/>
    <x v="0"/>
    <n v="9"/>
    <n v="5500"/>
    <x v="1"/>
  </r>
  <r>
    <d v="2023-04-28T00:00:00"/>
    <x v="6"/>
    <x v="6"/>
    <x v="5"/>
    <s v="Credit Card"/>
    <n v="2112"/>
    <x v="0"/>
    <x v="0"/>
    <n v="4"/>
    <n v="5500"/>
    <x v="1"/>
  </r>
  <r>
    <d v="2024-07-14T00:00:00"/>
    <x v="3"/>
    <x v="5"/>
    <x v="4"/>
    <s v="UPI"/>
    <n v="506"/>
    <x v="0"/>
    <x v="0"/>
    <n v="7"/>
    <n v="3000"/>
    <x v="1"/>
  </r>
  <r>
    <d v="2023-11-17T00:00:00"/>
    <x v="11"/>
    <x v="2"/>
    <x v="9"/>
    <s v="UPI"/>
    <n v="3726"/>
    <x v="1"/>
    <x v="0"/>
    <n v="11"/>
    <n v="5000"/>
    <x v="1"/>
  </r>
  <r>
    <d v="2023-07-28T00:00:00"/>
    <x v="3"/>
    <x v="0"/>
    <x v="5"/>
    <s v="UPI"/>
    <n v="3909"/>
    <x v="0"/>
    <x v="0"/>
    <n v="7"/>
    <n v="2000"/>
    <x v="0"/>
  </r>
  <r>
    <d v="2024-02-14T00:00:00"/>
    <x v="7"/>
    <x v="5"/>
    <x v="3"/>
    <s v="Cash"/>
    <n v="3846"/>
    <x v="0"/>
    <x v="1"/>
    <n v="2"/>
    <n v="3000"/>
    <x v="0"/>
  </r>
  <r>
    <d v="2023-11-01T00:00:00"/>
    <x v="11"/>
    <x v="1"/>
    <x v="6"/>
    <s v="UPI"/>
    <n v="4112"/>
    <x v="1"/>
    <x v="0"/>
    <n v="11"/>
    <n v="5000"/>
    <x v="1"/>
  </r>
  <r>
    <d v="2024-05-11T00:00:00"/>
    <x v="5"/>
    <x v="1"/>
    <x v="4"/>
    <s v="Credit Card"/>
    <n v="54"/>
    <x v="1"/>
    <x v="0"/>
    <n v="5"/>
    <n v="5000"/>
    <x v="1"/>
  </r>
  <r>
    <d v="2023-08-09T00:00:00"/>
    <x v="4"/>
    <x v="2"/>
    <x v="6"/>
    <s v="Cash"/>
    <n v="3512"/>
    <x v="1"/>
    <x v="1"/>
    <n v="8"/>
    <n v="5000"/>
    <x v="1"/>
  </r>
  <r>
    <d v="2023-04-05T00:00:00"/>
    <x v="6"/>
    <x v="5"/>
    <x v="3"/>
    <s v="Net Banking"/>
    <n v="4655"/>
    <x v="0"/>
    <x v="0"/>
    <n v="4"/>
    <n v="3000"/>
    <x v="0"/>
  </r>
  <r>
    <d v="2024-11-13T00:00:00"/>
    <x v="11"/>
    <x v="7"/>
    <x v="4"/>
    <s v="Cash"/>
    <n v="1303"/>
    <x v="1"/>
    <x v="1"/>
    <n v="11"/>
    <n v="10000"/>
    <x v="1"/>
  </r>
  <r>
    <d v="2024-07-07T00:00:00"/>
    <x v="3"/>
    <x v="0"/>
    <x v="2"/>
    <s v="UPI"/>
    <n v="715"/>
    <x v="0"/>
    <x v="0"/>
    <n v="7"/>
    <n v="2000"/>
    <x v="1"/>
  </r>
  <r>
    <d v="2024-09-23T00:00:00"/>
    <x v="9"/>
    <x v="2"/>
    <x v="6"/>
    <s v="Credit Card"/>
    <n v="4663"/>
    <x v="1"/>
    <x v="0"/>
    <n v="9"/>
    <n v="5000"/>
    <x v="1"/>
  </r>
  <r>
    <d v="2023-06-22T00:00:00"/>
    <x v="10"/>
    <x v="5"/>
    <x v="9"/>
    <s v="Debit Card"/>
    <n v="4329"/>
    <x v="0"/>
    <x v="0"/>
    <n v="6"/>
    <n v="3000"/>
    <x v="0"/>
  </r>
  <r>
    <d v="2024-03-26T00:00:00"/>
    <x v="2"/>
    <x v="2"/>
    <x v="3"/>
    <s v="UPI"/>
    <n v="2653"/>
    <x v="1"/>
    <x v="0"/>
    <n v="3"/>
    <n v="5000"/>
    <x v="1"/>
  </r>
  <r>
    <d v="2024-05-08T00:00:00"/>
    <x v="5"/>
    <x v="0"/>
    <x v="9"/>
    <s v="Net Banking"/>
    <n v="3466"/>
    <x v="0"/>
    <x v="0"/>
    <n v="5"/>
    <n v="2000"/>
    <x v="0"/>
  </r>
  <r>
    <d v="2023-03-12T00:00:00"/>
    <x v="2"/>
    <x v="4"/>
    <x v="5"/>
    <s v="Credit Card"/>
    <n v="3044"/>
    <x v="1"/>
    <x v="0"/>
    <n v="3"/>
    <n v="4000"/>
    <x v="1"/>
  </r>
  <r>
    <d v="2023-05-05T00:00:00"/>
    <x v="5"/>
    <x v="5"/>
    <x v="4"/>
    <s v="UPI"/>
    <n v="3196"/>
    <x v="0"/>
    <x v="0"/>
    <n v="5"/>
    <n v="3000"/>
    <x v="0"/>
  </r>
  <r>
    <d v="2023-11-03T00:00:00"/>
    <x v="11"/>
    <x v="8"/>
    <x v="6"/>
    <s v="Cash"/>
    <n v="4917"/>
    <x v="1"/>
    <x v="1"/>
    <n v="11"/>
    <n v="7000"/>
    <x v="1"/>
  </r>
  <r>
    <d v="2023-09-09T00:00:00"/>
    <x v="9"/>
    <x v="7"/>
    <x v="5"/>
    <s v="Credit Card"/>
    <n v="140"/>
    <x v="1"/>
    <x v="0"/>
    <n v="9"/>
    <n v="10000"/>
    <x v="1"/>
  </r>
  <r>
    <d v="2024-06-10T00:00:00"/>
    <x v="10"/>
    <x v="1"/>
    <x v="4"/>
    <s v="Credit Card"/>
    <n v="4509"/>
    <x v="1"/>
    <x v="0"/>
    <n v="6"/>
    <n v="5000"/>
    <x v="1"/>
  </r>
  <r>
    <d v="2024-11-29T00:00:00"/>
    <x v="11"/>
    <x v="5"/>
    <x v="2"/>
    <s v="Debit Card"/>
    <n v="4452"/>
    <x v="0"/>
    <x v="0"/>
    <n v="11"/>
    <n v="3000"/>
    <x v="0"/>
  </r>
  <r>
    <d v="2024-09-10T00:00:00"/>
    <x v="9"/>
    <x v="0"/>
    <x v="6"/>
    <s v="Debit Card"/>
    <n v="1393"/>
    <x v="0"/>
    <x v="0"/>
    <n v="9"/>
    <n v="2000"/>
    <x v="1"/>
  </r>
  <r>
    <d v="2023-12-07T00:00:00"/>
    <x v="1"/>
    <x v="5"/>
    <x v="7"/>
    <s v="Credit Card"/>
    <n v="4790"/>
    <x v="0"/>
    <x v="0"/>
    <n v="12"/>
    <n v="3000"/>
    <x v="0"/>
  </r>
  <r>
    <d v="2024-02-12T00:00:00"/>
    <x v="7"/>
    <x v="1"/>
    <x v="6"/>
    <s v="UPI"/>
    <n v="1997"/>
    <x v="1"/>
    <x v="0"/>
    <n v="2"/>
    <n v="5000"/>
    <x v="1"/>
  </r>
  <r>
    <d v="2023-03-05T00:00:00"/>
    <x v="2"/>
    <x v="6"/>
    <x v="1"/>
    <s v="UPI"/>
    <n v="3095"/>
    <x v="0"/>
    <x v="0"/>
    <n v="3"/>
    <n v="5500"/>
    <x v="1"/>
  </r>
  <r>
    <d v="2024-07-02T00:00:00"/>
    <x v="3"/>
    <x v="2"/>
    <x v="4"/>
    <s v="Debit Card"/>
    <n v="1278"/>
    <x v="1"/>
    <x v="0"/>
    <n v="7"/>
    <n v="5000"/>
    <x v="1"/>
  </r>
  <r>
    <d v="2023-07-21T00:00:00"/>
    <x v="3"/>
    <x v="6"/>
    <x v="8"/>
    <s v="UPI"/>
    <n v="4294"/>
    <x v="0"/>
    <x v="0"/>
    <n v="7"/>
    <n v="5500"/>
    <x v="1"/>
  </r>
  <r>
    <d v="2024-04-09T00:00:00"/>
    <x v="6"/>
    <x v="1"/>
    <x v="7"/>
    <s v="Debit Card"/>
    <n v="1375"/>
    <x v="1"/>
    <x v="0"/>
    <n v="4"/>
    <n v="5000"/>
    <x v="1"/>
  </r>
  <r>
    <d v="2024-04-04T00:00:00"/>
    <x v="6"/>
    <x v="5"/>
    <x v="5"/>
    <s v="Cash"/>
    <n v="2845"/>
    <x v="0"/>
    <x v="1"/>
    <n v="4"/>
    <n v="3000"/>
    <x v="1"/>
  </r>
  <r>
    <d v="2024-12-23T00:00:00"/>
    <x v="1"/>
    <x v="2"/>
    <x v="0"/>
    <s v="UPI"/>
    <n v="3631"/>
    <x v="1"/>
    <x v="0"/>
    <n v="12"/>
    <n v="5000"/>
    <x v="1"/>
  </r>
  <r>
    <d v="2024-03-27T00:00:00"/>
    <x v="2"/>
    <x v="5"/>
    <x v="9"/>
    <s v="Credit Card"/>
    <n v="192"/>
    <x v="0"/>
    <x v="0"/>
    <n v="3"/>
    <n v="3000"/>
    <x v="1"/>
  </r>
  <r>
    <d v="2024-04-03T00:00:00"/>
    <x v="6"/>
    <x v="1"/>
    <x v="9"/>
    <s v="Debit Card"/>
    <n v="1907"/>
    <x v="1"/>
    <x v="0"/>
    <n v="4"/>
    <n v="5000"/>
    <x v="1"/>
  </r>
  <r>
    <d v="2024-12-13T00:00:00"/>
    <x v="1"/>
    <x v="8"/>
    <x v="3"/>
    <s v="Credit Card"/>
    <n v="1404"/>
    <x v="1"/>
    <x v="0"/>
    <n v="12"/>
    <n v="7000"/>
    <x v="1"/>
  </r>
  <r>
    <d v="2023-07-09T00:00:00"/>
    <x v="3"/>
    <x v="1"/>
    <x v="6"/>
    <s v="UPI"/>
    <n v="4271"/>
    <x v="1"/>
    <x v="0"/>
    <n v="7"/>
    <n v="5000"/>
    <x v="1"/>
  </r>
  <r>
    <d v="2023-08-15T00:00:00"/>
    <x v="4"/>
    <x v="1"/>
    <x v="4"/>
    <s v="UPI"/>
    <n v="4611"/>
    <x v="1"/>
    <x v="0"/>
    <n v="8"/>
    <n v="5000"/>
    <x v="1"/>
  </r>
  <r>
    <d v="2023-11-01T00:00:00"/>
    <x v="11"/>
    <x v="1"/>
    <x v="3"/>
    <s v="Credit Card"/>
    <n v="1774"/>
    <x v="1"/>
    <x v="0"/>
    <n v="11"/>
    <n v="5000"/>
    <x v="1"/>
  </r>
  <r>
    <d v="2024-12-10T00:00:00"/>
    <x v="1"/>
    <x v="7"/>
    <x v="7"/>
    <s v="Credit Card"/>
    <n v="1188"/>
    <x v="1"/>
    <x v="0"/>
    <n v="12"/>
    <n v="10000"/>
    <x v="1"/>
  </r>
  <r>
    <d v="2023-01-18T00:00:00"/>
    <x v="8"/>
    <x v="5"/>
    <x v="3"/>
    <s v="UPI"/>
    <n v="1654"/>
    <x v="0"/>
    <x v="0"/>
    <n v="1"/>
    <n v="3000"/>
    <x v="1"/>
  </r>
  <r>
    <d v="2023-06-28T00:00:00"/>
    <x v="10"/>
    <x v="6"/>
    <x v="3"/>
    <s v="Credit Card"/>
    <n v="1387"/>
    <x v="0"/>
    <x v="0"/>
    <n v="6"/>
    <n v="5500"/>
    <x v="1"/>
  </r>
  <r>
    <d v="2023-02-11T00:00:00"/>
    <x v="7"/>
    <x v="2"/>
    <x v="9"/>
    <s v="Credit Card"/>
    <n v="1175"/>
    <x v="1"/>
    <x v="0"/>
    <n v="2"/>
    <n v="5000"/>
    <x v="1"/>
  </r>
  <r>
    <d v="2024-04-05T00:00:00"/>
    <x v="6"/>
    <x v="3"/>
    <x v="8"/>
    <s v="Credit Card"/>
    <n v="3371"/>
    <x v="1"/>
    <x v="0"/>
    <n v="4"/>
    <n v="1000"/>
    <x v="0"/>
  </r>
  <r>
    <d v="2023-06-11T00:00:00"/>
    <x v="10"/>
    <x v="0"/>
    <x v="5"/>
    <s v="Cash"/>
    <n v="4619"/>
    <x v="0"/>
    <x v="1"/>
    <n v="6"/>
    <n v="2000"/>
    <x v="0"/>
  </r>
  <r>
    <d v="2023-05-19T00:00:00"/>
    <x v="5"/>
    <x v="3"/>
    <x v="8"/>
    <s v="Credit Card"/>
    <n v="530"/>
    <x v="1"/>
    <x v="0"/>
    <n v="5"/>
    <n v="1000"/>
    <x v="1"/>
  </r>
  <r>
    <d v="2023-09-16T00:00:00"/>
    <x v="9"/>
    <x v="3"/>
    <x v="0"/>
    <s v="UPI"/>
    <n v="4120"/>
    <x v="1"/>
    <x v="0"/>
    <n v="9"/>
    <n v="1000"/>
    <x v="0"/>
  </r>
  <r>
    <d v="2024-12-06T00:00:00"/>
    <x v="1"/>
    <x v="8"/>
    <x v="7"/>
    <s v="Credit Card"/>
    <n v="3398"/>
    <x v="1"/>
    <x v="0"/>
    <n v="12"/>
    <n v="7000"/>
    <x v="1"/>
  </r>
  <r>
    <d v="2023-08-28T00:00:00"/>
    <x v="4"/>
    <x v="3"/>
    <x v="8"/>
    <s v="Credit Card"/>
    <n v="4429"/>
    <x v="1"/>
    <x v="0"/>
    <n v="8"/>
    <n v="1000"/>
    <x v="0"/>
  </r>
  <r>
    <d v="2024-11-13T00:00:00"/>
    <x v="11"/>
    <x v="2"/>
    <x v="7"/>
    <s v="UPI"/>
    <n v="394"/>
    <x v="1"/>
    <x v="0"/>
    <n v="11"/>
    <n v="5000"/>
    <x v="1"/>
  </r>
  <r>
    <d v="2023-06-05T00:00:00"/>
    <x v="10"/>
    <x v="0"/>
    <x v="0"/>
    <s v="UPI"/>
    <n v="1087"/>
    <x v="0"/>
    <x v="0"/>
    <n v="6"/>
    <n v="2000"/>
    <x v="1"/>
  </r>
  <r>
    <d v="2024-04-30T00:00:00"/>
    <x v="6"/>
    <x v="1"/>
    <x v="5"/>
    <s v="UPI"/>
    <n v="2514"/>
    <x v="1"/>
    <x v="0"/>
    <n v="4"/>
    <n v="5000"/>
    <x v="1"/>
  </r>
  <r>
    <d v="2024-06-12T00:00:00"/>
    <x v="10"/>
    <x v="8"/>
    <x v="0"/>
    <s v="Credit Card"/>
    <n v="3297"/>
    <x v="1"/>
    <x v="0"/>
    <n v="6"/>
    <n v="7000"/>
    <x v="1"/>
  </r>
  <r>
    <d v="2023-03-12T00:00:00"/>
    <x v="2"/>
    <x v="1"/>
    <x v="2"/>
    <s v="Net Banking"/>
    <n v="2233"/>
    <x v="1"/>
    <x v="0"/>
    <n v="3"/>
    <n v="5000"/>
    <x v="1"/>
  </r>
  <r>
    <d v="2023-06-13T00:00:00"/>
    <x v="10"/>
    <x v="0"/>
    <x v="5"/>
    <s v="Credit Card"/>
    <n v="2563"/>
    <x v="0"/>
    <x v="0"/>
    <n v="6"/>
    <n v="2000"/>
    <x v="0"/>
  </r>
  <r>
    <d v="2023-01-04T00:00:00"/>
    <x v="8"/>
    <x v="2"/>
    <x v="9"/>
    <s v="Debit Card"/>
    <n v="1293"/>
    <x v="1"/>
    <x v="0"/>
    <n v="1"/>
    <n v="5000"/>
    <x v="1"/>
  </r>
  <r>
    <d v="2024-01-27T00:00:00"/>
    <x v="8"/>
    <x v="1"/>
    <x v="6"/>
    <s v="Net Banking"/>
    <n v="3449"/>
    <x v="1"/>
    <x v="0"/>
    <n v="1"/>
    <n v="5000"/>
    <x v="1"/>
  </r>
  <r>
    <d v="2024-09-04T00:00:00"/>
    <x v="9"/>
    <x v="7"/>
    <x v="8"/>
    <s v="Cash"/>
    <n v="2530"/>
    <x v="1"/>
    <x v="1"/>
    <n v="9"/>
    <n v="10000"/>
    <x v="1"/>
  </r>
  <r>
    <d v="2024-12-25T00:00:00"/>
    <x v="1"/>
    <x v="0"/>
    <x v="5"/>
    <s v="Credit Card"/>
    <n v="1799"/>
    <x v="0"/>
    <x v="0"/>
    <n v="12"/>
    <n v="2000"/>
    <x v="1"/>
  </r>
  <r>
    <d v="2024-03-06T00:00:00"/>
    <x v="2"/>
    <x v="8"/>
    <x v="4"/>
    <s v="Debit Card"/>
    <n v="2161"/>
    <x v="1"/>
    <x v="0"/>
    <n v="3"/>
    <n v="7000"/>
    <x v="1"/>
  </r>
  <r>
    <d v="2024-07-21T00:00:00"/>
    <x v="3"/>
    <x v="7"/>
    <x v="8"/>
    <s v="Debit Card"/>
    <n v="1748"/>
    <x v="1"/>
    <x v="0"/>
    <n v="7"/>
    <n v="10000"/>
    <x v="1"/>
  </r>
  <r>
    <d v="2023-01-12T00:00:00"/>
    <x v="8"/>
    <x v="4"/>
    <x v="3"/>
    <s v="UPI"/>
    <n v="658"/>
    <x v="1"/>
    <x v="0"/>
    <n v="1"/>
    <n v="4000"/>
    <x v="1"/>
  </r>
  <r>
    <d v="2024-06-15T00:00:00"/>
    <x v="10"/>
    <x v="1"/>
    <x v="9"/>
    <s v="UPI"/>
    <n v="3249"/>
    <x v="1"/>
    <x v="0"/>
    <n v="6"/>
    <n v="5000"/>
    <x v="1"/>
  </r>
  <r>
    <d v="2023-09-23T00:00:00"/>
    <x v="9"/>
    <x v="5"/>
    <x v="5"/>
    <s v="Credit Card"/>
    <n v="3537"/>
    <x v="0"/>
    <x v="0"/>
    <n v="9"/>
    <n v="3000"/>
    <x v="0"/>
  </r>
  <r>
    <d v="2023-10-08T00:00:00"/>
    <x v="0"/>
    <x v="5"/>
    <x v="4"/>
    <s v="UPI"/>
    <n v="2551"/>
    <x v="0"/>
    <x v="0"/>
    <n v="10"/>
    <n v="3000"/>
    <x v="1"/>
  </r>
  <r>
    <d v="2023-07-11T00:00:00"/>
    <x v="3"/>
    <x v="4"/>
    <x v="5"/>
    <s v="Debit Card"/>
    <n v="1106"/>
    <x v="1"/>
    <x v="0"/>
    <n v="7"/>
    <n v="4000"/>
    <x v="1"/>
  </r>
  <r>
    <d v="2024-03-14T00:00:00"/>
    <x v="2"/>
    <x v="6"/>
    <x v="9"/>
    <s v="Cash"/>
    <n v="1258"/>
    <x v="0"/>
    <x v="1"/>
    <n v="3"/>
    <n v="5500"/>
    <x v="1"/>
  </r>
  <r>
    <d v="2023-06-05T00:00:00"/>
    <x v="10"/>
    <x v="1"/>
    <x v="4"/>
    <s v="Credit Card"/>
    <n v="3159"/>
    <x v="1"/>
    <x v="0"/>
    <n v="6"/>
    <n v="5000"/>
    <x v="1"/>
  </r>
  <r>
    <d v="2024-05-03T00:00:00"/>
    <x v="5"/>
    <x v="3"/>
    <x v="1"/>
    <s v="Net Banking"/>
    <n v="2674"/>
    <x v="1"/>
    <x v="0"/>
    <n v="5"/>
    <n v="1000"/>
    <x v="0"/>
  </r>
  <r>
    <d v="2023-03-18T00:00:00"/>
    <x v="2"/>
    <x v="0"/>
    <x v="5"/>
    <s v="Cash"/>
    <n v="1724"/>
    <x v="0"/>
    <x v="1"/>
    <n v="3"/>
    <n v="2000"/>
    <x v="1"/>
  </r>
  <r>
    <d v="2023-03-28T00:00:00"/>
    <x v="2"/>
    <x v="5"/>
    <x v="8"/>
    <s v="Credit Card"/>
    <n v="1091"/>
    <x v="0"/>
    <x v="0"/>
    <n v="3"/>
    <n v="3000"/>
    <x v="1"/>
  </r>
  <r>
    <d v="2023-10-27T00:00:00"/>
    <x v="0"/>
    <x v="3"/>
    <x v="4"/>
    <s v="Cash"/>
    <n v="941"/>
    <x v="1"/>
    <x v="1"/>
    <n v="10"/>
    <n v="1000"/>
    <x v="1"/>
  </r>
  <r>
    <d v="2024-11-24T00:00:00"/>
    <x v="11"/>
    <x v="1"/>
    <x v="3"/>
    <s v="Debit Card"/>
    <n v="3151"/>
    <x v="1"/>
    <x v="0"/>
    <n v="11"/>
    <n v="5000"/>
    <x v="1"/>
  </r>
  <r>
    <d v="2023-10-29T00:00:00"/>
    <x v="0"/>
    <x v="5"/>
    <x v="8"/>
    <s v="UPI"/>
    <n v="2920"/>
    <x v="0"/>
    <x v="0"/>
    <n v="10"/>
    <n v="3000"/>
    <x v="1"/>
  </r>
  <r>
    <d v="2023-08-01T00:00:00"/>
    <x v="4"/>
    <x v="8"/>
    <x v="3"/>
    <s v="UPI"/>
    <n v="4418"/>
    <x v="1"/>
    <x v="0"/>
    <n v="8"/>
    <n v="7000"/>
    <x v="1"/>
  </r>
  <r>
    <d v="2023-09-04T00:00:00"/>
    <x v="9"/>
    <x v="1"/>
    <x v="8"/>
    <s v="Net Banking"/>
    <n v="1050"/>
    <x v="1"/>
    <x v="0"/>
    <n v="9"/>
    <n v="5000"/>
    <x v="1"/>
  </r>
  <r>
    <d v="2024-04-30T00:00:00"/>
    <x v="6"/>
    <x v="3"/>
    <x v="0"/>
    <s v="UPI"/>
    <n v="1156"/>
    <x v="1"/>
    <x v="0"/>
    <n v="4"/>
    <n v="1000"/>
    <x v="0"/>
  </r>
  <r>
    <d v="2023-07-29T00:00:00"/>
    <x v="3"/>
    <x v="8"/>
    <x v="2"/>
    <s v="Cash"/>
    <n v="1982"/>
    <x v="1"/>
    <x v="1"/>
    <n v="7"/>
    <n v="7000"/>
    <x v="1"/>
  </r>
  <r>
    <d v="2023-04-29T00:00:00"/>
    <x v="6"/>
    <x v="6"/>
    <x v="5"/>
    <s v="Net Banking"/>
    <n v="3241"/>
    <x v="0"/>
    <x v="0"/>
    <n v="4"/>
    <n v="5500"/>
    <x v="1"/>
  </r>
  <r>
    <d v="2023-02-14T00:00:00"/>
    <x v="7"/>
    <x v="6"/>
    <x v="8"/>
    <s v="UPI"/>
    <n v="1387"/>
    <x v="0"/>
    <x v="0"/>
    <n v="2"/>
    <n v="5500"/>
    <x v="1"/>
  </r>
  <r>
    <d v="2023-10-06T00:00:00"/>
    <x v="0"/>
    <x v="4"/>
    <x v="2"/>
    <s v="UPI"/>
    <n v="3292"/>
    <x v="1"/>
    <x v="0"/>
    <n v="10"/>
    <n v="4000"/>
    <x v="1"/>
  </r>
  <r>
    <d v="2023-08-13T00:00:00"/>
    <x v="4"/>
    <x v="0"/>
    <x v="9"/>
    <s v="Credit Card"/>
    <n v="1850"/>
    <x v="0"/>
    <x v="0"/>
    <n v="8"/>
    <n v="2000"/>
    <x v="1"/>
  </r>
  <r>
    <d v="2023-01-29T00:00:00"/>
    <x v="8"/>
    <x v="4"/>
    <x v="5"/>
    <s v="Net Banking"/>
    <n v="2677"/>
    <x v="1"/>
    <x v="0"/>
    <n v="1"/>
    <n v="4000"/>
    <x v="1"/>
  </r>
  <r>
    <d v="2024-08-28T00:00:00"/>
    <x v="4"/>
    <x v="1"/>
    <x v="9"/>
    <s v="UPI"/>
    <n v="549"/>
    <x v="1"/>
    <x v="0"/>
    <n v="8"/>
    <n v="5000"/>
    <x v="1"/>
  </r>
  <r>
    <d v="2024-01-22T00:00:00"/>
    <x v="8"/>
    <x v="2"/>
    <x v="1"/>
    <s v="Cash"/>
    <n v="1335"/>
    <x v="1"/>
    <x v="1"/>
    <n v="1"/>
    <n v="5000"/>
    <x v="1"/>
  </r>
  <r>
    <d v="2023-05-03T00:00:00"/>
    <x v="5"/>
    <x v="6"/>
    <x v="4"/>
    <s v="Cash"/>
    <n v="1962"/>
    <x v="0"/>
    <x v="1"/>
    <n v="5"/>
    <n v="5500"/>
    <x v="1"/>
  </r>
  <r>
    <d v="2023-01-08T00:00:00"/>
    <x v="8"/>
    <x v="7"/>
    <x v="9"/>
    <s v="UPI"/>
    <n v="923"/>
    <x v="1"/>
    <x v="0"/>
    <n v="1"/>
    <n v="10000"/>
    <x v="1"/>
  </r>
  <r>
    <d v="2024-11-24T00:00:00"/>
    <x v="11"/>
    <x v="2"/>
    <x v="3"/>
    <s v="Net Banking"/>
    <n v="1418"/>
    <x v="1"/>
    <x v="0"/>
    <n v="11"/>
    <n v="5000"/>
    <x v="1"/>
  </r>
  <r>
    <d v="2023-09-11T00:00:00"/>
    <x v="9"/>
    <x v="3"/>
    <x v="3"/>
    <s v="Cash"/>
    <n v="3588"/>
    <x v="1"/>
    <x v="1"/>
    <n v="9"/>
    <n v="1000"/>
    <x v="0"/>
  </r>
  <r>
    <d v="2023-10-10T00:00:00"/>
    <x v="0"/>
    <x v="8"/>
    <x v="8"/>
    <s v="Cash"/>
    <n v="936"/>
    <x v="1"/>
    <x v="1"/>
    <n v="10"/>
    <n v="7000"/>
    <x v="1"/>
  </r>
  <r>
    <d v="2024-07-02T00:00:00"/>
    <x v="3"/>
    <x v="7"/>
    <x v="6"/>
    <s v="Credit Card"/>
    <n v="1639"/>
    <x v="1"/>
    <x v="0"/>
    <n v="7"/>
    <n v="10000"/>
    <x v="1"/>
  </r>
  <r>
    <d v="2024-11-30T00:00:00"/>
    <x v="11"/>
    <x v="8"/>
    <x v="3"/>
    <s v="Cash"/>
    <n v="4080"/>
    <x v="1"/>
    <x v="1"/>
    <n v="11"/>
    <n v="7000"/>
    <x v="1"/>
  </r>
  <r>
    <d v="2023-11-30T00:00:00"/>
    <x v="11"/>
    <x v="2"/>
    <x v="4"/>
    <s v="Cash"/>
    <n v="856"/>
    <x v="1"/>
    <x v="1"/>
    <n v="11"/>
    <n v="5000"/>
    <x v="1"/>
  </r>
  <r>
    <d v="2023-04-07T00:00:00"/>
    <x v="6"/>
    <x v="2"/>
    <x v="4"/>
    <s v="UPI"/>
    <n v="4843"/>
    <x v="1"/>
    <x v="0"/>
    <n v="4"/>
    <n v="5000"/>
    <x v="1"/>
  </r>
  <r>
    <d v="2024-05-29T00:00:00"/>
    <x v="5"/>
    <x v="0"/>
    <x v="9"/>
    <s v="UPI"/>
    <n v="3268"/>
    <x v="0"/>
    <x v="0"/>
    <n v="5"/>
    <n v="2000"/>
    <x v="0"/>
  </r>
  <r>
    <d v="2023-02-03T00:00:00"/>
    <x v="7"/>
    <x v="1"/>
    <x v="2"/>
    <s v="Debit Card"/>
    <n v="1464"/>
    <x v="1"/>
    <x v="0"/>
    <n v="2"/>
    <n v="5000"/>
    <x v="1"/>
  </r>
  <r>
    <d v="2024-04-23T00:00:00"/>
    <x v="6"/>
    <x v="6"/>
    <x v="9"/>
    <s v="Net Banking"/>
    <n v="3022"/>
    <x v="0"/>
    <x v="0"/>
    <n v="4"/>
    <n v="5500"/>
    <x v="1"/>
  </r>
  <r>
    <d v="2024-11-29T00:00:00"/>
    <x v="11"/>
    <x v="3"/>
    <x v="6"/>
    <s v="Cash"/>
    <n v="2284"/>
    <x v="1"/>
    <x v="1"/>
    <n v="11"/>
    <n v="1000"/>
    <x v="0"/>
  </r>
  <r>
    <d v="2023-12-28T00:00:00"/>
    <x v="1"/>
    <x v="5"/>
    <x v="8"/>
    <s v="Net Banking"/>
    <n v="1888"/>
    <x v="0"/>
    <x v="0"/>
    <n v="12"/>
    <n v="3000"/>
    <x v="1"/>
  </r>
  <r>
    <d v="2024-05-21T00:00:00"/>
    <x v="5"/>
    <x v="6"/>
    <x v="0"/>
    <s v="Net Banking"/>
    <n v="2017"/>
    <x v="0"/>
    <x v="0"/>
    <n v="5"/>
    <n v="5500"/>
    <x v="1"/>
  </r>
  <r>
    <d v="2024-05-08T00:00:00"/>
    <x v="5"/>
    <x v="3"/>
    <x v="3"/>
    <s v="Credit Card"/>
    <n v="936"/>
    <x v="1"/>
    <x v="0"/>
    <n v="5"/>
    <n v="1000"/>
    <x v="1"/>
  </r>
  <r>
    <d v="2023-08-10T00:00:00"/>
    <x v="4"/>
    <x v="2"/>
    <x v="9"/>
    <s v="Net Banking"/>
    <n v="521"/>
    <x v="1"/>
    <x v="0"/>
    <n v="8"/>
    <n v="5000"/>
    <x v="1"/>
  </r>
  <r>
    <d v="2023-04-28T00:00:00"/>
    <x v="6"/>
    <x v="3"/>
    <x v="9"/>
    <s v="Credit Card"/>
    <n v="1592"/>
    <x v="1"/>
    <x v="0"/>
    <n v="4"/>
    <n v="1000"/>
    <x v="0"/>
  </r>
  <r>
    <d v="2024-03-02T00:00:00"/>
    <x v="2"/>
    <x v="2"/>
    <x v="2"/>
    <s v="Net Banking"/>
    <n v="3153"/>
    <x v="1"/>
    <x v="0"/>
    <n v="3"/>
    <n v="5000"/>
    <x v="1"/>
  </r>
  <r>
    <d v="2023-09-02T00:00:00"/>
    <x v="9"/>
    <x v="5"/>
    <x v="3"/>
    <s v="Debit Card"/>
    <n v="1302"/>
    <x v="0"/>
    <x v="0"/>
    <n v="9"/>
    <n v="3000"/>
    <x v="1"/>
  </r>
  <r>
    <d v="2024-04-26T00:00:00"/>
    <x v="6"/>
    <x v="6"/>
    <x v="7"/>
    <s v="UPI"/>
    <n v="3547"/>
    <x v="0"/>
    <x v="0"/>
    <n v="4"/>
    <n v="5500"/>
    <x v="1"/>
  </r>
  <r>
    <d v="2024-04-24T00:00:00"/>
    <x v="6"/>
    <x v="8"/>
    <x v="8"/>
    <s v="Net Banking"/>
    <n v="2486"/>
    <x v="1"/>
    <x v="0"/>
    <n v="4"/>
    <n v="7000"/>
    <x v="1"/>
  </r>
  <r>
    <d v="2023-03-09T00:00:00"/>
    <x v="2"/>
    <x v="0"/>
    <x v="1"/>
    <s v="Cash"/>
    <n v="1960"/>
    <x v="0"/>
    <x v="1"/>
    <n v="3"/>
    <n v="2000"/>
    <x v="1"/>
  </r>
  <r>
    <d v="2024-01-13T00:00:00"/>
    <x v="8"/>
    <x v="0"/>
    <x v="2"/>
    <s v="Debit Card"/>
    <n v="1245"/>
    <x v="0"/>
    <x v="0"/>
    <n v="1"/>
    <n v="2000"/>
    <x v="1"/>
  </r>
  <r>
    <d v="2024-12-25T00:00:00"/>
    <x v="1"/>
    <x v="8"/>
    <x v="7"/>
    <s v="Credit Card"/>
    <n v="2727"/>
    <x v="1"/>
    <x v="0"/>
    <n v="12"/>
    <n v="7000"/>
    <x v="1"/>
  </r>
  <r>
    <d v="2023-08-30T00:00:00"/>
    <x v="4"/>
    <x v="8"/>
    <x v="0"/>
    <s v="Cash"/>
    <n v="3911"/>
    <x v="1"/>
    <x v="1"/>
    <n v="8"/>
    <n v="7000"/>
    <x v="1"/>
  </r>
  <r>
    <d v="2023-02-13T00:00:00"/>
    <x v="7"/>
    <x v="6"/>
    <x v="1"/>
    <s v="Cash"/>
    <n v="4848"/>
    <x v="0"/>
    <x v="1"/>
    <n v="2"/>
    <n v="5500"/>
    <x v="1"/>
  </r>
  <r>
    <d v="2024-10-20T00:00:00"/>
    <x v="0"/>
    <x v="2"/>
    <x v="7"/>
    <s v="Net Banking"/>
    <n v="2462"/>
    <x v="1"/>
    <x v="0"/>
    <n v="10"/>
    <n v="5000"/>
    <x v="1"/>
  </r>
  <r>
    <d v="2023-11-24T00:00:00"/>
    <x v="11"/>
    <x v="7"/>
    <x v="8"/>
    <s v="UPI"/>
    <n v="4775"/>
    <x v="1"/>
    <x v="0"/>
    <n v="11"/>
    <n v="10000"/>
    <x v="1"/>
  </r>
  <r>
    <d v="2024-11-12T00:00:00"/>
    <x v="11"/>
    <x v="6"/>
    <x v="9"/>
    <s v="Credit Card"/>
    <n v="4146"/>
    <x v="0"/>
    <x v="0"/>
    <n v="11"/>
    <n v="5500"/>
    <x v="1"/>
  </r>
  <r>
    <d v="2024-04-29T00:00:00"/>
    <x v="6"/>
    <x v="0"/>
    <x v="9"/>
    <s v="Credit Card"/>
    <n v="2077"/>
    <x v="0"/>
    <x v="0"/>
    <n v="4"/>
    <n v="2000"/>
    <x v="0"/>
  </r>
  <r>
    <d v="2024-04-11T00:00:00"/>
    <x v="6"/>
    <x v="8"/>
    <x v="1"/>
    <s v="Credit Card"/>
    <n v="2469"/>
    <x v="1"/>
    <x v="0"/>
    <n v="4"/>
    <n v="7000"/>
    <x v="1"/>
  </r>
  <r>
    <d v="2023-08-01T00:00:00"/>
    <x v="4"/>
    <x v="2"/>
    <x v="8"/>
    <s v="UPI"/>
    <n v="2202"/>
    <x v="1"/>
    <x v="0"/>
    <n v="8"/>
    <n v="5000"/>
    <x v="1"/>
  </r>
  <r>
    <d v="2024-11-26T00:00:00"/>
    <x v="11"/>
    <x v="6"/>
    <x v="1"/>
    <s v="Cash"/>
    <n v="2735"/>
    <x v="0"/>
    <x v="1"/>
    <n v="11"/>
    <n v="5500"/>
    <x v="1"/>
  </r>
  <r>
    <d v="2024-01-17T00:00:00"/>
    <x v="8"/>
    <x v="2"/>
    <x v="3"/>
    <s v="Cash"/>
    <n v="4278"/>
    <x v="1"/>
    <x v="1"/>
    <n v="1"/>
    <n v="5000"/>
    <x v="1"/>
  </r>
  <r>
    <d v="2023-04-22T00:00:00"/>
    <x v="6"/>
    <x v="8"/>
    <x v="2"/>
    <s v="Credit Card"/>
    <n v="3393"/>
    <x v="1"/>
    <x v="0"/>
    <n v="4"/>
    <n v="7000"/>
    <x v="1"/>
  </r>
  <r>
    <d v="2024-12-23T00:00:00"/>
    <x v="1"/>
    <x v="1"/>
    <x v="0"/>
    <s v="UPI"/>
    <n v="699"/>
    <x v="1"/>
    <x v="0"/>
    <n v="12"/>
    <n v="5000"/>
    <x v="1"/>
  </r>
  <r>
    <d v="2023-03-23T00:00:00"/>
    <x v="2"/>
    <x v="7"/>
    <x v="1"/>
    <s v="Cash"/>
    <n v="450"/>
    <x v="1"/>
    <x v="1"/>
    <n v="3"/>
    <n v="10000"/>
    <x v="1"/>
  </r>
  <r>
    <d v="2024-02-14T00:00:00"/>
    <x v="7"/>
    <x v="6"/>
    <x v="2"/>
    <s v="Cash"/>
    <n v="3531"/>
    <x v="0"/>
    <x v="1"/>
    <n v="2"/>
    <n v="5500"/>
    <x v="1"/>
  </r>
  <r>
    <d v="2023-08-04T00:00:00"/>
    <x v="4"/>
    <x v="2"/>
    <x v="6"/>
    <s v="Net Banking"/>
    <n v="1334"/>
    <x v="1"/>
    <x v="0"/>
    <n v="8"/>
    <n v="5000"/>
    <x v="1"/>
  </r>
  <r>
    <d v="2024-06-27T00:00:00"/>
    <x v="10"/>
    <x v="1"/>
    <x v="8"/>
    <s v="UPI"/>
    <n v="4538"/>
    <x v="1"/>
    <x v="0"/>
    <n v="6"/>
    <n v="5000"/>
    <x v="1"/>
  </r>
  <r>
    <d v="2023-11-13T00:00:00"/>
    <x v="11"/>
    <x v="7"/>
    <x v="8"/>
    <s v="Cash"/>
    <n v="2361"/>
    <x v="1"/>
    <x v="1"/>
    <n v="11"/>
    <n v="10000"/>
    <x v="1"/>
  </r>
  <r>
    <d v="2023-04-09T00:00:00"/>
    <x v="6"/>
    <x v="6"/>
    <x v="2"/>
    <s v="Cash"/>
    <n v="3355"/>
    <x v="0"/>
    <x v="1"/>
    <n v="4"/>
    <n v="5500"/>
    <x v="1"/>
  </r>
  <r>
    <d v="2024-03-21T00:00:00"/>
    <x v="2"/>
    <x v="1"/>
    <x v="5"/>
    <s v="UPI"/>
    <n v="2677"/>
    <x v="1"/>
    <x v="0"/>
    <n v="3"/>
    <n v="5000"/>
    <x v="1"/>
  </r>
  <r>
    <d v="2024-11-09T00:00:00"/>
    <x v="11"/>
    <x v="7"/>
    <x v="9"/>
    <s v="Debit Card"/>
    <n v="536"/>
    <x v="1"/>
    <x v="0"/>
    <n v="11"/>
    <n v="10000"/>
    <x v="1"/>
  </r>
  <r>
    <d v="2024-11-13T00:00:00"/>
    <x v="11"/>
    <x v="5"/>
    <x v="0"/>
    <s v="Debit Card"/>
    <n v="554"/>
    <x v="0"/>
    <x v="0"/>
    <n v="11"/>
    <n v="3000"/>
    <x v="1"/>
  </r>
  <r>
    <d v="2024-06-15T00:00:00"/>
    <x v="10"/>
    <x v="3"/>
    <x v="1"/>
    <s v="Credit Card"/>
    <n v="4436"/>
    <x v="1"/>
    <x v="0"/>
    <n v="6"/>
    <n v="1000"/>
    <x v="0"/>
  </r>
  <r>
    <d v="2024-01-16T00:00:00"/>
    <x v="8"/>
    <x v="3"/>
    <x v="0"/>
    <s v="UPI"/>
    <n v="4135"/>
    <x v="1"/>
    <x v="0"/>
    <n v="1"/>
    <n v="1000"/>
    <x v="0"/>
  </r>
  <r>
    <d v="2023-09-29T00:00:00"/>
    <x v="9"/>
    <x v="7"/>
    <x v="5"/>
    <s v="Debit Card"/>
    <n v="4225"/>
    <x v="1"/>
    <x v="0"/>
    <n v="9"/>
    <n v="10000"/>
    <x v="1"/>
  </r>
  <r>
    <d v="2023-07-05T00:00:00"/>
    <x v="3"/>
    <x v="3"/>
    <x v="8"/>
    <s v="Cash"/>
    <n v="370"/>
    <x v="1"/>
    <x v="1"/>
    <n v="7"/>
    <n v="1000"/>
    <x v="1"/>
  </r>
  <r>
    <d v="2024-02-11T00:00:00"/>
    <x v="7"/>
    <x v="1"/>
    <x v="7"/>
    <s v="Cash"/>
    <n v="649"/>
    <x v="1"/>
    <x v="1"/>
    <n v="2"/>
    <n v="5000"/>
    <x v="1"/>
  </r>
  <r>
    <d v="2024-01-01T00:00:00"/>
    <x v="8"/>
    <x v="7"/>
    <x v="6"/>
    <s v="Credit Card"/>
    <n v="771"/>
    <x v="1"/>
    <x v="0"/>
    <n v="1"/>
    <n v="10000"/>
    <x v="1"/>
  </r>
  <r>
    <d v="2023-09-18T00:00:00"/>
    <x v="9"/>
    <x v="0"/>
    <x v="4"/>
    <s v="Net Banking"/>
    <n v="3348"/>
    <x v="0"/>
    <x v="0"/>
    <n v="9"/>
    <n v="2000"/>
    <x v="0"/>
  </r>
  <r>
    <d v="2024-03-12T00:00:00"/>
    <x v="2"/>
    <x v="2"/>
    <x v="0"/>
    <s v="Net Banking"/>
    <n v="4979"/>
    <x v="1"/>
    <x v="0"/>
    <n v="3"/>
    <n v="5000"/>
    <x v="1"/>
  </r>
  <r>
    <d v="2023-03-04T00:00:00"/>
    <x v="2"/>
    <x v="6"/>
    <x v="6"/>
    <s v="Cash"/>
    <n v="612"/>
    <x v="0"/>
    <x v="1"/>
    <n v="3"/>
    <n v="5500"/>
    <x v="1"/>
  </r>
  <r>
    <d v="2023-10-02T00:00:00"/>
    <x v="0"/>
    <x v="6"/>
    <x v="9"/>
    <s v="Credit Card"/>
    <n v="697"/>
    <x v="0"/>
    <x v="0"/>
    <n v="10"/>
    <n v="5500"/>
    <x v="1"/>
  </r>
  <r>
    <d v="2024-11-25T00:00:00"/>
    <x v="11"/>
    <x v="4"/>
    <x v="1"/>
    <s v="UPI"/>
    <n v="92"/>
    <x v="1"/>
    <x v="0"/>
    <n v="11"/>
    <n v="4000"/>
    <x v="1"/>
  </r>
  <r>
    <d v="2024-04-05T00:00:00"/>
    <x v="6"/>
    <x v="8"/>
    <x v="9"/>
    <s v="Credit Card"/>
    <n v="1359"/>
    <x v="1"/>
    <x v="0"/>
    <n v="4"/>
    <n v="7000"/>
    <x v="1"/>
  </r>
  <r>
    <d v="2023-11-04T00:00:00"/>
    <x v="11"/>
    <x v="0"/>
    <x v="0"/>
    <s v="Cash"/>
    <n v="3558"/>
    <x v="0"/>
    <x v="1"/>
    <n v="11"/>
    <n v="2000"/>
    <x v="0"/>
  </r>
  <r>
    <d v="2023-02-04T00:00:00"/>
    <x v="7"/>
    <x v="4"/>
    <x v="5"/>
    <s v="Cash"/>
    <n v="3756"/>
    <x v="1"/>
    <x v="1"/>
    <n v="2"/>
    <n v="4000"/>
    <x v="1"/>
  </r>
  <r>
    <d v="2023-12-18T00:00:00"/>
    <x v="1"/>
    <x v="4"/>
    <x v="2"/>
    <s v="UPI"/>
    <n v="938"/>
    <x v="1"/>
    <x v="0"/>
    <n v="12"/>
    <n v="4000"/>
    <x v="1"/>
  </r>
  <r>
    <d v="2023-08-01T00:00:00"/>
    <x v="4"/>
    <x v="6"/>
    <x v="5"/>
    <s v="UPI"/>
    <n v="4925"/>
    <x v="0"/>
    <x v="0"/>
    <n v="8"/>
    <n v="5500"/>
    <x v="1"/>
  </r>
  <r>
    <d v="2024-02-08T00:00:00"/>
    <x v="7"/>
    <x v="4"/>
    <x v="8"/>
    <s v="Debit Card"/>
    <n v="976"/>
    <x v="1"/>
    <x v="0"/>
    <n v="2"/>
    <n v="4000"/>
    <x v="1"/>
  </r>
  <r>
    <d v="2024-09-01T00:00:00"/>
    <x v="9"/>
    <x v="5"/>
    <x v="0"/>
    <s v="Credit Card"/>
    <n v="627"/>
    <x v="0"/>
    <x v="0"/>
    <n v="9"/>
    <n v="3000"/>
    <x v="1"/>
  </r>
  <r>
    <d v="2024-01-23T00:00:00"/>
    <x v="8"/>
    <x v="3"/>
    <x v="5"/>
    <s v="Cash"/>
    <n v="3346"/>
    <x v="1"/>
    <x v="1"/>
    <n v="1"/>
    <n v="1000"/>
    <x v="0"/>
  </r>
  <r>
    <d v="2023-12-11T00:00:00"/>
    <x v="1"/>
    <x v="7"/>
    <x v="5"/>
    <s v="Credit Card"/>
    <n v="281"/>
    <x v="1"/>
    <x v="0"/>
    <n v="12"/>
    <n v="10000"/>
    <x v="1"/>
  </r>
  <r>
    <d v="2024-07-13T00:00:00"/>
    <x v="3"/>
    <x v="5"/>
    <x v="3"/>
    <s v="Credit Card"/>
    <n v="640"/>
    <x v="0"/>
    <x v="0"/>
    <n v="7"/>
    <n v="3000"/>
    <x v="1"/>
  </r>
  <r>
    <d v="2024-08-05T00:00:00"/>
    <x v="4"/>
    <x v="2"/>
    <x v="5"/>
    <s v="Cash"/>
    <n v="3989"/>
    <x v="1"/>
    <x v="1"/>
    <n v="8"/>
    <n v="5000"/>
    <x v="1"/>
  </r>
  <r>
    <d v="2024-09-08T00:00:00"/>
    <x v="9"/>
    <x v="0"/>
    <x v="4"/>
    <s v="Net Banking"/>
    <n v="4349"/>
    <x v="0"/>
    <x v="0"/>
    <n v="9"/>
    <n v="2000"/>
    <x v="0"/>
  </r>
  <r>
    <d v="2023-02-19T00:00:00"/>
    <x v="7"/>
    <x v="3"/>
    <x v="3"/>
    <s v="UPI"/>
    <n v="2456"/>
    <x v="1"/>
    <x v="0"/>
    <n v="2"/>
    <n v="1000"/>
    <x v="0"/>
  </r>
  <r>
    <d v="2023-02-17T00:00:00"/>
    <x v="7"/>
    <x v="7"/>
    <x v="2"/>
    <s v="Cash"/>
    <n v="3397"/>
    <x v="1"/>
    <x v="1"/>
    <n v="2"/>
    <n v="10000"/>
    <x v="1"/>
  </r>
  <r>
    <d v="2024-10-19T00:00:00"/>
    <x v="0"/>
    <x v="2"/>
    <x v="9"/>
    <s v="Credit Card"/>
    <n v="4951"/>
    <x v="1"/>
    <x v="0"/>
    <n v="10"/>
    <n v="5000"/>
    <x v="1"/>
  </r>
  <r>
    <d v="2024-10-26T00:00:00"/>
    <x v="0"/>
    <x v="2"/>
    <x v="8"/>
    <s v="Debit Card"/>
    <n v="1901"/>
    <x v="1"/>
    <x v="0"/>
    <n v="10"/>
    <n v="5000"/>
    <x v="1"/>
  </r>
  <r>
    <d v="2024-03-03T00:00:00"/>
    <x v="2"/>
    <x v="8"/>
    <x v="4"/>
    <s v="Debit Card"/>
    <n v="3330"/>
    <x v="1"/>
    <x v="0"/>
    <n v="3"/>
    <n v="7000"/>
    <x v="1"/>
  </r>
  <r>
    <d v="2024-07-12T00:00:00"/>
    <x v="3"/>
    <x v="3"/>
    <x v="7"/>
    <s v="Net Banking"/>
    <n v="934"/>
    <x v="1"/>
    <x v="0"/>
    <n v="7"/>
    <n v="1000"/>
    <x v="1"/>
  </r>
  <r>
    <d v="2023-04-04T00:00:00"/>
    <x v="6"/>
    <x v="0"/>
    <x v="0"/>
    <s v="UPI"/>
    <n v="990"/>
    <x v="0"/>
    <x v="0"/>
    <n v="4"/>
    <n v="2000"/>
    <x v="1"/>
  </r>
  <r>
    <d v="2023-04-14T00:00:00"/>
    <x v="6"/>
    <x v="8"/>
    <x v="4"/>
    <s v="Net Banking"/>
    <n v="4512"/>
    <x v="1"/>
    <x v="0"/>
    <n v="4"/>
    <n v="7000"/>
    <x v="1"/>
  </r>
  <r>
    <d v="2024-10-31T00:00:00"/>
    <x v="0"/>
    <x v="7"/>
    <x v="3"/>
    <s v="Cash"/>
    <n v="2701"/>
    <x v="1"/>
    <x v="1"/>
    <n v="10"/>
    <n v="10000"/>
    <x v="1"/>
  </r>
  <r>
    <d v="2023-12-05T00:00:00"/>
    <x v="1"/>
    <x v="2"/>
    <x v="7"/>
    <s v="Debit Card"/>
    <n v="3483"/>
    <x v="1"/>
    <x v="0"/>
    <n v="12"/>
    <n v="5000"/>
    <x v="1"/>
  </r>
  <r>
    <d v="2024-03-20T00:00:00"/>
    <x v="2"/>
    <x v="0"/>
    <x v="7"/>
    <s v="Cash"/>
    <n v="4908"/>
    <x v="0"/>
    <x v="1"/>
    <n v="3"/>
    <n v="2000"/>
    <x v="0"/>
  </r>
  <r>
    <d v="2023-07-09T00:00:00"/>
    <x v="3"/>
    <x v="0"/>
    <x v="4"/>
    <s v="Credit Card"/>
    <n v="588"/>
    <x v="0"/>
    <x v="0"/>
    <n v="7"/>
    <n v="2000"/>
    <x v="1"/>
  </r>
  <r>
    <d v="2023-10-20T00:00:00"/>
    <x v="0"/>
    <x v="7"/>
    <x v="0"/>
    <s v="UPI"/>
    <n v="3934"/>
    <x v="1"/>
    <x v="0"/>
    <n v="10"/>
    <n v="10000"/>
    <x v="1"/>
  </r>
  <r>
    <d v="2024-04-15T00:00:00"/>
    <x v="6"/>
    <x v="3"/>
    <x v="2"/>
    <s v="Cash"/>
    <n v="3809"/>
    <x v="1"/>
    <x v="1"/>
    <n v="4"/>
    <n v="1000"/>
    <x v="0"/>
  </r>
  <r>
    <d v="2024-01-21T00:00:00"/>
    <x v="8"/>
    <x v="6"/>
    <x v="1"/>
    <s v="Credit Card"/>
    <n v="1224"/>
    <x v="0"/>
    <x v="0"/>
    <n v="1"/>
    <n v="5500"/>
    <x v="1"/>
  </r>
  <r>
    <d v="2024-03-16T00:00:00"/>
    <x v="2"/>
    <x v="4"/>
    <x v="1"/>
    <s v="Credit Card"/>
    <n v="126"/>
    <x v="1"/>
    <x v="0"/>
    <n v="3"/>
    <n v="4000"/>
    <x v="1"/>
  </r>
  <r>
    <d v="2023-09-24T00:00:00"/>
    <x v="9"/>
    <x v="0"/>
    <x v="0"/>
    <s v="Credit Card"/>
    <n v="1752"/>
    <x v="0"/>
    <x v="0"/>
    <n v="9"/>
    <n v="2000"/>
    <x v="1"/>
  </r>
  <r>
    <d v="2024-09-04T00:00:00"/>
    <x v="9"/>
    <x v="4"/>
    <x v="3"/>
    <s v="Cash"/>
    <n v="4567"/>
    <x v="1"/>
    <x v="1"/>
    <n v="9"/>
    <n v="4000"/>
    <x v="0"/>
  </r>
  <r>
    <d v="2024-11-14T00:00:00"/>
    <x v="11"/>
    <x v="8"/>
    <x v="4"/>
    <s v="UPI"/>
    <n v="510"/>
    <x v="1"/>
    <x v="0"/>
    <n v="11"/>
    <n v="7000"/>
    <x v="1"/>
  </r>
  <r>
    <d v="2023-02-24T00:00:00"/>
    <x v="7"/>
    <x v="8"/>
    <x v="7"/>
    <s v="Debit Card"/>
    <n v="2113"/>
    <x v="1"/>
    <x v="0"/>
    <n v="2"/>
    <n v="7000"/>
    <x v="1"/>
  </r>
  <r>
    <d v="2024-01-17T00:00:00"/>
    <x v="8"/>
    <x v="2"/>
    <x v="9"/>
    <s v="Net Banking"/>
    <n v="1353"/>
    <x v="1"/>
    <x v="0"/>
    <n v="1"/>
    <n v="5000"/>
    <x v="1"/>
  </r>
  <r>
    <d v="2023-12-22T00:00:00"/>
    <x v="1"/>
    <x v="1"/>
    <x v="8"/>
    <s v="UPI"/>
    <n v="1188"/>
    <x v="1"/>
    <x v="0"/>
    <n v="12"/>
    <n v="5000"/>
    <x v="1"/>
  </r>
  <r>
    <d v="2023-11-03T00:00:00"/>
    <x v="11"/>
    <x v="8"/>
    <x v="3"/>
    <s v="Credit Card"/>
    <n v="2025"/>
    <x v="1"/>
    <x v="0"/>
    <n v="11"/>
    <n v="7000"/>
    <x v="1"/>
  </r>
  <r>
    <d v="2024-04-07T00:00:00"/>
    <x v="6"/>
    <x v="2"/>
    <x v="5"/>
    <s v="Debit Card"/>
    <n v="4497"/>
    <x v="1"/>
    <x v="0"/>
    <n v="4"/>
    <n v="5000"/>
    <x v="1"/>
  </r>
  <r>
    <d v="2024-12-25T00:00:00"/>
    <x v="1"/>
    <x v="1"/>
    <x v="3"/>
    <s v="Credit Card"/>
    <n v="50"/>
    <x v="1"/>
    <x v="0"/>
    <n v="12"/>
    <n v="5000"/>
    <x v="1"/>
  </r>
  <r>
    <d v="2023-11-26T00:00:00"/>
    <x v="11"/>
    <x v="5"/>
    <x v="4"/>
    <s v="UPI"/>
    <n v="3507"/>
    <x v="0"/>
    <x v="0"/>
    <n v="11"/>
    <n v="3000"/>
    <x v="0"/>
  </r>
  <r>
    <d v="2024-01-14T00:00:00"/>
    <x v="8"/>
    <x v="1"/>
    <x v="0"/>
    <s v="Net Banking"/>
    <n v="3048"/>
    <x v="1"/>
    <x v="0"/>
    <n v="1"/>
    <n v="5000"/>
    <x v="1"/>
  </r>
  <r>
    <d v="2023-09-13T00:00:00"/>
    <x v="9"/>
    <x v="2"/>
    <x v="2"/>
    <s v="Debit Card"/>
    <n v="2890"/>
    <x v="1"/>
    <x v="0"/>
    <n v="9"/>
    <n v="5000"/>
    <x v="1"/>
  </r>
  <r>
    <d v="2023-09-04T00:00:00"/>
    <x v="9"/>
    <x v="7"/>
    <x v="6"/>
    <s v="UPI"/>
    <n v="1774"/>
    <x v="1"/>
    <x v="0"/>
    <n v="9"/>
    <n v="10000"/>
    <x v="1"/>
  </r>
  <r>
    <d v="2024-01-01T00:00:00"/>
    <x v="8"/>
    <x v="7"/>
    <x v="1"/>
    <s v="Cash"/>
    <n v="2543"/>
    <x v="1"/>
    <x v="1"/>
    <n v="1"/>
    <n v="10000"/>
    <x v="1"/>
  </r>
  <r>
    <d v="2024-08-27T00:00:00"/>
    <x v="4"/>
    <x v="5"/>
    <x v="7"/>
    <s v="Debit Card"/>
    <n v="4501"/>
    <x v="0"/>
    <x v="0"/>
    <n v="8"/>
    <n v="3000"/>
    <x v="0"/>
  </r>
  <r>
    <d v="2024-12-24T00:00:00"/>
    <x v="1"/>
    <x v="1"/>
    <x v="3"/>
    <s v="Cash"/>
    <n v="1143"/>
    <x v="1"/>
    <x v="1"/>
    <n v="12"/>
    <n v="5000"/>
    <x v="1"/>
  </r>
  <r>
    <d v="2024-06-02T00:00:00"/>
    <x v="10"/>
    <x v="0"/>
    <x v="4"/>
    <s v="Debit Card"/>
    <n v="4227"/>
    <x v="0"/>
    <x v="0"/>
    <n v="6"/>
    <n v="2000"/>
    <x v="0"/>
  </r>
  <r>
    <d v="2024-03-03T00:00:00"/>
    <x v="2"/>
    <x v="3"/>
    <x v="9"/>
    <s v="Debit Card"/>
    <n v="3276"/>
    <x v="1"/>
    <x v="0"/>
    <n v="3"/>
    <n v="1000"/>
    <x v="0"/>
  </r>
  <r>
    <d v="2023-11-10T00:00:00"/>
    <x v="11"/>
    <x v="7"/>
    <x v="0"/>
    <s v="Net Banking"/>
    <n v="1011"/>
    <x v="1"/>
    <x v="0"/>
    <n v="11"/>
    <n v="10000"/>
    <x v="1"/>
  </r>
  <r>
    <d v="2023-09-05T00:00:00"/>
    <x v="9"/>
    <x v="8"/>
    <x v="2"/>
    <s v="Credit Card"/>
    <n v="1522"/>
    <x v="1"/>
    <x v="0"/>
    <n v="9"/>
    <n v="7000"/>
    <x v="1"/>
  </r>
  <r>
    <d v="2023-09-19T00:00:00"/>
    <x v="9"/>
    <x v="3"/>
    <x v="5"/>
    <s v="UPI"/>
    <n v="4998"/>
    <x v="1"/>
    <x v="0"/>
    <n v="9"/>
    <n v="1000"/>
    <x v="0"/>
  </r>
  <r>
    <d v="2023-12-03T00:00:00"/>
    <x v="1"/>
    <x v="7"/>
    <x v="4"/>
    <s v="UPI"/>
    <n v="845"/>
    <x v="1"/>
    <x v="0"/>
    <n v="12"/>
    <n v="10000"/>
    <x v="1"/>
  </r>
  <r>
    <d v="2024-08-31T00:00:00"/>
    <x v="4"/>
    <x v="3"/>
    <x v="8"/>
    <s v="UPI"/>
    <n v="229"/>
    <x v="1"/>
    <x v="0"/>
    <n v="8"/>
    <n v="1000"/>
    <x v="1"/>
  </r>
  <r>
    <d v="2024-01-17T00:00:00"/>
    <x v="8"/>
    <x v="2"/>
    <x v="1"/>
    <s v="Debit Card"/>
    <n v="1193"/>
    <x v="1"/>
    <x v="0"/>
    <n v="1"/>
    <n v="5000"/>
    <x v="1"/>
  </r>
  <r>
    <d v="2023-10-18T00:00:00"/>
    <x v="0"/>
    <x v="1"/>
    <x v="7"/>
    <s v="Credit Card"/>
    <n v="4297"/>
    <x v="1"/>
    <x v="0"/>
    <n v="10"/>
    <n v="5000"/>
    <x v="1"/>
  </r>
  <r>
    <d v="2023-05-28T00:00:00"/>
    <x v="5"/>
    <x v="5"/>
    <x v="5"/>
    <s v="Credit Card"/>
    <n v="4752"/>
    <x v="0"/>
    <x v="0"/>
    <n v="5"/>
    <n v="3000"/>
    <x v="0"/>
  </r>
  <r>
    <d v="2024-10-04T00:00:00"/>
    <x v="0"/>
    <x v="8"/>
    <x v="7"/>
    <s v="Debit Card"/>
    <n v="1075"/>
    <x v="1"/>
    <x v="0"/>
    <n v="10"/>
    <n v="7000"/>
    <x v="1"/>
  </r>
  <r>
    <d v="2023-10-18T00:00:00"/>
    <x v="0"/>
    <x v="0"/>
    <x v="2"/>
    <s v="Cash"/>
    <n v="1716"/>
    <x v="0"/>
    <x v="1"/>
    <n v="10"/>
    <n v="2000"/>
    <x v="1"/>
  </r>
  <r>
    <d v="2024-05-26T00:00:00"/>
    <x v="5"/>
    <x v="0"/>
    <x v="0"/>
    <s v="Net Banking"/>
    <n v="857"/>
    <x v="0"/>
    <x v="0"/>
    <n v="5"/>
    <n v="2000"/>
    <x v="1"/>
  </r>
  <r>
    <d v="2024-04-28T00:00:00"/>
    <x v="6"/>
    <x v="5"/>
    <x v="8"/>
    <s v="Debit Card"/>
    <n v="3716"/>
    <x v="0"/>
    <x v="0"/>
    <n v="4"/>
    <n v="3000"/>
    <x v="0"/>
  </r>
  <r>
    <d v="2023-01-07T00:00:00"/>
    <x v="8"/>
    <x v="3"/>
    <x v="4"/>
    <s v="Credit Card"/>
    <n v="3654"/>
    <x v="1"/>
    <x v="0"/>
    <n v="1"/>
    <n v="1000"/>
    <x v="0"/>
  </r>
  <r>
    <d v="2024-07-09T00:00:00"/>
    <x v="3"/>
    <x v="5"/>
    <x v="4"/>
    <s v="Debit Card"/>
    <n v="4958"/>
    <x v="0"/>
    <x v="0"/>
    <n v="7"/>
    <n v="3000"/>
    <x v="0"/>
  </r>
  <r>
    <d v="2024-03-04T00:00:00"/>
    <x v="2"/>
    <x v="6"/>
    <x v="7"/>
    <s v="Cash"/>
    <n v="2974"/>
    <x v="0"/>
    <x v="1"/>
    <n v="3"/>
    <n v="5500"/>
    <x v="1"/>
  </r>
  <r>
    <d v="2023-11-06T00:00:00"/>
    <x v="11"/>
    <x v="4"/>
    <x v="1"/>
    <s v="Net Banking"/>
    <n v="70"/>
    <x v="1"/>
    <x v="0"/>
    <n v="11"/>
    <n v="4000"/>
    <x v="1"/>
  </r>
  <r>
    <d v="2024-07-02T00:00:00"/>
    <x v="3"/>
    <x v="7"/>
    <x v="9"/>
    <s v="Cash"/>
    <n v="3163"/>
    <x v="1"/>
    <x v="1"/>
    <n v="7"/>
    <n v="10000"/>
    <x v="1"/>
  </r>
  <r>
    <d v="2023-08-13T00:00:00"/>
    <x v="4"/>
    <x v="2"/>
    <x v="7"/>
    <s v="UPI"/>
    <n v="665"/>
    <x v="1"/>
    <x v="0"/>
    <n v="8"/>
    <n v="5000"/>
    <x v="1"/>
  </r>
  <r>
    <d v="2023-04-09T00:00:00"/>
    <x v="6"/>
    <x v="8"/>
    <x v="9"/>
    <s v="Cash"/>
    <n v="3524"/>
    <x v="1"/>
    <x v="1"/>
    <n v="4"/>
    <n v="7000"/>
    <x v="1"/>
  </r>
  <r>
    <d v="2024-03-05T00:00:00"/>
    <x v="2"/>
    <x v="0"/>
    <x v="9"/>
    <s v="Credit Card"/>
    <n v="3307"/>
    <x v="0"/>
    <x v="0"/>
    <n v="3"/>
    <n v="2000"/>
    <x v="0"/>
  </r>
  <r>
    <d v="2024-02-01T00:00:00"/>
    <x v="7"/>
    <x v="6"/>
    <x v="7"/>
    <s v="UPI"/>
    <n v="4762"/>
    <x v="0"/>
    <x v="0"/>
    <n v="2"/>
    <n v="5500"/>
    <x v="1"/>
  </r>
  <r>
    <d v="2023-09-24T00:00:00"/>
    <x v="9"/>
    <x v="8"/>
    <x v="5"/>
    <s v="Net Banking"/>
    <n v="4118"/>
    <x v="1"/>
    <x v="0"/>
    <n v="9"/>
    <n v="7000"/>
    <x v="1"/>
  </r>
  <r>
    <d v="2024-01-01T00:00:00"/>
    <x v="8"/>
    <x v="3"/>
    <x v="3"/>
    <s v="Credit Card"/>
    <n v="3857"/>
    <x v="1"/>
    <x v="0"/>
    <n v="1"/>
    <n v="1000"/>
    <x v="0"/>
  </r>
  <r>
    <d v="2024-09-21T00:00:00"/>
    <x v="9"/>
    <x v="2"/>
    <x v="0"/>
    <s v="Credit Card"/>
    <n v="1664"/>
    <x v="1"/>
    <x v="0"/>
    <n v="9"/>
    <n v="5000"/>
    <x v="1"/>
  </r>
  <r>
    <d v="2024-07-26T00:00:00"/>
    <x v="3"/>
    <x v="5"/>
    <x v="0"/>
    <s v="UPI"/>
    <n v="4153"/>
    <x v="0"/>
    <x v="0"/>
    <n v="7"/>
    <n v="3000"/>
    <x v="0"/>
  </r>
  <r>
    <d v="2024-05-09T00:00:00"/>
    <x v="5"/>
    <x v="8"/>
    <x v="1"/>
    <s v="Credit Card"/>
    <n v="2275"/>
    <x v="1"/>
    <x v="0"/>
    <n v="5"/>
    <n v="7000"/>
    <x v="1"/>
  </r>
  <r>
    <d v="2024-02-06T00:00:00"/>
    <x v="7"/>
    <x v="7"/>
    <x v="1"/>
    <s v="Debit Card"/>
    <n v="3363"/>
    <x v="1"/>
    <x v="0"/>
    <n v="2"/>
    <n v="10000"/>
    <x v="1"/>
  </r>
  <r>
    <d v="2023-11-27T00:00:00"/>
    <x v="11"/>
    <x v="6"/>
    <x v="5"/>
    <s v="Credit Card"/>
    <n v="482"/>
    <x v="0"/>
    <x v="0"/>
    <n v="11"/>
    <n v="5500"/>
    <x v="1"/>
  </r>
  <r>
    <d v="2024-08-31T00:00:00"/>
    <x v="4"/>
    <x v="8"/>
    <x v="7"/>
    <s v="Debit Card"/>
    <n v="4610"/>
    <x v="1"/>
    <x v="0"/>
    <n v="8"/>
    <n v="7000"/>
    <x v="1"/>
  </r>
  <r>
    <d v="2024-11-03T00:00:00"/>
    <x v="11"/>
    <x v="4"/>
    <x v="8"/>
    <s v="Net Banking"/>
    <n v="4436"/>
    <x v="1"/>
    <x v="0"/>
    <n v="11"/>
    <n v="4000"/>
    <x v="0"/>
  </r>
  <r>
    <d v="2023-12-30T00:00:00"/>
    <x v="1"/>
    <x v="3"/>
    <x v="8"/>
    <s v="Debit Card"/>
    <n v="4898"/>
    <x v="1"/>
    <x v="0"/>
    <n v="12"/>
    <n v="1000"/>
    <x v="0"/>
  </r>
  <r>
    <d v="2024-06-02T00:00:00"/>
    <x v="10"/>
    <x v="5"/>
    <x v="6"/>
    <s v="Net Banking"/>
    <n v="260"/>
    <x v="0"/>
    <x v="0"/>
    <n v="6"/>
    <n v="3000"/>
    <x v="1"/>
  </r>
  <r>
    <d v="2024-08-14T00:00:00"/>
    <x v="4"/>
    <x v="3"/>
    <x v="7"/>
    <s v="Net Banking"/>
    <n v="2266"/>
    <x v="1"/>
    <x v="0"/>
    <n v="8"/>
    <n v="1000"/>
    <x v="0"/>
  </r>
  <r>
    <d v="2023-02-15T00:00:00"/>
    <x v="7"/>
    <x v="8"/>
    <x v="9"/>
    <s v="Net Banking"/>
    <n v="4566"/>
    <x v="1"/>
    <x v="0"/>
    <n v="2"/>
    <n v="7000"/>
    <x v="1"/>
  </r>
  <r>
    <d v="2023-04-12T00:00:00"/>
    <x v="6"/>
    <x v="4"/>
    <x v="1"/>
    <s v="Cash"/>
    <n v="2215"/>
    <x v="1"/>
    <x v="1"/>
    <n v="4"/>
    <n v="4000"/>
    <x v="1"/>
  </r>
  <r>
    <d v="2023-10-24T00:00:00"/>
    <x v="0"/>
    <x v="5"/>
    <x v="2"/>
    <s v="UPI"/>
    <n v="3799"/>
    <x v="0"/>
    <x v="0"/>
    <n v="10"/>
    <n v="3000"/>
    <x v="0"/>
  </r>
  <r>
    <d v="2024-06-25T00:00:00"/>
    <x v="10"/>
    <x v="6"/>
    <x v="2"/>
    <s v="Net Banking"/>
    <n v="3165"/>
    <x v="0"/>
    <x v="0"/>
    <n v="6"/>
    <n v="5500"/>
    <x v="1"/>
  </r>
  <r>
    <d v="2023-01-03T00:00:00"/>
    <x v="8"/>
    <x v="0"/>
    <x v="2"/>
    <s v="Net Banking"/>
    <n v="1142"/>
    <x v="0"/>
    <x v="0"/>
    <n v="1"/>
    <n v="2000"/>
    <x v="1"/>
  </r>
  <r>
    <d v="2024-11-24T00:00:00"/>
    <x v="11"/>
    <x v="1"/>
    <x v="8"/>
    <s v="Net Banking"/>
    <n v="1507"/>
    <x v="1"/>
    <x v="0"/>
    <n v="11"/>
    <n v="5000"/>
    <x v="1"/>
  </r>
  <r>
    <d v="2023-07-09T00:00:00"/>
    <x v="3"/>
    <x v="4"/>
    <x v="1"/>
    <s v="Cash"/>
    <n v="4640"/>
    <x v="1"/>
    <x v="1"/>
    <n v="7"/>
    <n v="4000"/>
    <x v="0"/>
  </r>
  <r>
    <d v="2023-12-12T00:00:00"/>
    <x v="1"/>
    <x v="8"/>
    <x v="9"/>
    <s v="Net Banking"/>
    <n v="3524"/>
    <x v="1"/>
    <x v="0"/>
    <n v="12"/>
    <n v="7000"/>
    <x v="1"/>
  </r>
  <r>
    <d v="2023-05-31T00:00:00"/>
    <x v="5"/>
    <x v="4"/>
    <x v="4"/>
    <s v="Credit Card"/>
    <n v="1760"/>
    <x v="1"/>
    <x v="0"/>
    <n v="5"/>
    <n v="4000"/>
    <x v="1"/>
  </r>
  <r>
    <d v="2023-06-12T00:00:00"/>
    <x v="10"/>
    <x v="7"/>
    <x v="6"/>
    <s v="Net Banking"/>
    <n v="2380"/>
    <x v="1"/>
    <x v="0"/>
    <n v="6"/>
    <n v="10000"/>
    <x v="1"/>
  </r>
  <r>
    <d v="2024-05-22T00:00:00"/>
    <x v="5"/>
    <x v="2"/>
    <x v="2"/>
    <s v="Net Banking"/>
    <n v="3931"/>
    <x v="1"/>
    <x v="0"/>
    <n v="5"/>
    <n v="5000"/>
    <x v="1"/>
  </r>
  <r>
    <d v="2023-12-08T00:00:00"/>
    <x v="1"/>
    <x v="8"/>
    <x v="0"/>
    <s v="Net Banking"/>
    <n v="1946"/>
    <x v="1"/>
    <x v="0"/>
    <n v="12"/>
    <n v="7000"/>
    <x v="1"/>
  </r>
  <r>
    <d v="2024-10-30T00:00:00"/>
    <x v="0"/>
    <x v="7"/>
    <x v="7"/>
    <s v="Cash"/>
    <n v="3368"/>
    <x v="1"/>
    <x v="1"/>
    <n v="10"/>
    <n v="10000"/>
    <x v="1"/>
  </r>
  <r>
    <d v="2023-02-24T00:00:00"/>
    <x v="7"/>
    <x v="7"/>
    <x v="8"/>
    <s v="Net Banking"/>
    <n v="2508"/>
    <x v="1"/>
    <x v="0"/>
    <n v="2"/>
    <n v="10000"/>
    <x v="1"/>
  </r>
  <r>
    <d v="2024-07-04T00:00:00"/>
    <x v="3"/>
    <x v="2"/>
    <x v="9"/>
    <s v="Debit Card"/>
    <n v="868"/>
    <x v="1"/>
    <x v="0"/>
    <n v="7"/>
    <n v="5000"/>
    <x v="1"/>
  </r>
  <r>
    <d v="2024-04-07T00:00:00"/>
    <x v="6"/>
    <x v="6"/>
    <x v="2"/>
    <s v="Cash"/>
    <n v="863"/>
    <x v="0"/>
    <x v="1"/>
    <n v="4"/>
    <n v="5500"/>
    <x v="1"/>
  </r>
  <r>
    <d v="2023-06-26T00:00:00"/>
    <x v="10"/>
    <x v="4"/>
    <x v="2"/>
    <s v="Net Banking"/>
    <n v="4505"/>
    <x v="1"/>
    <x v="0"/>
    <n v="6"/>
    <n v="4000"/>
    <x v="0"/>
  </r>
  <r>
    <d v="2023-07-10T00:00:00"/>
    <x v="3"/>
    <x v="1"/>
    <x v="2"/>
    <s v="Cash"/>
    <n v="323"/>
    <x v="1"/>
    <x v="1"/>
    <n v="7"/>
    <n v="5000"/>
    <x v="1"/>
  </r>
  <r>
    <d v="2023-08-26T00:00:00"/>
    <x v="4"/>
    <x v="7"/>
    <x v="2"/>
    <s v="Net Banking"/>
    <n v="3460"/>
    <x v="1"/>
    <x v="0"/>
    <n v="8"/>
    <n v="10000"/>
    <x v="1"/>
  </r>
  <r>
    <d v="2023-12-01T00:00:00"/>
    <x v="1"/>
    <x v="8"/>
    <x v="9"/>
    <s v="Debit Card"/>
    <n v="490"/>
    <x v="1"/>
    <x v="0"/>
    <n v="12"/>
    <n v="7000"/>
    <x v="1"/>
  </r>
  <r>
    <d v="2024-01-27T00:00:00"/>
    <x v="8"/>
    <x v="3"/>
    <x v="6"/>
    <s v="Debit Card"/>
    <n v="4611"/>
    <x v="1"/>
    <x v="0"/>
    <n v="1"/>
    <n v="1000"/>
    <x v="0"/>
  </r>
  <r>
    <d v="2024-06-29T00:00:00"/>
    <x v="10"/>
    <x v="5"/>
    <x v="0"/>
    <s v="Cash"/>
    <n v="1046"/>
    <x v="0"/>
    <x v="1"/>
    <n v="6"/>
    <n v="3000"/>
    <x v="1"/>
  </r>
  <r>
    <d v="2023-10-25T00:00:00"/>
    <x v="0"/>
    <x v="6"/>
    <x v="8"/>
    <s v="Cash"/>
    <n v="3908"/>
    <x v="0"/>
    <x v="1"/>
    <n v="10"/>
    <n v="5500"/>
    <x v="1"/>
  </r>
  <r>
    <d v="2024-01-15T00:00:00"/>
    <x v="8"/>
    <x v="2"/>
    <x v="3"/>
    <s v="UPI"/>
    <n v="402"/>
    <x v="1"/>
    <x v="0"/>
    <n v="1"/>
    <n v="5000"/>
    <x v="1"/>
  </r>
  <r>
    <d v="2024-04-03T00:00:00"/>
    <x v="6"/>
    <x v="1"/>
    <x v="8"/>
    <s v="Debit Card"/>
    <n v="1697"/>
    <x v="1"/>
    <x v="0"/>
    <n v="4"/>
    <n v="5000"/>
    <x v="1"/>
  </r>
  <r>
    <d v="2023-10-02T00:00:00"/>
    <x v="0"/>
    <x v="1"/>
    <x v="8"/>
    <s v="Debit Card"/>
    <n v="2525"/>
    <x v="1"/>
    <x v="0"/>
    <n v="10"/>
    <n v="5000"/>
    <x v="1"/>
  </r>
  <r>
    <d v="2023-05-09T00:00:00"/>
    <x v="5"/>
    <x v="5"/>
    <x v="7"/>
    <s v="Credit Card"/>
    <n v="2708"/>
    <x v="0"/>
    <x v="0"/>
    <n v="5"/>
    <n v="3000"/>
    <x v="1"/>
  </r>
  <r>
    <d v="2024-05-02T00:00:00"/>
    <x v="5"/>
    <x v="7"/>
    <x v="5"/>
    <s v="Debit Card"/>
    <n v="4551"/>
    <x v="1"/>
    <x v="0"/>
    <n v="5"/>
    <n v="10000"/>
    <x v="1"/>
  </r>
  <r>
    <d v="2023-04-18T00:00:00"/>
    <x v="6"/>
    <x v="0"/>
    <x v="2"/>
    <s v="Cash"/>
    <n v="1868"/>
    <x v="0"/>
    <x v="1"/>
    <n v="4"/>
    <n v="2000"/>
    <x v="1"/>
  </r>
  <r>
    <d v="2023-10-02T00:00:00"/>
    <x v="0"/>
    <x v="6"/>
    <x v="1"/>
    <s v="UPI"/>
    <n v="2412"/>
    <x v="0"/>
    <x v="0"/>
    <n v="10"/>
    <n v="5500"/>
    <x v="1"/>
  </r>
  <r>
    <d v="2023-07-22T00:00:00"/>
    <x v="3"/>
    <x v="6"/>
    <x v="5"/>
    <s v="UPI"/>
    <n v="4031"/>
    <x v="0"/>
    <x v="0"/>
    <n v="7"/>
    <n v="5500"/>
    <x v="1"/>
  </r>
  <r>
    <d v="2024-09-30T00:00:00"/>
    <x v="9"/>
    <x v="7"/>
    <x v="7"/>
    <s v="Credit Card"/>
    <n v="3467"/>
    <x v="1"/>
    <x v="0"/>
    <n v="9"/>
    <n v="10000"/>
    <x v="1"/>
  </r>
  <r>
    <d v="2023-07-29T00:00:00"/>
    <x v="3"/>
    <x v="7"/>
    <x v="3"/>
    <s v="Credit Card"/>
    <n v="2494"/>
    <x v="1"/>
    <x v="0"/>
    <n v="7"/>
    <n v="10000"/>
    <x v="1"/>
  </r>
  <r>
    <d v="2024-09-02T00:00:00"/>
    <x v="9"/>
    <x v="6"/>
    <x v="0"/>
    <s v="UPI"/>
    <n v="3543"/>
    <x v="0"/>
    <x v="0"/>
    <n v="9"/>
    <n v="5500"/>
    <x v="1"/>
  </r>
  <r>
    <d v="2024-08-31T00:00:00"/>
    <x v="4"/>
    <x v="5"/>
    <x v="5"/>
    <s v="Credit Card"/>
    <n v="881"/>
    <x v="0"/>
    <x v="0"/>
    <n v="8"/>
    <n v="3000"/>
    <x v="1"/>
  </r>
  <r>
    <d v="2023-10-09T00:00:00"/>
    <x v="0"/>
    <x v="6"/>
    <x v="1"/>
    <s v="UPI"/>
    <n v="4780"/>
    <x v="0"/>
    <x v="0"/>
    <n v="10"/>
    <n v="5500"/>
    <x v="1"/>
  </r>
  <r>
    <d v="2024-05-01T00:00:00"/>
    <x v="5"/>
    <x v="8"/>
    <x v="5"/>
    <s v="Credit Card"/>
    <n v="4380"/>
    <x v="1"/>
    <x v="0"/>
    <n v="5"/>
    <n v="7000"/>
    <x v="1"/>
  </r>
  <r>
    <d v="2023-03-07T00:00:00"/>
    <x v="2"/>
    <x v="6"/>
    <x v="2"/>
    <s v="Cash"/>
    <n v="1413"/>
    <x v="0"/>
    <x v="1"/>
    <n v="3"/>
    <n v="5500"/>
    <x v="1"/>
  </r>
  <r>
    <d v="2023-06-16T00:00:00"/>
    <x v="10"/>
    <x v="1"/>
    <x v="5"/>
    <s v="Credit Card"/>
    <n v="2344"/>
    <x v="1"/>
    <x v="0"/>
    <n v="6"/>
    <n v="5000"/>
    <x v="1"/>
  </r>
  <r>
    <d v="2023-06-24T00:00:00"/>
    <x v="10"/>
    <x v="4"/>
    <x v="8"/>
    <s v="Debit Card"/>
    <n v="1807"/>
    <x v="1"/>
    <x v="0"/>
    <n v="6"/>
    <n v="4000"/>
    <x v="1"/>
  </r>
  <r>
    <d v="2024-02-10T00:00:00"/>
    <x v="7"/>
    <x v="5"/>
    <x v="3"/>
    <s v="Net Banking"/>
    <n v="1132"/>
    <x v="0"/>
    <x v="0"/>
    <n v="2"/>
    <n v="3000"/>
    <x v="1"/>
  </r>
  <r>
    <d v="2023-06-12T00:00:00"/>
    <x v="10"/>
    <x v="2"/>
    <x v="9"/>
    <s v="Debit Card"/>
    <n v="883"/>
    <x v="1"/>
    <x v="0"/>
    <n v="6"/>
    <n v="5000"/>
    <x v="1"/>
  </r>
  <r>
    <d v="2023-09-05T00:00:00"/>
    <x v="9"/>
    <x v="3"/>
    <x v="2"/>
    <s v="UPI"/>
    <n v="3698"/>
    <x v="1"/>
    <x v="0"/>
    <n v="9"/>
    <n v="1000"/>
    <x v="0"/>
  </r>
  <r>
    <d v="2023-07-12T00:00:00"/>
    <x v="3"/>
    <x v="0"/>
    <x v="9"/>
    <s v="Net Banking"/>
    <n v="3303"/>
    <x v="0"/>
    <x v="0"/>
    <n v="7"/>
    <n v="2000"/>
    <x v="0"/>
  </r>
  <r>
    <d v="2023-06-09T00:00:00"/>
    <x v="10"/>
    <x v="1"/>
    <x v="9"/>
    <s v="Credit Card"/>
    <n v="4346"/>
    <x v="1"/>
    <x v="0"/>
    <n v="6"/>
    <n v="5000"/>
    <x v="1"/>
  </r>
  <r>
    <d v="2023-06-17T00:00:00"/>
    <x v="10"/>
    <x v="8"/>
    <x v="7"/>
    <s v="Credit Card"/>
    <n v="1516"/>
    <x v="1"/>
    <x v="0"/>
    <n v="6"/>
    <n v="7000"/>
    <x v="1"/>
  </r>
  <r>
    <d v="2024-09-28T00:00:00"/>
    <x v="9"/>
    <x v="6"/>
    <x v="2"/>
    <s v="Debit Card"/>
    <n v="244"/>
    <x v="0"/>
    <x v="0"/>
    <n v="9"/>
    <n v="5500"/>
    <x v="1"/>
  </r>
  <r>
    <d v="2023-06-27T00:00:00"/>
    <x v="10"/>
    <x v="1"/>
    <x v="4"/>
    <s v="Net Banking"/>
    <n v="1518"/>
    <x v="1"/>
    <x v="0"/>
    <n v="6"/>
    <n v="5000"/>
    <x v="1"/>
  </r>
  <r>
    <d v="2023-09-03T00:00:00"/>
    <x v="9"/>
    <x v="8"/>
    <x v="0"/>
    <s v="Debit Card"/>
    <n v="2426"/>
    <x v="1"/>
    <x v="0"/>
    <n v="9"/>
    <n v="7000"/>
    <x v="1"/>
  </r>
  <r>
    <d v="2024-02-17T00:00:00"/>
    <x v="7"/>
    <x v="0"/>
    <x v="5"/>
    <s v="Cash"/>
    <n v="588"/>
    <x v="0"/>
    <x v="1"/>
    <n v="2"/>
    <n v="2000"/>
    <x v="1"/>
  </r>
  <r>
    <d v="2023-05-17T00:00:00"/>
    <x v="5"/>
    <x v="8"/>
    <x v="6"/>
    <s v="Credit Card"/>
    <n v="2123"/>
    <x v="1"/>
    <x v="0"/>
    <n v="5"/>
    <n v="7000"/>
    <x v="1"/>
  </r>
  <r>
    <d v="2024-11-08T00:00:00"/>
    <x v="11"/>
    <x v="3"/>
    <x v="3"/>
    <s v="Net Banking"/>
    <n v="2323"/>
    <x v="1"/>
    <x v="0"/>
    <n v="11"/>
    <n v="1000"/>
    <x v="0"/>
  </r>
  <r>
    <d v="2024-10-26T00:00:00"/>
    <x v="0"/>
    <x v="7"/>
    <x v="2"/>
    <s v="Net Banking"/>
    <n v="4508"/>
    <x v="1"/>
    <x v="0"/>
    <n v="10"/>
    <n v="10000"/>
    <x v="1"/>
  </r>
  <r>
    <d v="2023-07-14T00:00:00"/>
    <x v="3"/>
    <x v="5"/>
    <x v="4"/>
    <s v="Cash"/>
    <n v="3756"/>
    <x v="0"/>
    <x v="1"/>
    <n v="7"/>
    <n v="3000"/>
    <x v="0"/>
  </r>
  <r>
    <d v="2023-11-17T00:00:00"/>
    <x v="11"/>
    <x v="0"/>
    <x v="4"/>
    <s v="Cash"/>
    <n v="1609"/>
    <x v="0"/>
    <x v="1"/>
    <n v="11"/>
    <n v="2000"/>
    <x v="1"/>
  </r>
  <r>
    <d v="2024-02-12T00:00:00"/>
    <x v="7"/>
    <x v="1"/>
    <x v="5"/>
    <s v="Net Banking"/>
    <n v="3926"/>
    <x v="1"/>
    <x v="0"/>
    <n v="2"/>
    <n v="5000"/>
    <x v="1"/>
  </r>
  <r>
    <d v="2024-05-07T00:00:00"/>
    <x v="5"/>
    <x v="3"/>
    <x v="8"/>
    <s v="UPI"/>
    <n v="488"/>
    <x v="1"/>
    <x v="0"/>
    <n v="5"/>
    <n v="1000"/>
    <x v="1"/>
  </r>
  <r>
    <d v="2023-08-09T00:00:00"/>
    <x v="4"/>
    <x v="0"/>
    <x v="3"/>
    <s v="Cash"/>
    <n v="2963"/>
    <x v="0"/>
    <x v="1"/>
    <n v="8"/>
    <n v="2000"/>
    <x v="0"/>
  </r>
  <r>
    <d v="2023-04-13T00:00:00"/>
    <x v="6"/>
    <x v="3"/>
    <x v="1"/>
    <s v="Debit Card"/>
    <n v="1149"/>
    <x v="1"/>
    <x v="0"/>
    <n v="4"/>
    <n v="1000"/>
    <x v="0"/>
  </r>
  <r>
    <d v="2023-01-01T00:00:00"/>
    <x v="8"/>
    <x v="2"/>
    <x v="3"/>
    <s v="Credit Card"/>
    <n v="3044"/>
    <x v="1"/>
    <x v="0"/>
    <n v="1"/>
    <n v="5000"/>
    <x v="1"/>
  </r>
  <r>
    <d v="2023-01-12T00:00:00"/>
    <x v="8"/>
    <x v="7"/>
    <x v="6"/>
    <s v="Net Banking"/>
    <n v="2332"/>
    <x v="1"/>
    <x v="0"/>
    <n v="1"/>
    <n v="10000"/>
    <x v="1"/>
  </r>
  <r>
    <d v="2023-02-08T00:00:00"/>
    <x v="7"/>
    <x v="1"/>
    <x v="1"/>
    <s v="Net Banking"/>
    <n v="4768"/>
    <x v="1"/>
    <x v="0"/>
    <n v="2"/>
    <n v="5000"/>
    <x v="1"/>
  </r>
  <r>
    <d v="2023-09-26T00:00:00"/>
    <x v="9"/>
    <x v="4"/>
    <x v="2"/>
    <s v="Debit Card"/>
    <n v="4291"/>
    <x v="1"/>
    <x v="0"/>
    <n v="9"/>
    <n v="4000"/>
    <x v="0"/>
  </r>
  <r>
    <d v="2023-05-15T00:00:00"/>
    <x v="5"/>
    <x v="8"/>
    <x v="1"/>
    <s v="UPI"/>
    <n v="2199"/>
    <x v="1"/>
    <x v="0"/>
    <n v="5"/>
    <n v="7000"/>
    <x v="1"/>
  </r>
  <r>
    <d v="2023-10-26T00:00:00"/>
    <x v="0"/>
    <x v="2"/>
    <x v="2"/>
    <s v="Credit Card"/>
    <n v="2402"/>
    <x v="1"/>
    <x v="0"/>
    <n v="10"/>
    <n v="5000"/>
    <x v="1"/>
  </r>
  <r>
    <d v="2024-12-26T00:00:00"/>
    <x v="1"/>
    <x v="4"/>
    <x v="4"/>
    <s v="UPI"/>
    <n v="3089"/>
    <x v="1"/>
    <x v="0"/>
    <n v="12"/>
    <n v="4000"/>
    <x v="1"/>
  </r>
  <r>
    <d v="2024-01-10T00:00:00"/>
    <x v="8"/>
    <x v="5"/>
    <x v="0"/>
    <s v="Net Banking"/>
    <n v="2444"/>
    <x v="0"/>
    <x v="0"/>
    <n v="1"/>
    <n v="3000"/>
    <x v="1"/>
  </r>
  <r>
    <d v="2024-09-26T00:00:00"/>
    <x v="9"/>
    <x v="2"/>
    <x v="7"/>
    <s v="Credit Card"/>
    <n v="2380"/>
    <x v="1"/>
    <x v="0"/>
    <n v="9"/>
    <n v="5000"/>
    <x v="1"/>
  </r>
  <r>
    <d v="2023-09-21T00:00:00"/>
    <x v="9"/>
    <x v="2"/>
    <x v="6"/>
    <s v="Cash"/>
    <n v="1414"/>
    <x v="1"/>
    <x v="1"/>
    <n v="9"/>
    <n v="5000"/>
    <x v="1"/>
  </r>
  <r>
    <d v="2023-11-01T00:00:00"/>
    <x v="11"/>
    <x v="0"/>
    <x v="9"/>
    <s v="Debit Card"/>
    <n v="4032"/>
    <x v="0"/>
    <x v="0"/>
    <n v="11"/>
    <n v="2000"/>
    <x v="0"/>
  </r>
  <r>
    <d v="2024-03-03T00:00:00"/>
    <x v="2"/>
    <x v="3"/>
    <x v="0"/>
    <s v="Debit Card"/>
    <n v="1604"/>
    <x v="1"/>
    <x v="0"/>
    <n v="3"/>
    <n v="1000"/>
    <x v="0"/>
  </r>
  <r>
    <d v="2024-05-10T00:00:00"/>
    <x v="5"/>
    <x v="3"/>
    <x v="1"/>
    <s v="Net Banking"/>
    <n v="3738"/>
    <x v="1"/>
    <x v="0"/>
    <n v="5"/>
    <n v="1000"/>
    <x v="0"/>
  </r>
  <r>
    <d v="2024-11-20T00:00:00"/>
    <x v="11"/>
    <x v="0"/>
    <x v="9"/>
    <s v="Net Banking"/>
    <n v="2832"/>
    <x v="0"/>
    <x v="0"/>
    <n v="11"/>
    <n v="2000"/>
    <x v="0"/>
  </r>
  <r>
    <d v="2024-04-13T00:00:00"/>
    <x v="6"/>
    <x v="6"/>
    <x v="9"/>
    <s v="Credit Card"/>
    <n v="4673"/>
    <x v="0"/>
    <x v="0"/>
    <n v="4"/>
    <n v="5500"/>
    <x v="1"/>
  </r>
  <r>
    <d v="2024-10-12T00:00:00"/>
    <x v="0"/>
    <x v="6"/>
    <x v="2"/>
    <s v="Net Banking"/>
    <n v="2698"/>
    <x v="0"/>
    <x v="0"/>
    <n v="10"/>
    <n v="5500"/>
    <x v="1"/>
  </r>
  <r>
    <d v="2024-03-18T00:00:00"/>
    <x v="2"/>
    <x v="4"/>
    <x v="1"/>
    <s v="Debit Card"/>
    <n v="1599"/>
    <x v="1"/>
    <x v="0"/>
    <n v="3"/>
    <n v="4000"/>
    <x v="1"/>
  </r>
  <r>
    <d v="2024-09-27T00:00:00"/>
    <x v="9"/>
    <x v="4"/>
    <x v="3"/>
    <s v="UPI"/>
    <n v="3284"/>
    <x v="1"/>
    <x v="0"/>
    <n v="9"/>
    <n v="4000"/>
    <x v="1"/>
  </r>
  <r>
    <d v="2023-04-17T00:00:00"/>
    <x v="6"/>
    <x v="0"/>
    <x v="2"/>
    <s v="Debit Card"/>
    <n v="4215"/>
    <x v="0"/>
    <x v="0"/>
    <n v="4"/>
    <n v="2000"/>
    <x v="0"/>
  </r>
  <r>
    <d v="2024-12-27T00:00:00"/>
    <x v="1"/>
    <x v="3"/>
    <x v="4"/>
    <s v="Credit Card"/>
    <n v="4887"/>
    <x v="1"/>
    <x v="0"/>
    <n v="12"/>
    <n v="1000"/>
    <x v="0"/>
  </r>
  <r>
    <d v="2024-01-25T00:00:00"/>
    <x v="8"/>
    <x v="4"/>
    <x v="7"/>
    <s v="Debit Card"/>
    <n v="1272"/>
    <x v="1"/>
    <x v="0"/>
    <n v="1"/>
    <n v="4000"/>
    <x v="1"/>
  </r>
  <r>
    <d v="2023-09-15T00:00:00"/>
    <x v="9"/>
    <x v="3"/>
    <x v="1"/>
    <s v="UPI"/>
    <n v="825"/>
    <x v="1"/>
    <x v="0"/>
    <n v="9"/>
    <n v="1000"/>
    <x v="1"/>
  </r>
  <r>
    <d v="2024-08-16T00:00:00"/>
    <x v="4"/>
    <x v="4"/>
    <x v="8"/>
    <s v="Debit Card"/>
    <n v="642"/>
    <x v="1"/>
    <x v="0"/>
    <n v="8"/>
    <n v="4000"/>
    <x v="1"/>
  </r>
  <r>
    <d v="2024-07-13T00:00:00"/>
    <x v="3"/>
    <x v="6"/>
    <x v="1"/>
    <s v="Cash"/>
    <n v="2942"/>
    <x v="0"/>
    <x v="1"/>
    <n v="7"/>
    <n v="5500"/>
    <x v="1"/>
  </r>
  <r>
    <d v="2024-04-15T00:00:00"/>
    <x v="6"/>
    <x v="7"/>
    <x v="5"/>
    <s v="Net Banking"/>
    <n v="3739"/>
    <x v="1"/>
    <x v="0"/>
    <n v="4"/>
    <n v="10000"/>
    <x v="1"/>
  </r>
  <r>
    <d v="2024-12-16T00:00:00"/>
    <x v="1"/>
    <x v="7"/>
    <x v="4"/>
    <s v="Debit Card"/>
    <n v="4730"/>
    <x v="1"/>
    <x v="0"/>
    <n v="12"/>
    <n v="10000"/>
    <x v="1"/>
  </r>
  <r>
    <d v="2023-11-19T00:00:00"/>
    <x v="11"/>
    <x v="8"/>
    <x v="5"/>
    <s v="Cash"/>
    <n v="590"/>
    <x v="1"/>
    <x v="1"/>
    <n v="11"/>
    <n v="7000"/>
    <x v="1"/>
  </r>
  <r>
    <d v="2024-01-26T00:00:00"/>
    <x v="8"/>
    <x v="0"/>
    <x v="1"/>
    <s v="Net Banking"/>
    <n v="1210"/>
    <x v="0"/>
    <x v="0"/>
    <n v="1"/>
    <n v="2000"/>
    <x v="1"/>
  </r>
  <r>
    <d v="2023-06-18T00:00:00"/>
    <x v="10"/>
    <x v="8"/>
    <x v="5"/>
    <s v="Net Banking"/>
    <n v="652"/>
    <x v="1"/>
    <x v="0"/>
    <n v="6"/>
    <n v="7000"/>
    <x v="1"/>
  </r>
  <r>
    <d v="2024-05-13T00:00:00"/>
    <x v="5"/>
    <x v="7"/>
    <x v="2"/>
    <s v="Net Banking"/>
    <n v="2983"/>
    <x v="1"/>
    <x v="0"/>
    <n v="5"/>
    <n v="10000"/>
    <x v="1"/>
  </r>
  <r>
    <d v="2023-08-20T00:00:00"/>
    <x v="4"/>
    <x v="4"/>
    <x v="7"/>
    <s v="Credit Card"/>
    <n v="4063"/>
    <x v="1"/>
    <x v="0"/>
    <n v="8"/>
    <n v="4000"/>
    <x v="0"/>
  </r>
  <r>
    <d v="2024-05-21T00:00:00"/>
    <x v="5"/>
    <x v="8"/>
    <x v="4"/>
    <s v="Cash"/>
    <n v="762"/>
    <x v="1"/>
    <x v="1"/>
    <n v="5"/>
    <n v="7000"/>
    <x v="1"/>
  </r>
  <r>
    <d v="2024-01-12T00:00:00"/>
    <x v="8"/>
    <x v="8"/>
    <x v="8"/>
    <s v="UPI"/>
    <n v="1364"/>
    <x v="1"/>
    <x v="0"/>
    <n v="1"/>
    <n v="7000"/>
    <x v="1"/>
  </r>
  <r>
    <d v="2024-01-20T00:00:00"/>
    <x v="8"/>
    <x v="3"/>
    <x v="7"/>
    <s v="Net Banking"/>
    <n v="4214"/>
    <x v="1"/>
    <x v="0"/>
    <n v="1"/>
    <n v="1000"/>
    <x v="0"/>
  </r>
  <r>
    <d v="2023-01-29T00:00:00"/>
    <x v="8"/>
    <x v="7"/>
    <x v="5"/>
    <s v="Cash"/>
    <n v="2592"/>
    <x v="1"/>
    <x v="1"/>
    <n v="1"/>
    <n v="10000"/>
    <x v="1"/>
  </r>
  <r>
    <d v="2023-10-10T00:00:00"/>
    <x v="0"/>
    <x v="0"/>
    <x v="5"/>
    <s v="Credit Card"/>
    <n v="553"/>
    <x v="0"/>
    <x v="0"/>
    <n v="10"/>
    <n v="2000"/>
    <x v="1"/>
  </r>
  <r>
    <d v="2024-12-23T00:00:00"/>
    <x v="1"/>
    <x v="2"/>
    <x v="8"/>
    <s v="UPI"/>
    <n v="1237"/>
    <x v="1"/>
    <x v="0"/>
    <n v="12"/>
    <n v="5000"/>
    <x v="1"/>
  </r>
  <r>
    <d v="2024-08-26T00:00:00"/>
    <x v="4"/>
    <x v="2"/>
    <x v="4"/>
    <s v="UPI"/>
    <n v="2763"/>
    <x v="1"/>
    <x v="0"/>
    <n v="8"/>
    <n v="5000"/>
    <x v="1"/>
  </r>
  <r>
    <d v="2023-12-14T00:00:00"/>
    <x v="1"/>
    <x v="7"/>
    <x v="3"/>
    <s v="Credit Card"/>
    <n v="1731"/>
    <x v="1"/>
    <x v="0"/>
    <n v="12"/>
    <n v="10000"/>
    <x v="1"/>
  </r>
  <r>
    <d v="2024-11-21T00:00:00"/>
    <x v="11"/>
    <x v="2"/>
    <x v="3"/>
    <s v="Net Banking"/>
    <n v="1142"/>
    <x v="1"/>
    <x v="0"/>
    <n v="11"/>
    <n v="5000"/>
    <x v="1"/>
  </r>
  <r>
    <d v="2024-02-21T00:00:00"/>
    <x v="7"/>
    <x v="5"/>
    <x v="9"/>
    <s v="UPI"/>
    <n v="4146"/>
    <x v="0"/>
    <x v="0"/>
    <n v="2"/>
    <n v="3000"/>
    <x v="0"/>
  </r>
  <r>
    <d v="2023-10-22T00:00:00"/>
    <x v="0"/>
    <x v="8"/>
    <x v="1"/>
    <s v="Debit Card"/>
    <n v="2369"/>
    <x v="1"/>
    <x v="0"/>
    <n v="10"/>
    <n v="7000"/>
    <x v="1"/>
  </r>
  <r>
    <d v="2024-09-29T00:00:00"/>
    <x v="9"/>
    <x v="7"/>
    <x v="7"/>
    <s v="Cash"/>
    <n v="1682"/>
    <x v="1"/>
    <x v="1"/>
    <n v="9"/>
    <n v="10000"/>
    <x v="1"/>
  </r>
  <r>
    <d v="2024-12-05T00:00:00"/>
    <x v="1"/>
    <x v="3"/>
    <x v="2"/>
    <s v="Debit Card"/>
    <n v="419"/>
    <x v="1"/>
    <x v="0"/>
    <n v="12"/>
    <n v="1000"/>
    <x v="1"/>
  </r>
  <r>
    <d v="2023-09-11T00:00:00"/>
    <x v="9"/>
    <x v="1"/>
    <x v="2"/>
    <s v="Credit Card"/>
    <n v="3001"/>
    <x v="1"/>
    <x v="0"/>
    <n v="9"/>
    <n v="5000"/>
    <x v="1"/>
  </r>
  <r>
    <d v="2024-12-24T00:00:00"/>
    <x v="1"/>
    <x v="4"/>
    <x v="2"/>
    <s v="UPI"/>
    <n v="4349"/>
    <x v="1"/>
    <x v="0"/>
    <n v="12"/>
    <n v="4000"/>
    <x v="0"/>
  </r>
  <r>
    <d v="2024-11-14T00:00:00"/>
    <x v="11"/>
    <x v="1"/>
    <x v="1"/>
    <s v="Net Banking"/>
    <n v="2359"/>
    <x v="1"/>
    <x v="0"/>
    <n v="11"/>
    <n v="5000"/>
    <x v="1"/>
  </r>
  <r>
    <d v="2023-03-25T00:00:00"/>
    <x v="2"/>
    <x v="7"/>
    <x v="9"/>
    <s v="Credit Card"/>
    <n v="4358"/>
    <x v="1"/>
    <x v="0"/>
    <n v="3"/>
    <n v="10000"/>
    <x v="1"/>
  </r>
  <r>
    <d v="2024-10-10T00:00:00"/>
    <x v="0"/>
    <x v="0"/>
    <x v="3"/>
    <s v="UPI"/>
    <n v="2059"/>
    <x v="0"/>
    <x v="0"/>
    <n v="10"/>
    <n v="2000"/>
    <x v="0"/>
  </r>
  <r>
    <d v="2023-08-20T00:00:00"/>
    <x v="4"/>
    <x v="7"/>
    <x v="6"/>
    <s v="Net Banking"/>
    <n v="1312"/>
    <x v="1"/>
    <x v="0"/>
    <n v="8"/>
    <n v="10000"/>
    <x v="1"/>
  </r>
  <r>
    <d v="2024-09-19T00:00:00"/>
    <x v="9"/>
    <x v="3"/>
    <x v="4"/>
    <s v="Cash"/>
    <n v="783"/>
    <x v="1"/>
    <x v="1"/>
    <n v="9"/>
    <n v="1000"/>
    <x v="1"/>
  </r>
  <r>
    <d v="2024-03-29T00:00:00"/>
    <x v="2"/>
    <x v="8"/>
    <x v="9"/>
    <s v="Net Banking"/>
    <n v="73"/>
    <x v="1"/>
    <x v="0"/>
    <n v="3"/>
    <n v="7000"/>
    <x v="1"/>
  </r>
  <r>
    <d v="2023-09-07T00:00:00"/>
    <x v="9"/>
    <x v="1"/>
    <x v="2"/>
    <s v="Credit Card"/>
    <n v="784"/>
    <x v="1"/>
    <x v="0"/>
    <n v="9"/>
    <n v="5000"/>
    <x v="1"/>
  </r>
  <r>
    <d v="2024-10-04T00:00:00"/>
    <x v="0"/>
    <x v="0"/>
    <x v="9"/>
    <s v="Net Banking"/>
    <n v="4857"/>
    <x v="0"/>
    <x v="0"/>
    <n v="10"/>
    <n v="2000"/>
    <x v="0"/>
  </r>
  <r>
    <d v="2024-11-12T00:00:00"/>
    <x v="11"/>
    <x v="5"/>
    <x v="8"/>
    <s v="Net Banking"/>
    <n v="3867"/>
    <x v="0"/>
    <x v="0"/>
    <n v="11"/>
    <n v="3000"/>
    <x v="0"/>
  </r>
  <r>
    <d v="2023-12-08T00:00:00"/>
    <x v="1"/>
    <x v="8"/>
    <x v="8"/>
    <s v="Cash"/>
    <n v="4654"/>
    <x v="1"/>
    <x v="1"/>
    <n v="12"/>
    <n v="7000"/>
    <x v="1"/>
  </r>
  <r>
    <d v="2024-08-08T00:00:00"/>
    <x v="4"/>
    <x v="4"/>
    <x v="6"/>
    <s v="Debit Card"/>
    <n v="580"/>
    <x v="1"/>
    <x v="0"/>
    <n v="8"/>
    <n v="4000"/>
    <x v="1"/>
  </r>
  <r>
    <d v="2024-01-13T00:00:00"/>
    <x v="8"/>
    <x v="4"/>
    <x v="7"/>
    <s v="Debit Card"/>
    <n v="825"/>
    <x v="1"/>
    <x v="0"/>
    <n v="1"/>
    <n v="4000"/>
    <x v="1"/>
  </r>
  <r>
    <d v="2023-08-02T00:00:00"/>
    <x v="4"/>
    <x v="6"/>
    <x v="9"/>
    <s v="Debit Card"/>
    <n v="1537"/>
    <x v="0"/>
    <x v="0"/>
    <n v="8"/>
    <n v="5500"/>
    <x v="1"/>
  </r>
  <r>
    <d v="2023-08-08T00:00:00"/>
    <x v="4"/>
    <x v="2"/>
    <x v="7"/>
    <s v="Net Banking"/>
    <n v="897"/>
    <x v="1"/>
    <x v="0"/>
    <n v="8"/>
    <n v="5000"/>
    <x v="1"/>
  </r>
  <r>
    <d v="2024-07-10T00:00:00"/>
    <x v="3"/>
    <x v="3"/>
    <x v="4"/>
    <s v="Net Banking"/>
    <n v="1477"/>
    <x v="1"/>
    <x v="0"/>
    <n v="7"/>
    <n v="1000"/>
    <x v="0"/>
  </r>
  <r>
    <d v="2023-06-25T00:00:00"/>
    <x v="10"/>
    <x v="7"/>
    <x v="0"/>
    <s v="Cash"/>
    <n v="373"/>
    <x v="1"/>
    <x v="1"/>
    <n v="6"/>
    <n v="10000"/>
    <x v="1"/>
  </r>
  <r>
    <d v="2023-11-17T00:00:00"/>
    <x v="11"/>
    <x v="4"/>
    <x v="8"/>
    <s v="UPI"/>
    <n v="1300"/>
    <x v="1"/>
    <x v="0"/>
    <n v="11"/>
    <n v="4000"/>
    <x v="1"/>
  </r>
  <r>
    <d v="2024-10-29T00:00:00"/>
    <x v="0"/>
    <x v="7"/>
    <x v="9"/>
    <s v="Debit Card"/>
    <n v="4053"/>
    <x v="1"/>
    <x v="0"/>
    <n v="10"/>
    <n v="10000"/>
    <x v="1"/>
  </r>
  <r>
    <d v="2024-05-11T00:00:00"/>
    <x v="5"/>
    <x v="0"/>
    <x v="8"/>
    <s v="Credit Card"/>
    <n v="2685"/>
    <x v="0"/>
    <x v="0"/>
    <n v="5"/>
    <n v="2000"/>
    <x v="0"/>
  </r>
  <r>
    <d v="2024-07-02T00:00:00"/>
    <x v="3"/>
    <x v="8"/>
    <x v="5"/>
    <s v="Net Banking"/>
    <n v="53"/>
    <x v="1"/>
    <x v="0"/>
    <n v="7"/>
    <n v="7000"/>
    <x v="1"/>
  </r>
  <r>
    <d v="2024-06-14T00:00:00"/>
    <x v="10"/>
    <x v="8"/>
    <x v="6"/>
    <s v="Credit Card"/>
    <n v="967"/>
    <x v="1"/>
    <x v="0"/>
    <n v="6"/>
    <n v="7000"/>
    <x v="1"/>
  </r>
  <r>
    <d v="2024-06-06T00:00:00"/>
    <x v="10"/>
    <x v="6"/>
    <x v="7"/>
    <s v="Credit Card"/>
    <n v="1892"/>
    <x v="0"/>
    <x v="0"/>
    <n v="6"/>
    <n v="5500"/>
    <x v="1"/>
  </r>
  <r>
    <d v="2024-02-20T00:00:00"/>
    <x v="7"/>
    <x v="8"/>
    <x v="2"/>
    <s v="Credit Card"/>
    <n v="2018"/>
    <x v="1"/>
    <x v="0"/>
    <n v="2"/>
    <n v="7000"/>
    <x v="1"/>
  </r>
  <r>
    <d v="2024-01-01T00:00:00"/>
    <x v="8"/>
    <x v="0"/>
    <x v="3"/>
    <s v="UPI"/>
    <n v="3071"/>
    <x v="0"/>
    <x v="0"/>
    <n v="1"/>
    <n v="2000"/>
    <x v="0"/>
  </r>
  <r>
    <d v="2023-06-12T00:00:00"/>
    <x v="10"/>
    <x v="3"/>
    <x v="9"/>
    <s v="UPI"/>
    <n v="2738"/>
    <x v="1"/>
    <x v="0"/>
    <n v="6"/>
    <n v="1000"/>
    <x v="0"/>
  </r>
  <r>
    <d v="2024-04-05T00:00:00"/>
    <x v="6"/>
    <x v="6"/>
    <x v="9"/>
    <s v="Cash"/>
    <n v="4757"/>
    <x v="0"/>
    <x v="1"/>
    <n v="4"/>
    <n v="5500"/>
    <x v="1"/>
  </r>
  <r>
    <d v="2023-03-14T00:00:00"/>
    <x v="2"/>
    <x v="7"/>
    <x v="6"/>
    <s v="UPI"/>
    <n v="1532"/>
    <x v="1"/>
    <x v="0"/>
    <n v="3"/>
    <n v="10000"/>
    <x v="1"/>
  </r>
  <r>
    <d v="2023-04-14T00:00:00"/>
    <x v="6"/>
    <x v="0"/>
    <x v="8"/>
    <s v="Net Banking"/>
    <n v="1379"/>
    <x v="0"/>
    <x v="0"/>
    <n v="4"/>
    <n v="2000"/>
    <x v="1"/>
  </r>
  <r>
    <d v="2023-02-19T00:00:00"/>
    <x v="7"/>
    <x v="1"/>
    <x v="9"/>
    <s v="Net Banking"/>
    <n v="3327"/>
    <x v="1"/>
    <x v="0"/>
    <n v="2"/>
    <n v="5000"/>
    <x v="1"/>
  </r>
  <r>
    <d v="2023-11-07T00:00:00"/>
    <x v="11"/>
    <x v="4"/>
    <x v="1"/>
    <s v="Credit Card"/>
    <n v="2663"/>
    <x v="1"/>
    <x v="0"/>
    <n v="11"/>
    <n v="4000"/>
    <x v="1"/>
  </r>
  <r>
    <d v="2024-08-13T00:00:00"/>
    <x v="4"/>
    <x v="1"/>
    <x v="1"/>
    <s v="Net Banking"/>
    <n v="4138"/>
    <x v="1"/>
    <x v="0"/>
    <n v="8"/>
    <n v="5000"/>
    <x v="1"/>
  </r>
  <r>
    <d v="2024-07-07T00:00:00"/>
    <x v="3"/>
    <x v="4"/>
    <x v="7"/>
    <s v="Net Banking"/>
    <n v="1347"/>
    <x v="1"/>
    <x v="0"/>
    <n v="7"/>
    <n v="4000"/>
    <x v="1"/>
  </r>
  <r>
    <d v="2024-10-15T00:00:00"/>
    <x v="0"/>
    <x v="2"/>
    <x v="2"/>
    <s v="Debit Card"/>
    <n v="1138"/>
    <x v="1"/>
    <x v="0"/>
    <n v="10"/>
    <n v="5000"/>
    <x v="1"/>
  </r>
  <r>
    <d v="2024-02-13T00:00:00"/>
    <x v="7"/>
    <x v="6"/>
    <x v="3"/>
    <s v="Cash"/>
    <n v="4303"/>
    <x v="0"/>
    <x v="1"/>
    <n v="2"/>
    <n v="5500"/>
    <x v="1"/>
  </r>
  <r>
    <d v="2023-12-28T00:00:00"/>
    <x v="1"/>
    <x v="4"/>
    <x v="9"/>
    <s v="Net Banking"/>
    <n v="4087"/>
    <x v="1"/>
    <x v="0"/>
    <n v="12"/>
    <n v="4000"/>
    <x v="0"/>
  </r>
  <r>
    <d v="2024-09-01T00:00:00"/>
    <x v="9"/>
    <x v="6"/>
    <x v="2"/>
    <s v="Credit Card"/>
    <n v="2998"/>
    <x v="0"/>
    <x v="0"/>
    <n v="9"/>
    <n v="5500"/>
    <x v="1"/>
  </r>
  <r>
    <d v="2024-01-02T00:00:00"/>
    <x v="8"/>
    <x v="1"/>
    <x v="4"/>
    <s v="Net Banking"/>
    <n v="1472"/>
    <x v="1"/>
    <x v="0"/>
    <n v="1"/>
    <n v="5000"/>
    <x v="1"/>
  </r>
  <r>
    <d v="2024-06-30T00:00:00"/>
    <x v="10"/>
    <x v="7"/>
    <x v="2"/>
    <s v="Debit Card"/>
    <n v="1643"/>
    <x v="1"/>
    <x v="0"/>
    <n v="6"/>
    <n v="10000"/>
    <x v="1"/>
  </r>
  <r>
    <d v="2023-10-04T00:00:00"/>
    <x v="0"/>
    <x v="4"/>
    <x v="1"/>
    <s v="Debit Card"/>
    <n v="2119"/>
    <x v="1"/>
    <x v="0"/>
    <n v="10"/>
    <n v="4000"/>
    <x v="1"/>
  </r>
  <r>
    <d v="2023-06-16T00:00:00"/>
    <x v="10"/>
    <x v="7"/>
    <x v="9"/>
    <s v="UPI"/>
    <n v="4030"/>
    <x v="1"/>
    <x v="0"/>
    <n v="6"/>
    <n v="10000"/>
    <x v="1"/>
  </r>
  <r>
    <d v="2023-10-22T00:00:00"/>
    <x v="0"/>
    <x v="3"/>
    <x v="8"/>
    <s v="Debit Card"/>
    <n v="4652"/>
    <x v="1"/>
    <x v="0"/>
    <n v="10"/>
    <n v="1000"/>
    <x v="0"/>
  </r>
  <r>
    <d v="2024-02-24T00:00:00"/>
    <x v="7"/>
    <x v="7"/>
    <x v="9"/>
    <s v="Debit Card"/>
    <n v="4332"/>
    <x v="1"/>
    <x v="0"/>
    <n v="2"/>
    <n v="10000"/>
    <x v="1"/>
  </r>
  <r>
    <d v="2024-07-30T00:00:00"/>
    <x v="3"/>
    <x v="7"/>
    <x v="0"/>
    <s v="Debit Card"/>
    <n v="2573"/>
    <x v="1"/>
    <x v="0"/>
    <n v="7"/>
    <n v="10000"/>
    <x v="1"/>
  </r>
  <r>
    <d v="2024-04-15T00:00:00"/>
    <x v="6"/>
    <x v="7"/>
    <x v="8"/>
    <s v="Debit Card"/>
    <n v="2446"/>
    <x v="1"/>
    <x v="0"/>
    <n v="4"/>
    <n v="10000"/>
    <x v="1"/>
  </r>
  <r>
    <d v="2024-06-18T00:00:00"/>
    <x v="10"/>
    <x v="6"/>
    <x v="9"/>
    <s v="Net Banking"/>
    <n v="4759"/>
    <x v="0"/>
    <x v="0"/>
    <n v="6"/>
    <n v="5500"/>
    <x v="1"/>
  </r>
  <r>
    <d v="2023-01-07T00:00:00"/>
    <x v="8"/>
    <x v="7"/>
    <x v="8"/>
    <s v="UPI"/>
    <n v="2940"/>
    <x v="1"/>
    <x v="0"/>
    <n v="1"/>
    <n v="10000"/>
    <x v="1"/>
  </r>
  <r>
    <d v="2024-06-27T00:00:00"/>
    <x v="10"/>
    <x v="1"/>
    <x v="5"/>
    <s v="UPI"/>
    <n v="571"/>
    <x v="1"/>
    <x v="0"/>
    <n v="6"/>
    <n v="5000"/>
    <x v="1"/>
  </r>
  <r>
    <d v="2023-06-05T00:00:00"/>
    <x v="10"/>
    <x v="2"/>
    <x v="1"/>
    <s v="UPI"/>
    <n v="989"/>
    <x v="1"/>
    <x v="0"/>
    <n v="6"/>
    <n v="5000"/>
    <x v="1"/>
  </r>
  <r>
    <d v="2024-02-12T00:00:00"/>
    <x v="7"/>
    <x v="3"/>
    <x v="9"/>
    <s v="Net Banking"/>
    <n v="2011"/>
    <x v="1"/>
    <x v="0"/>
    <n v="2"/>
    <n v="1000"/>
    <x v="0"/>
  </r>
  <r>
    <d v="2023-06-24T00:00:00"/>
    <x v="10"/>
    <x v="4"/>
    <x v="5"/>
    <s v="Net Banking"/>
    <n v="1732"/>
    <x v="1"/>
    <x v="0"/>
    <n v="6"/>
    <n v="4000"/>
    <x v="1"/>
  </r>
  <r>
    <d v="2023-08-12T00:00:00"/>
    <x v="4"/>
    <x v="8"/>
    <x v="6"/>
    <s v="Net Banking"/>
    <n v="3837"/>
    <x v="1"/>
    <x v="0"/>
    <n v="8"/>
    <n v="7000"/>
    <x v="1"/>
  </r>
  <r>
    <d v="2023-05-13T00:00:00"/>
    <x v="5"/>
    <x v="0"/>
    <x v="0"/>
    <s v="Net Banking"/>
    <n v="2481"/>
    <x v="0"/>
    <x v="0"/>
    <n v="5"/>
    <n v="2000"/>
    <x v="0"/>
  </r>
  <r>
    <d v="2023-11-04T00:00:00"/>
    <x v="11"/>
    <x v="7"/>
    <x v="7"/>
    <s v="Debit Card"/>
    <n v="2650"/>
    <x v="1"/>
    <x v="0"/>
    <n v="11"/>
    <n v="10000"/>
    <x v="1"/>
  </r>
  <r>
    <d v="2023-12-08T00:00:00"/>
    <x v="1"/>
    <x v="2"/>
    <x v="8"/>
    <s v="Cash"/>
    <n v="432"/>
    <x v="1"/>
    <x v="1"/>
    <n v="12"/>
    <n v="5000"/>
    <x v="1"/>
  </r>
  <r>
    <d v="2023-03-04T00:00:00"/>
    <x v="2"/>
    <x v="1"/>
    <x v="6"/>
    <s v="Credit Card"/>
    <n v="3175"/>
    <x v="1"/>
    <x v="0"/>
    <n v="3"/>
    <n v="5000"/>
    <x v="1"/>
  </r>
  <r>
    <d v="2023-01-22T00:00:00"/>
    <x v="8"/>
    <x v="0"/>
    <x v="2"/>
    <s v="Debit Card"/>
    <n v="4012"/>
    <x v="0"/>
    <x v="0"/>
    <n v="1"/>
    <n v="2000"/>
    <x v="0"/>
  </r>
  <r>
    <d v="2023-11-08T00:00:00"/>
    <x v="11"/>
    <x v="1"/>
    <x v="3"/>
    <s v="Net Banking"/>
    <n v="3175"/>
    <x v="1"/>
    <x v="0"/>
    <n v="11"/>
    <n v="5000"/>
    <x v="1"/>
  </r>
  <r>
    <d v="2023-05-15T00:00:00"/>
    <x v="5"/>
    <x v="2"/>
    <x v="9"/>
    <s v="Cash"/>
    <n v="833"/>
    <x v="1"/>
    <x v="1"/>
    <n v="5"/>
    <n v="5000"/>
    <x v="1"/>
  </r>
  <r>
    <d v="2023-01-06T00:00:00"/>
    <x v="8"/>
    <x v="5"/>
    <x v="6"/>
    <s v="UPI"/>
    <n v="330"/>
    <x v="0"/>
    <x v="0"/>
    <n v="1"/>
    <n v="3000"/>
    <x v="1"/>
  </r>
  <r>
    <d v="2023-02-10T00:00:00"/>
    <x v="7"/>
    <x v="3"/>
    <x v="3"/>
    <s v="Credit Card"/>
    <n v="2096"/>
    <x v="1"/>
    <x v="0"/>
    <n v="2"/>
    <n v="1000"/>
    <x v="0"/>
  </r>
  <r>
    <d v="2023-07-10T00:00:00"/>
    <x v="3"/>
    <x v="0"/>
    <x v="4"/>
    <s v="UPI"/>
    <n v="2617"/>
    <x v="0"/>
    <x v="0"/>
    <n v="7"/>
    <n v="2000"/>
    <x v="0"/>
  </r>
  <r>
    <d v="2024-05-08T00:00:00"/>
    <x v="5"/>
    <x v="5"/>
    <x v="4"/>
    <s v="Cash"/>
    <n v="2496"/>
    <x v="0"/>
    <x v="1"/>
    <n v="5"/>
    <n v="3000"/>
    <x v="1"/>
  </r>
  <r>
    <d v="2023-10-21T00:00:00"/>
    <x v="0"/>
    <x v="3"/>
    <x v="0"/>
    <s v="Cash"/>
    <n v="4002"/>
    <x v="1"/>
    <x v="1"/>
    <n v="10"/>
    <n v="1000"/>
    <x v="0"/>
  </r>
  <r>
    <d v="2023-04-10T00:00:00"/>
    <x v="6"/>
    <x v="8"/>
    <x v="4"/>
    <s v="UPI"/>
    <n v="1024"/>
    <x v="1"/>
    <x v="0"/>
    <n v="4"/>
    <n v="7000"/>
    <x v="1"/>
  </r>
  <r>
    <d v="2023-05-10T00:00:00"/>
    <x v="5"/>
    <x v="5"/>
    <x v="6"/>
    <s v="Credit Card"/>
    <n v="3191"/>
    <x v="0"/>
    <x v="0"/>
    <n v="5"/>
    <n v="3000"/>
    <x v="0"/>
  </r>
  <r>
    <d v="2023-05-11T00:00:00"/>
    <x v="5"/>
    <x v="2"/>
    <x v="5"/>
    <s v="Net Banking"/>
    <n v="4670"/>
    <x v="1"/>
    <x v="0"/>
    <n v="5"/>
    <n v="5000"/>
    <x v="1"/>
  </r>
  <r>
    <d v="2024-11-20T00:00:00"/>
    <x v="11"/>
    <x v="0"/>
    <x v="7"/>
    <s v="UPI"/>
    <n v="1429"/>
    <x v="0"/>
    <x v="0"/>
    <n v="11"/>
    <n v="2000"/>
    <x v="1"/>
  </r>
  <r>
    <d v="2024-10-02T00:00:00"/>
    <x v="0"/>
    <x v="8"/>
    <x v="2"/>
    <s v="Credit Card"/>
    <n v="4521"/>
    <x v="1"/>
    <x v="0"/>
    <n v="10"/>
    <n v="7000"/>
    <x v="1"/>
  </r>
  <r>
    <d v="2023-11-29T00:00:00"/>
    <x v="11"/>
    <x v="4"/>
    <x v="8"/>
    <s v="Cash"/>
    <n v="4119"/>
    <x v="1"/>
    <x v="1"/>
    <n v="11"/>
    <n v="4000"/>
    <x v="0"/>
  </r>
  <r>
    <d v="2024-03-24T00:00:00"/>
    <x v="2"/>
    <x v="0"/>
    <x v="6"/>
    <s v="Credit Card"/>
    <n v="2316"/>
    <x v="0"/>
    <x v="0"/>
    <n v="3"/>
    <n v="2000"/>
    <x v="0"/>
  </r>
  <r>
    <d v="2023-07-07T00:00:00"/>
    <x v="3"/>
    <x v="6"/>
    <x v="6"/>
    <s v="Net Banking"/>
    <n v="3330"/>
    <x v="0"/>
    <x v="0"/>
    <n v="7"/>
    <n v="5500"/>
    <x v="1"/>
  </r>
  <r>
    <d v="2023-09-25T00:00:00"/>
    <x v="9"/>
    <x v="7"/>
    <x v="3"/>
    <s v="Net Banking"/>
    <n v="3431"/>
    <x v="1"/>
    <x v="0"/>
    <n v="9"/>
    <n v="10000"/>
    <x v="1"/>
  </r>
  <r>
    <d v="2024-11-27T00:00:00"/>
    <x v="11"/>
    <x v="1"/>
    <x v="8"/>
    <s v="Credit Card"/>
    <n v="2748"/>
    <x v="1"/>
    <x v="0"/>
    <n v="11"/>
    <n v="5000"/>
    <x v="1"/>
  </r>
  <r>
    <d v="2024-02-14T00:00:00"/>
    <x v="7"/>
    <x v="2"/>
    <x v="2"/>
    <s v="Credit Card"/>
    <n v="3294"/>
    <x v="1"/>
    <x v="0"/>
    <n v="2"/>
    <n v="5000"/>
    <x v="1"/>
  </r>
  <r>
    <d v="2023-05-05T00:00:00"/>
    <x v="5"/>
    <x v="5"/>
    <x v="6"/>
    <s v="UPI"/>
    <n v="4328"/>
    <x v="0"/>
    <x v="0"/>
    <n v="5"/>
    <n v="3000"/>
    <x v="0"/>
  </r>
  <r>
    <d v="2024-04-14T00:00:00"/>
    <x v="6"/>
    <x v="8"/>
    <x v="7"/>
    <s v="Debit Card"/>
    <n v="4759"/>
    <x v="1"/>
    <x v="0"/>
    <n v="4"/>
    <n v="7000"/>
    <x v="1"/>
  </r>
  <r>
    <d v="2024-03-29T00:00:00"/>
    <x v="2"/>
    <x v="1"/>
    <x v="9"/>
    <s v="Cash"/>
    <n v="1111"/>
    <x v="1"/>
    <x v="1"/>
    <n v="3"/>
    <n v="5000"/>
    <x v="1"/>
  </r>
  <r>
    <d v="2024-08-12T00:00:00"/>
    <x v="4"/>
    <x v="2"/>
    <x v="7"/>
    <s v="Cash"/>
    <n v="1747"/>
    <x v="1"/>
    <x v="1"/>
    <n v="8"/>
    <n v="5000"/>
    <x v="1"/>
  </r>
  <r>
    <d v="2024-09-03T00:00:00"/>
    <x v="9"/>
    <x v="0"/>
    <x v="8"/>
    <s v="Credit Card"/>
    <n v="2450"/>
    <x v="0"/>
    <x v="0"/>
    <n v="9"/>
    <n v="2000"/>
    <x v="0"/>
  </r>
  <r>
    <d v="2024-04-26T00:00:00"/>
    <x v="6"/>
    <x v="6"/>
    <x v="4"/>
    <s v="UPI"/>
    <n v="3487"/>
    <x v="0"/>
    <x v="0"/>
    <n v="4"/>
    <n v="5500"/>
    <x v="1"/>
  </r>
  <r>
    <d v="2024-01-19T00:00:00"/>
    <x v="8"/>
    <x v="0"/>
    <x v="1"/>
    <s v="Net Banking"/>
    <n v="2138"/>
    <x v="0"/>
    <x v="0"/>
    <n v="1"/>
    <n v="2000"/>
    <x v="0"/>
  </r>
  <r>
    <d v="2024-05-08T00:00:00"/>
    <x v="5"/>
    <x v="1"/>
    <x v="8"/>
    <s v="Cash"/>
    <n v="702"/>
    <x v="1"/>
    <x v="1"/>
    <n v="5"/>
    <n v="5000"/>
    <x v="1"/>
  </r>
  <r>
    <d v="2023-11-03T00:00:00"/>
    <x v="11"/>
    <x v="7"/>
    <x v="4"/>
    <s v="Cash"/>
    <n v="2687"/>
    <x v="1"/>
    <x v="1"/>
    <n v="11"/>
    <n v="10000"/>
    <x v="1"/>
  </r>
  <r>
    <d v="2023-02-18T00:00:00"/>
    <x v="7"/>
    <x v="4"/>
    <x v="3"/>
    <s v="UPI"/>
    <n v="2958"/>
    <x v="1"/>
    <x v="0"/>
    <n v="2"/>
    <n v="4000"/>
    <x v="1"/>
  </r>
  <r>
    <d v="2024-05-30T00:00:00"/>
    <x v="5"/>
    <x v="8"/>
    <x v="5"/>
    <s v="Net Banking"/>
    <n v="2308"/>
    <x v="1"/>
    <x v="0"/>
    <n v="5"/>
    <n v="7000"/>
    <x v="1"/>
  </r>
  <r>
    <d v="2023-07-14T00:00:00"/>
    <x v="3"/>
    <x v="1"/>
    <x v="3"/>
    <s v="Credit Card"/>
    <n v="3659"/>
    <x v="1"/>
    <x v="0"/>
    <n v="7"/>
    <n v="5000"/>
    <x v="1"/>
  </r>
  <r>
    <d v="2024-01-26T00:00:00"/>
    <x v="8"/>
    <x v="0"/>
    <x v="9"/>
    <s v="Cash"/>
    <n v="3800"/>
    <x v="0"/>
    <x v="1"/>
    <n v="1"/>
    <n v="2000"/>
    <x v="0"/>
  </r>
  <r>
    <d v="2024-12-07T00:00:00"/>
    <x v="1"/>
    <x v="6"/>
    <x v="2"/>
    <s v="Credit Card"/>
    <n v="2288"/>
    <x v="0"/>
    <x v="0"/>
    <n v="12"/>
    <n v="5500"/>
    <x v="1"/>
  </r>
  <r>
    <d v="2024-05-19T00:00:00"/>
    <x v="5"/>
    <x v="0"/>
    <x v="5"/>
    <s v="Cash"/>
    <n v="4272"/>
    <x v="0"/>
    <x v="1"/>
    <n v="5"/>
    <n v="2000"/>
    <x v="0"/>
  </r>
  <r>
    <d v="2024-10-22T00:00:00"/>
    <x v="0"/>
    <x v="8"/>
    <x v="6"/>
    <s v="Debit Card"/>
    <n v="1687"/>
    <x v="1"/>
    <x v="0"/>
    <n v="10"/>
    <n v="7000"/>
    <x v="1"/>
  </r>
  <r>
    <d v="2024-01-31T00:00:00"/>
    <x v="8"/>
    <x v="5"/>
    <x v="0"/>
    <s v="UPI"/>
    <n v="2437"/>
    <x v="0"/>
    <x v="0"/>
    <n v="1"/>
    <n v="3000"/>
    <x v="1"/>
  </r>
  <r>
    <d v="2023-02-16T00:00:00"/>
    <x v="7"/>
    <x v="1"/>
    <x v="1"/>
    <s v="UPI"/>
    <n v="4279"/>
    <x v="1"/>
    <x v="0"/>
    <n v="2"/>
    <n v="5000"/>
    <x v="1"/>
  </r>
  <r>
    <d v="2023-07-19T00:00:00"/>
    <x v="3"/>
    <x v="8"/>
    <x v="1"/>
    <s v="Debit Card"/>
    <n v="2777"/>
    <x v="1"/>
    <x v="0"/>
    <n v="7"/>
    <n v="7000"/>
    <x v="1"/>
  </r>
  <r>
    <d v="2023-12-31T00:00:00"/>
    <x v="1"/>
    <x v="5"/>
    <x v="7"/>
    <s v="Credit Card"/>
    <n v="3545"/>
    <x v="0"/>
    <x v="0"/>
    <n v="12"/>
    <n v="3000"/>
    <x v="0"/>
  </r>
  <r>
    <d v="2023-07-22T00:00:00"/>
    <x v="3"/>
    <x v="1"/>
    <x v="3"/>
    <s v="Net Banking"/>
    <n v="2540"/>
    <x v="1"/>
    <x v="0"/>
    <n v="7"/>
    <n v="5000"/>
    <x v="1"/>
  </r>
  <r>
    <d v="2023-05-05T00:00:00"/>
    <x v="5"/>
    <x v="0"/>
    <x v="0"/>
    <s v="Net Banking"/>
    <n v="2250"/>
    <x v="0"/>
    <x v="0"/>
    <n v="5"/>
    <n v="2000"/>
    <x v="0"/>
  </r>
  <r>
    <d v="2023-02-19T00:00:00"/>
    <x v="7"/>
    <x v="0"/>
    <x v="5"/>
    <s v="Debit Card"/>
    <n v="1828"/>
    <x v="0"/>
    <x v="0"/>
    <n v="2"/>
    <n v="2000"/>
    <x v="1"/>
  </r>
  <r>
    <d v="2023-04-18T00:00:00"/>
    <x v="6"/>
    <x v="2"/>
    <x v="6"/>
    <s v="Cash"/>
    <n v="2145"/>
    <x v="1"/>
    <x v="1"/>
    <n v="4"/>
    <n v="5000"/>
    <x v="1"/>
  </r>
  <r>
    <d v="2023-12-03T00:00:00"/>
    <x v="1"/>
    <x v="8"/>
    <x v="0"/>
    <s v="Debit Card"/>
    <n v="4131"/>
    <x v="1"/>
    <x v="0"/>
    <n v="12"/>
    <n v="7000"/>
    <x v="1"/>
  </r>
  <r>
    <d v="2023-07-14T00:00:00"/>
    <x v="3"/>
    <x v="6"/>
    <x v="3"/>
    <s v="Cash"/>
    <n v="2081"/>
    <x v="0"/>
    <x v="1"/>
    <n v="7"/>
    <n v="5500"/>
    <x v="1"/>
  </r>
  <r>
    <d v="2023-07-20T00:00:00"/>
    <x v="3"/>
    <x v="4"/>
    <x v="5"/>
    <s v="Cash"/>
    <n v="4739"/>
    <x v="1"/>
    <x v="1"/>
    <n v="7"/>
    <n v="4000"/>
    <x v="0"/>
  </r>
  <r>
    <d v="2023-07-15T00:00:00"/>
    <x v="3"/>
    <x v="6"/>
    <x v="2"/>
    <s v="Net Banking"/>
    <n v="3429"/>
    <x v="0"/>
    <x v="0"/>
    <n v="7"/>
    <n v="5500"/>
    <x v="1"/>
  </r>
  <r>
    <d v="2023-08-15T00:00:00"/>
    <x v="4"/>
    <x v="6"/>
    <x v="3"/>
    <s v="Net Banking"/>
    <n v="2844"/>
    <x v="0"/>
    <x v="0"/>
    <n v="8"/>
    <n v="5500"/>
    <x v="1"/>
  </r>
  <r>
    <d v="2024-11-13T00:00:00"/>
    <x v="11"/>
    <x v="6"/>
    <x v="0"/>
    <s v="UPI"/>
    <n v="3416"/>
    <x v="0"/>
    <x v="0"/>
    <n v="11"/>
    <n v="5500"/>
    <x v="1"/>
  </r>
  <r>
    <d v="2024-05-02T00:00:00"/>
    <x v="5"/>
    <x v="7"/>
    <x v="8"/>
    <s v="Net Banking"/>
    <n v="192"/>
    <x v="1"/>
    <x v="0"/>
    <n v="5"/>
    <n v="10000"/>
    <x v="1"/>
  </r>
  <r>
    <d v="2023-05-23T00:00:00"/>
    <x v="5"/>
    <x v="4"/>
    <x v="4"/>
    <s v="Credit Card"/>
    <n v="4745"/>
    <x v="1"/>
    <x v="0"/>
    <n v="5"/>
    <n v="4000"/>
    <x v="0"/>
  </r>
  <r>
    <d v="2024-07-03T00:00:00"/>
    <x v="3"/>
    <x v="8"/>
    <x v="4"/>
    <s v="Credit Card"/>
    <n v="4920"/>
    <x v="1"/>
    <x v="0"/>
    <n v="7"/>
    <n v="7000"/>
    <x v="1"/>
  </r>
  <r>
    <d v="2023-06-29T00:00:00"/>
    <x v="10"/>
    <x v="2"/>
    <x v="9"/>
    <s v="Debit Card"/>
    <n v="4534"/>
    <x v="1"/>
    <x v="0"/>
    <n v="6"/>
    <n v="5000"/>
    <x v="1"/>
  </r>
  <r>
    <d v="2023-09-10T00:00:00"/>
    <x v="9"/>
    <x v="6"/>
    <x v="5"/>
    <s v="UPI"/>
    <n v="350"/>
    <x v="0"/>
    <x v="0"/>
    <n v="9"/>
    <n v="5500"/>
    <x v="1"/>
  </r>
  <r>
    <d v="2024-08-23T00:00:00"/>
    <x v="4"/>
    <x v="8"/>
    <x v="7"/>
    <s v="Net Banking"/>
    <n v="2226"/>
    <x v="1"/>
    <x v="0"/>
    <n v="8"/>
    <n v="7000"/>
    <x v="1"/>
  </r>
  <r>
    <d v="2023-10-12T00:00:00"/>
    <x v="0"/>
    <x v="0"/>
    <x v="5"/>
    <s v="Cash"/>
    <n v="802"/>
    <x v="0"/>
    <x v="1"/>
    <n v="10"/>
    <n v="2000"/>
    <x v="1"/>
  </r>
  <r>
    <d v="2023-03-04T00:00:00"/>
    <x v="2"/>
    <x v="3"/>
    <x v="3"/>
    <s v="UPI"/>
    <n v="4041"/>
    <x v="1"/>
    <x v="0"/>
    <n v="3"/>
    <n v="1000"/>
    <x v="0"/>
  </r>
  <r>
    <d v="2023-06-30T00:00:00"/>
    <x v="10"/>
    <x v="6"/>
    <x v="0"/>
    <s v="Cash"/>
    <n v="611"/>
    <x v="0"/>
    <x v="1"/>
    <n v="6"/>
    <n v="5500"/>
    <x v="1"/>
  </r>
  <r>
    <d v="2023-11-10T00:00:00"/>
    <x v="11"/>
    <x v="1"/>
    <x v="7"/>
    <s v="Cash"/>
    <n v="1835"/>
    <x v="1"/>
    <x v="1"/>
    <n v="11"/>
    <n v="5000"/>
    <x v="1"/>
  </r>
  <r>
    <d v="2023-11-28T00:00:00"/>
    <x v="11"/>
    <x v="7"/>
    <x v="2"/>
    <s v="Cash"/>
    <n v="2228"/>
    <x v="1"/>
    <x v="1"/>
    <n v="11"/>
    <n v="10000"/>
    <x v="1"/>
  </r>
  <r>
    <d v="2023-10-01T00:00:00"/>
    <x v="0"/>
    <x v="1"/>
    <x v="7"/>
    <s v="Cash"/>
    <n v="4236"/>
    <x v="1"/>
    <x v="1"/>
    <n v="10"/>
    <n v="5000"/>
    <x v="1"/>
  </r>
  <r>
    <d v="2023-06-07T00:00:00"/>
    <x v="10"/>
    <x v="3"/>
    <x v="9"/>
    <s v="Cash"/>
    <n v="3550"/>
    <x v="1"/>
    <x v="1"/>
    <n v="6"/>
    <n v="1000"/>
    <x v="0"/>
  </r>
  <r>
    <d v="2023-10-17T00:00:00"/>
    <x v="0"/>
    <x v="7"/>
    <x v="3"/>
    <s v="UPI"/>
    <n v="3178"/>
    <x v="1"/>
    <x v="0"/>
    <n v="10"/>
    <n v="10000"/>
    <x v="1"/>
  </r>
  <r>
    <d v="2024-12-08T00:00:00"/>
    <x v="1"/>
    <x v="8"/>
    <x v="6"/>
    <s v="Net Banking"/>
    <n v="2005"/>
    <x v="1"/>
    <x v="0"/>
    <n v="12"/>
    <n v="7000"/>
    <x v="1"/>
  </r>
  <r>
    <d v="2024-08-27T00:00:00"/>
    <x v="4"/>
    <x v="1"/>
    <x v="9"/>
    <s v="Debit Card"/>
    <n v="4756"/>
    <x v="1"/>
    <x v="0"/>
    <n v="8"/>
    <n v="5000"/>
    <x v="1"/>
  </r>
  <r>
    <d v="2024-12-16T00:00:00"/>
    <x v="1"/>
    <x v="6"/>
    <x v="6"/>
    <s v="Credit Card"/>
    <n v="3273"/>
    <x v="0"/>
    <x v="0"/>
    <n v="12"/>
    <n v="5500"/>
    <x v="1"/>
  </r>
  <r>
    <d v="2023-01-22T00:00:00"/>
    <x v="8"/>
    <x v="2"/>
    <x v="0"/>
    <s v="Cash"/>
    <n v="3763"/>
    <x v="1"/>
    <x v="1"/>
    <n v="1"/>
    <n v="5000"/>
    <x v="1"/>
  </r>
  <r>
    <d v="2024-04-02T00:00:00"/>
    <x v="6"/>
    <x v="3"/>
    <x v="8"/>
    <s v="Net Banking"/>
    <n v="3737"/>
    <x v="1"/>
    <x v="0"/>
    <n v="4"/>
    <n v="1000"/>
    <x v="0"/>
  </r>
  <r>
    <d v="2024-07-18T00:00:00"/>
    <x v="3"/>
    <x v="5"/>
    <x v="1"/>
    <s v="Debit Card"/>
    <n v="4115"/>
    <x v="0"/>
    <x v="0"/>
    <n v="7"/>
    <n v="3000"/>
    <x v="0"/>
  </r>
  <r>
    <d v="2023-08-05T00:00:00"/>
    <x v="4"/>
    <x v="4"/>
    <x v="7"/>
    <s v="Credit Card"/>
    <n v="1294"/>
    <x v="1"/>
    <x v="0"/>
    <n v="8"/>
    <n v="4000"/>
    <x v="1"/>
  </r>
  <r>
    <d v="2024-01-12T00:00:00"/>
    <x v="8"/>
    <x v="0"/>
    <x v="7"/>
    <s v="Cash"/>
    <n v="2093"/>
    <x v="0"/>
    <x v="1"/>
    <n v="1"/>
    <n v="2000"/>
    <x v="0"/>
  </r>
  <r>
    <d v="2024-08-05T00:00:00"/>
    <x v="4"/>
    <x v="0"/>
    <x v="4"/>
    <s v="Debit Card"/>
    <n v="241"/>
    <x v="0"/>
    <x v="0"/>
    <n v="8"/>
    <n v="2000"/>
    <x v="1"/>
  </r>
  <r>
    <d v="2023-03-02T00:00:00"/>
    <x v="2"/>
    <x v="3"/>
    <x v="2"/>
    <s v="Debit Card"/>
    <n v="3532"/>
    <x v="1"/>
    <x v="0"/>
    <n v="3"/>
    <n v="1000"/>
    <x v="0"/>
  </r>
  <r>
    <d v="2024-07-09T00:00:00"/>
    <x v="3"/>
    <x v="5"/>
    <x v="7"/>
    <s v="Net Banking"/>
    <n v="4919"/>
    <x v="0"/>
    <x v="0"/>
    <n v="7"/>
    <n v="3000"/>
    <x v="0"/>
  </r>
  <r>
    <d v="2024-07-04T00:00:00"/>
    <x v="3"/>
    <x v="6"/>
    <x v="6"/>
    <s v="Debit Card"/>
    <n v="338"/>
    <x v="0"/>
    <x v="0"/>
    <n v="7"/>
    <n v="5500"/>
    <x v="1"/>
  </r>
  <r>
    <d v="2023-09-22T00:00:00"/>
    <x v="9"/>
    <x v="0"/>
    <x v="5"/>
    <s v="Cash"/>
    <n v="2855"/>
    <x v="0"/>
    <x v="1"/>
    <n v="9"/>
    <n v="2000"/>
    <x v="0"/>
  </r>
  <r>
    <d v="2024-03-11T00:00:00"/>
    <x v="2"/>
    <x v="2"/>
    <x v="4"/>
    <s v="UPI"/>
    <n v="2453"/>
    <x v="1"/>
    <x v="0"/>
    <n v="3"/>
    <n v="5000"/>
    <x v="1"/>
  </r>
  <r>
    <d v="2023-12-03T00:00:00"/>
    <x v="1"/>
    <x v="0"/>
    <x v="5"/>
    <s v="UPI"/>
    <n v="1972"/>
    <x v="0"/>
    <x v="0"/>
    <n v="12"/>
    <n v="2000"/>
    <x v="1"/>
  </r>
  <r>
    <d v="2024-01-30T00:00:00"/>
    <x v="8"/>
    <x v="8"/>
    <x v="8"/>
    <s v="Credit Card"/>
    <n v="888"/>
    <x v="1"/>
    <x v="0"/>
    <n v="1"/>
    <n v="7000"/>
    <x v="1"/>
  </r>
  <r>
    <d v="2024-11-03T00:00:00"/>
    <x v="11"/>
    <x v="1"/>
    <x v="0"/>
    <s v="Cash"/>
    <n v="4986"/>
    <x v="1"/>
    <x v="1"/>
    <n v="11"/>
    <n v="5000"/>
    <x v="1"/>
  </r>
  <r>
    <d v="2024-06-26T00:00:00"/>
    <x v="10"/>
    <x v="7"/>
    <x v="6"/>
    <s v="Cash"/>
    <n v="1715"/>
    <x v="1"/>
    <x v="1"/>
    <n v="6"/>
    <n v="10000"/>
    <x v="1"/>
  </r>
  <r>
    <d v="2023-03-29T00:00:00"/>
    <x v="2"/>
    <x v="5"/>
    <x v="3"/>
    <s v="Net Banking"/>
    <n v="2507"/>
    <x v="0"/>
    <x v="0"/>
    <n v="3"/>
    <n v="3000"/>
    <x v="1"/>
  </r>
  <r>
    <d v="2023-12-16T00:00:00"/>
    <x v="1"/>
    <x v="5"/>
    <x v="7"/>
    <s v="Credit Card"/>
    <n v="4668"/>
    <x v="0"/>
    <x v="0"/>
    <n v="12"/>
    <n v="3000"/>
    <x v="0"/>
  </r>
  <r>
    <d v="2023-08-26T00:00:00"/>
    <x v="4"/>
    <x v="1"/>
    <x v="4"/>
    <s v="Credit Card"/>
    <n v="3227"/>
    <x v="1"/>
    <x v="0"/>
    <n v="8"/>
    <n v="5000"/>
    <x v="1"/>
  </r>
  <r>
    <d v="2024-10-23T00:00:00"/>
    <x v="0"/>
    <x v="1"/>
    <x v="6"/>
    <s v="Net Banking"/>
    <n v="519"/>
    <x v="1"/>
    <x v="0"/>
    <n v="10"/>
    <n v="5000"/>
    <x v="1"/>
  </r>
  <r>
    <d v="2023-10-18T00:00:00"/>
    <x v="0"/>
    <x v="2"/>
    <x v="3"/>
    <s v="Credit Card"/>
    <n v="4972"/>
    <x v="1"/>
    <x v="0"/>
    <n v="10"/>
    <n v="5000"/>
    <x v="1"/>
  </r>
  <r>
    <d v="2023-01-09T00:00:00"/>
    <x v="8"/>
    <x v="0"/>
    <x v="6"/>
    <s v="UPI"/>
    <n v="3733"/>
    <x v="0"/>
    <x v="0"/>
    <n v="1"/>
    <n v="2000"/>
    <x v="0"/>
  </r>
  <r>
    <d v="2024-05-13T00:00:00"/>
    <x v="5"/>
    <x v="3"/>
    <x v="9"/>
    <s v="Cash"/>
    <n v="560"/>
    <x v="1"/>
    <x v="1"/>
    <n v="5"/>
    <n v="1000"/>
    <x v="1"/>
  </r>
  <r>
    <d v="2024-06-03T00:00:00"/>
    <x v="10"/>
    <x v="6"/>
    <x v="5"/>
    <s v="Debit Card"/>
    <n v="4022"/>
    <x v="0"/>
    <x v="0"/>
    <n v="6"/>
    <n v="5500"/>
    <x v="1"/>
  </r>
  <r>
    <d v="2024-12-03T00:00:00"/>
    <x v="1"/>
    <x v="7"/>
    <x v="6"/>
    <s v="Debit Card"/>
    <n v="3374"/>
    <x v="1"/>
    <x v="0"/>
    <n v="12"/>
    <n v="10000"/>
    <x v="1"/>
  </r>
  <r>
    <d v="2024-01-07T00:00:00"/>
    <x v="8"/>
    <x v="8"/>
    <x v="2"/>
    <s v="Credit Card"/>
    <n v="3947"/>
    <x v="1"/>
    <x v="0"/>
    <n v="1"/>
    <n v="7000"/>
    <x v="1"/>
  </r>
  <r>
    <d v="2023-08-17T00:00:00"/>
    <x v="4"/>
    <x v="3"/>
    <x v="4"/>
    <s v="Cash"/>
    <n v="3231"/>
    <x v="1"/>
    <x v="1"/>
    <n v="8"/>
    <n v="1000"/>
    <x v="0"/>
  </r>
  <r>
    <d v="2024-06-13T00:00:00"/>
    <x v="10"/>
    <x v="3"/>
    <x v="6"/>
    <s v="UPI"/>
    <n v="2096"/>
    <x v="1"/>
    <x v="0"/>
    <n v="6"/>
    <n v="1000"/>
    <x v="0"/>
  </r>
  <r>
    <d v="2023-03-30T00:00:00"/>
    <x v="2"/>
    <x v="7"/>
    <x v="6"/>
    <s v="Debit Card"/>
    <n v="1343"/>
    <x v="1"/>
    <x v="0"/>
    <n v="3"/>
    <n v="10000"/>
    <x v="1"/>
  </r>
  <r>
    <d v="2024-05-14T00:00:00"/>
    <x v="5"/>
    <x v="2"/>
    <x v="7"/>
    <s v="Credit Card"/>
    <n v="1882"/>
    <x v="1"/>
    <x v="0"/>
    <n v="5"/>
    <n v="5000"/>
    <x v="1"/>
  </r>
  <r>
    <d v="2024-12-03T00:00:00"/>
    <x v="1"/>
    <x v="1"/>
    <x v="6"/>
    <s v="Cash"/>
    <n v="4332"/>
    <x v="1"/>
    <x v="1"/>
    <n v="12"/>
    <n v="5000"/>
    <x v="1"/>
  </r>
  <r>
    <d v="2024-04-07T00:00:00"/>
    <x v="6"/>
    <x v="2"/>
    <x v="1"/>
    <s v="Credit Card"/>
    <n v="1394"/>
    <x v="1"/>
    <x v="0"/>
    <n v="4"/>
    <n v="5000"/>
    <x v="1"/>
  </r>
  <r>
    <d v="2024-10-24T00:00:00"/>
    <x v="0"/>
    <x v="1"/>
    <x v="2"/>
    <s v="UPI"/>
    <n v="3933"/>
    <x v="1"/>
    <x v="0"/>
    <n v="10"/>
    <n v="5000"/>
    <x v="1"/>
  </r>
  <r>
    <d v="2023-05-10T00:00:00"/>
    <x v="5"/>
    <x v="3"/>
    <x v="0"/>
    <s v="Cash"/>
    <n v="2099"/>
    <x v="1"/>
    <x v="1"/>
    <n v="5"/>
    <n v="1000"/>
    <x v="0"/>
  </r>
  <r>
    <d v="2024-09-03T00:00:00"/>
    <x v="9"/>
    <x v="0"/>
    <x v="5"/>
    <s v="Cash"/>
    <n v="3773"/>
    <x v="0"/>
    <x v="1"/>
    <n v="9"/>
    <n v="2000"/>
    <x v="0"/>
  </r>
  <r>
    <d v="2023-04-16T00:00:00"/>
    <x v="6"/>
    <x v="0"/>
    <x v="6"/>
    <s v="UPI"/>
    <n v="1463"/>
    <x v="0"/>
    <x v="0"/>
    <n v="4"/>
    <n v="2000"/>
    <x v="1"/>
  </r>
  <r>
    <d v="2024-02-04T00:00:00"/>
    <x v="7"/>
    <x v="8"/>
    <x v="0"/>
    <s v="Debit Card"/>
    <n v="1399"/>
    <x v="1"/>
    <x v="0"/>
    <n v="2"/>
    <n v="7000"/>
    <x v="1"/>
  </r>
  <r>
    <d v="2024-08-19T00:00:00"/>
    <x v="4"/>
    <x v="5"/>
    <x v="3"/>
    <s v="Debit Card"/>
    <n v="4857"/>
    <x v="0"/>
    <x v="0"/>
    <n v="8"/>
    <n v="3000"/>
    <x v="0"/>
  </r>
  <r>
    <d v="2024-01-12T00:00:00"/>
    <x v="8"/>
    <x v="0"/>
    <x v="1"/>
    <s v="Debit Card"/>
    <n v="2092"/>
    <x v="0"/>
    <x v="0"/>
    <n v="1"/>
    <n v="2000"/>
    <x v="0"/>
  </r>
  <r>
    <d v="2024-09-21T00:00:00"/>
    <x v="9"/>
    <x v="5"/>
    <x v="6"/>
    <s v="Cash"/>
    <n v="2929"/>
    <x v="0"/>
    <x v="1"/>
    <n v="9"/>
    <n v="3000"/>
    <x v="1"/>
  </r>
  <r>
    <d v="2024-05-24T00:00:00"/>
    <x v="5"/>
    <x v="7"/>
    <x v="1"/>
    <s v="Credit Card"/>
    <n v="4472"/>
    <x v="1"/>
    <x v="0"/>
    <n v="5"/>
    <n v="10000"/>
    <x v="1"/>
  </r>
  <r>
    <d v="2023-02-07T00:00:00"/>
    <x v="7"/>
    <x v="2"/>
    <x v="3"/>
    <s v="UPI"/>
    <n v="1048"/>
    <x v="1"/>
    <x v="0"/>
    <n v="2"/>
    <n v="5000"/>
    <x v="1"/>
  </r>
  <r>
    <d v="2023-04-09T00:00:00"/>
    <x v="6"/>
    <x v="3"/>
    <x v="4"/>
    <s v="Credit Card"/>
    <n v="76"/>
    <x v="1"/>
    <x v="0"/>
    <n v="4"/>
    <n v="1000"/>
    <x v="1"/>
  </r>
  <r>
    <d v="2024-10-15T00:00:00"/>
    <x v="0"/>
    <x v="4"/>
    <x v="2"/>
    <s v="UPI"/>
    <n v="4125"/>
    <x v="1"/>
    <x v="0"/>
    <n v="10"/>
    <n v="4000"/>
    <x v="0"/>
  </r>
  <r>
    <d v="2023-02-06T00:00:00"/>
    <x v="7"/>
    <x v="3"/>
    <x v="8"/>
    <s v="Credit Card"/>
    <n v="2368"/>
    <x v="1"/>
    <x v="0"/>
    <n v="2"/>
    <n v="1000"/>
    <x v="0"/>
  </r>
  <r>
    <d v="2023-05-06T00:00:00"/>
    <x v="5"/>
    <x v="7"/>
    <x v="5"/>
    <s v="Credit Card"/>
    <n v="4546"/>
    <x v="1"/>
    <x v="0"/>
    <n v="5"/>
    <n v="10000"/>
    <x v="1"/>
  </r>
  <r>
    <d v="2024-11-11T00:00:00"/>
    <x v="11"/>
    <x v="3"/>
    <x v="3"/>
    <s v="Debit Card"/>
    <n v="3529"/>
    <x v="1"/>
    <x v="0"/>
    <n v="11"/>
    <n v="1000"/>
    <x v="0"/>
  </r>
  <r>
    <d v="2024-03-23T00:00:00"/>
    <x v="2"/>
    <x v="0"/>
    <x v="3"/>
    <s v="Cash"/>
    <n v="3618"/>
    <x v="0"/>
    <x v="1"/>
    <n v="3"/>
    <n v="2000"/>
    <x v="0"/>
  </r>
  <r>
    <d v="2024-09-23T00:00:00"/>
    <x v="9"/>
    <x v="4"/>
    <x v="4"/>
    <s v="Net Banking"/>
    <n v="2203"/>
    <x v="1"/>
    <x v="0"/>
    <n v="9"/>
    <n v="4000"/>
    <x v="1"/>
  </r>
  <r>
    <d v="2024-09-21T00:00:00"/>
    <x v="9"/>
    <x v="5"/>
    <x v="5"/>
    <s v="Cash"/>
    <n v="4717"/>
    <x v="0"/>
    <x v="1"/>
    <n v="9"/>
    <n v="3000"/>
    <x v="0"/>
  </r>
  <r>
    <d v="2023-11-10T00:00:00"/>
    <x v="11"/>
    <x v="7"/>
    <x v="4"/>
    <s v="Credit Card"/>
    <n v="2291"/>
    <x v="1"/>
    <x v="0"/>
    <n v="11"/>
    <n v="10000"/>
    <x v="1"/>
  </r>
  <r>
    <d v="2024-09-30T00:00:00"/>
    <x v="9"/>
    <x v="4"/>
    <x v="3"/>
    <s v="UPI"/>
    <n v="4308"/>
    <x v="1"/>
    <x v="0"/>
    <n v="9"/>
    <n v="4000"/>
    <x v="0"/>
  </r>
  <r>
    <d v="2023-12-21T00:00:00"/>
    <x v="1"/>
    <x v="2"/>
    <x v="2"/>
    <s v="Net Banking"/>
    <n v="1561"/>
    <x v="1"/>
    <x v="0"/>
    <n v="12"/>
    <n v="5000"/>
    <x v="1"/>
  </r>
  <r>
    <d v="2023-02-09T00:00:00"/>
    <x v="7"/>
    <x v="6"/>
    <x v="0"/>
    <s v="Net Banking"/>
    <n v="1351"/>
    <x v="0"/>
    <x v="0"/>
    <n v="2"/>
    <n v="5500"/>
    <x v="1"/>
  </r>
  <r>
    <d v="2024-01-27T00:00:00"/>
    <x v="8"/>
    <x v="1"/>
    <x v="9"/>
    <s v="Debit Card"/>
    <n v="2038"/>
    <x v="1"/>
    <x v="0"/>
    <n v="1"/>
    <n v="5000"/>
    <x v="1"/>
  </r>
  <r>
    <d v="2024-01-19T00:00:00"/>
    <x v="8"/>
    <x v="7"/>
    <x v="5"/>
    <s v="Credit Card"/>
    <n v="3168"/>
    <x v="1"/>
    <x v="0"/>
    <n v="1"/>
    <n v="10000"/>
    <x v="1"/>
  </r>
  <r>
    <d v="2023-01-28T00:00:00"/>
    <x v="8"/>
    <x v="5"/>
    <x v="1"/>
    <s v="UPI"/>
    <n v="3313"/>
    <x v="0"/>
    <x v="0"/>
    <n v="1"/>
    <n v="3000"/>
    <x v="0"/>
  </r>
  <r>
    <d v="2024-12-21T00:00:00"/>
    <x v="1"/>
    <x v="8"/>
    <x v="0"/>
    <s v="UPI"/>
    <n v="1859"/>
    <x v="1"/>
    <x v="0"/>
    <n v="12"/>
    <n v="7000"/>
    <x v="1"/>
  </r>
  <r>
    <d v="2024-06-10T00:00:00"/>
    <x v="10"/>
    <x v="5"/>
    <x v="6"/>
    <s v="Credit Card"/>
    <n v="3155"/>
    <x v="0"/>
    <x v="0"/>
    <n v="6"/>
    <n v="3000"/>
    <x v="0"/>
  </r>
  <r>
    <d v="2023-03-10T00:00:00"/>
    <x v="2"/>
    <x v="7"/>
    <x v="9"/>
    <s v="Debit Card"/>
    <n v="4623"/>
    <x v="1"/>
    <x v="0"/>
    <n v="3"/>
    <n v="10000"/>
    <x v="1"/>
  </r>
  <r>
    <d v="2024-05-15T00:00:00"/>
    <x v="5"/>
    <x v="3"/>
    <x v="0"/>
    <s v="UPI"/>
    <n v="4647"/>
    <x v="1"/>
    <x v="0"/>
    <n v="5"/>
    <n v="1000"/>
    <x v="0"/>
  </r>
  <r>
    <d v="2023-06-12T00:00:00"/>
    <x v="10"/>
    <x v="7"/>
    <x v="6"/>
    <s v="Net Banking"/>
    <n v="1606"/>
    <x v="1"/>
    <x v="0"/>
    <n v="6"/>
    <n v="10000"/>
    <x v="1"/>
  </r>
  <r>
    <d v="2024-01-23T00:00:00"/>
    <x v="8"/>
    <x v="3"/>
    <x v="2"/>
    <s v="UPI"/>
    <n v="896"/>
    <x v="1"/>
    <x v="0"/>
    <n v="1"/>
    <n v="1000"/>
    <x v="1"/>
  </r>
  <r>
    <d v="2024-10-08T00:00:00"/>
    <x v="0"/>
    <x v="4"/>
    <x v="7"/>
    <s v="Net Banking"/>
    <n v="961"/>
    <x v="1"/>
    <x v="0"/>
    <n v="10"/>
    <n v="4000"/>
    <x v="1"/>
  </r>
  <r>
    <d v="2023-07-30T00:00:00"/>
    <x v="3"/>
    <x v="2"/>
    <x v="3"/>
    <s v="UPI"/>
    <n v="1943"/>
    <x v="1"/>
    <x v="0"/>
    <n v="7"/>
    <n v="5000"/>
    <x v="1"/>
  </r>
  <r>
    <d v="2024-08-03T00:00:00"/>
    <x v="4"/>
    <x v="4"/>
    <x v="3"/>
    <s v="Cash"/>
    <n v="167"/>
    <x v="1"/>
    <x v="1"/>
    <n v="8"/>
    <n v="4000"/>
    <x v="1"/>
  </r>
  <r>
    <d v="2024-01-18T00:00:00"/>
    <x v="8"/>
    <x v="2"/>
    <x v="7"/>
    <s v="Cash"/>
    <n v="4446"/>
    <x v="1"/>
    <x v="1"/>
    <n v="1"/>
    <n v="5000"/>
    <x v="1"/>
  </r>
  <r>
    <d v="2024-08-04T00:00:00"/>
    <x v="4"/>
    <x v="6"/>
    <x v="1"/>
    <s v="UPI"/>
    <n v="2647"/>
    <x v="0"/>
    <x v="0"/>
    <n v="8"/>
    <n v="5500"/>
    <x v="1"/>
  </r>
  <r>
    <d v="2023-05-09T00:00:00"/>
    <x v="5"/>
    <x v="2"/>
    <x v="8"/>
    <s v="Cash"/>
    <n v="2530"/>
    <x v="1"/>
    <x v="1"/>
    <n v="5"/>
    <n v="5000"/>
    <x v="1"/>
  </r>
  <r>
    <d v="2024-04-10T00:00:00"/>
    <x v="6"/>
    <x v="4"/>
    <x v="2"/>
    <s v="Credit Card"/>
    <n v="1349"/>
    <x v="1"/>
    <x v="0"/>
    <n v="4"/>
    <n v="4000"/>
    <x v="1"/>
  </r>
  <r>
    <d v="2024-08-19T00:00:00"/>
    <x v="4"/>
    <x v="1"/>
    <x v="9"/>
    <s v="Net Banking"/>
    <n v="454"/>
    <x v="1"/>
    <x v="0"/>
    <n v="8"/>
    <n v="5000"/>
    <x v="1"/>
  </r>
  <r>
    <d v="2024-01-30T00:00:00"/>
    <x v="8"/>
    <x v="1"/>
    <x v="6"/>
    <s v="Cash"/>
    <n v="4516"/>
    <x v="1"/>
    <x v="1"/>
    <n v="1"/>
    <n v="5000"/>
    <x v="1"/>
  </r>
  <r>
    <d v="2024-08-11T00:00:00"/>
    <x v="4"/>
    <x v="3"/>
    <x v="6"/>
    <s v="UPI"/>
    <n v="2943"/>
    <x v="1"/>
    <x v="0"/>
    <n v="8"/>
    <n v="1000"/>
    <x v="0"/>
  </r>
  <r>
    <d v="2024-01-06T00:00:00"/>
    <x v="8"/>
    <x v="8"/>
    <x v="2"/>
    <s v="Cash"/>
    <n v="3631"/>
    <x v="1"/>
    <x v="1"/>
    <n v="1"/>
    <n v="7000"/>
    <x v="1"/>
  </r>
  <r>
    <d v="2024-02-24T00:00:00"/>
    <x v="7"/>
    <x v="0"/>
    <x v="8"/>
    <s v="UPI"/>
    <n v="3073"/>
    <x v="0"/>
    <x v="0"/>
    <n v="2"/>
    <n v="2000"/>
    <x v="0"/>
  </r>
  <r>
    <d v="2024-02-17T00:00:00"/>
    <x v="7"/>
    <x v="2"/>
    <x v="7"/>
    <s v="Credit Card"/>
    <n v="4132"/>
    <x v="1"/>
    <x v="0"/>
    <n v="2"/>
    <n v="5000"/>
    <x v="1"/>
  </r>
  <r>
    <d v="2024-05-06T00:00:00"/>
    <x v="5"/>
    <x v="0"/>
    <x v="9"/>
    <s v="Debit Card"/>
    <n v="1354"/>
    <x v="0"/>
    <x v="0"/>
    <n v="5"/>
    <n v="2000"/>
    <x v="1"/>
  </r>
  <r>
    <d v="2023-04-03T00:00:00"/>
    <x v="6"/>
    <x v="4"/>
    <x v="8"/>
    <s v="Cash"/>
    <n v="1649"/>
    <x v="1"/>
    <x v="1"/>
    <n v="4"/>
    <n v="4000"/>
    <x v="1"/>
  </r>
  <r>
    <d v="2023-06-04T00:00:00"/>
    <x v="10"/>
    <x v="5"/>
    <x v="5"/>
    <s v="Credit Card"/>
    <n v="4513"/>
    <x v="0"/>
    <x v="0"/>
    <n v="6"/>
    <n v="3000"/>
    <x v="0"/>
  </r>
  <r>
    <d v="2024-12-18T00:00:00"/>
    <x v="1"/>
    <x v="0"/>
    <x v="1"/>
    <s v="Debit Card"/>
    <n v="1369"/>
    <x v="0"/>
    <x v="0"/>
    <n v="12"/>
    <n v="2000"/>
    <x v="1"/>
  </r>
  <r>
    <d v="2023-04-11T00:00:00"/>
    <x v="6"/>
    <x v="8"/>
    <x v="1"/>
    <s v="Debit Card"/>
    <n v="1397"/>
    <x v="1"/>
    <x v="0"/>
    <n v="4"/>
    <n v="7000"/>
    <x v="1"/>
  </r>
  <r>
    <d v="2024-07-14T00:00:00"/>
    <x v="3"/>
    <x v="6"/>
    <x v="8"/>
    <s v="Cash"/>
    <n v="2138"/>
    <x v="0"/>
    <x v="1"/>
    <n v="7"/>
    <n v="5500"/>
    <x v="1"/>
  </r>
  <r>
    <d v="2023-09-05T00:00:00"/>
    <x v="9"/>
    <x v="2"/>
    <x v="1"/>
    <s v="Credit Card"/>
    <n v="1209"/>
    <x v="1"/>
    <x v="0"/>
    <n v="9"/>
    <n v="5000"/>
    <x v="1"/>
  </r>
  <r>
    <d v="2024-11-17T00:00:00"/>
    <x v="11"/>
    <x v="6"/>
    <x v="4"/>
    <s v="UPI"/>
    <n v="4326"/>
    <x v="0"/>
    <x v="0"/>
    <n v="11"/>
    <n v="5500"/>
    <x v="1"/>
  </r>
  <r>
    <d v="2024-03-12T00:00:00"/>
    <x v="2"/>
    <x v="6"/>
    <x v="0"/>
    <s v="UPI"/>
    <n v="3577"/>
    <x v="0"/>
    <x v="0"/>
    <n v="3"/>
    <n v="5500"/>
    <x v="1"/>
  </r>
  <r>
    <d v="2024-10-17T00:00:00"/>
    <x v="0"/>
    <x v="1"/>
    <x v="0"/>
    <s v="Credit Card"/>
    <n v="1849"/>
    <x v="1"/>
    <x v="0"/>
    <n v="10"/>
    <n v="5000"/>
    <x v="1"/>
  </r>
  <r>
    <d v="2023-11-18T00:00:00"/>
    <x v="11"/>
    <x v="8"/>
    <x v="4"/>
    <s v="Credit Card"/>
    <n v="1089"/>
    <x v="1"/>
    <x v="0"/>
    <n v="11"/>
    <n v="7000"/>
    <x v="1"/>
  </r>
  <r>
    <d v="2024-03-23T00:00:00"/>
    <x v="2"/>
    <x v="1"/>
    <x v="2"/>
    <s v="Net Banking"/>
    <n v="1032"/>
    <x v="1"/>
    <x v="0"/>
    <n v="3"/>
    <n v="5000"/>
    <x v="1"/>
  </r>
  <r>
    <d v="2024-08-30T00:00:00"/>
    <x v="4"/>
    <x v="5"/>
    <x v="4"/>
    <s v="Credit Card"/>
    <n v="4497"/>
    <x v="0"/>
    <x v="0"/>
    <n v="8"/>
    <n v="3000"/>
    <x v="0"/>
  </r>
  <r>
    <d v="2023-05-17T00:00:00"/>
    <x v="5"/>
    <x v="5"/>
    <x v="9"/>
    <s v="Credit Card"/>
    <n v="4994"/>
    <x v="0"/>
    <x v="0"/>
    <n v="5"/>
    <n v="3000"/>
    <x v="0"/>
  </r>
  <r>
    <d v="2024-08-12T00:00:00"/>
    <x v="4"/>
    <x v="1"/>
    <x v="7"/>
    <s v="Debit Card"/>
    <n v="581"/>
    <x v="1"/>
    <x v="0"/>
    <n v="8"/>
    <n v="5000"/>
    <x v="1"/>
  </r>
  <r>
    <d v="2023-02-02T00:00:00"/>
    <x v="7"/>
    <x v="3"/>
    <x v="9"/>
    <s v="Debit Card"/>
    <n v="4217"/>
    <x v="1"/>
    <x v="0"/>
    <n v="2"/>
    <n v="1000"/>
    <x v="0"/>
  </r>
  <r>
    <d v="2024-07-05T00:00:00"/>
    <x v="3"/>
    <x v="0"/>
    <x v="4"/>
    <s v="Cash"/>
    <n v="4161"/>
    <x v="0"/>
    <x v="1"/>
    <n v="7"/>
    <n v="2000"/>
    <x v="0"/>
  </r>
  <r>
    <d v="2024-05-11T00:00:00"/>
    <x v="5"/>
    <x v="6"/>
    <x v="5"/>
    <s v="UPI"/>
    <n v="4550"/>
    <x v="0"/>
    <x v="0"/>
    <n v="5"/>
    <n v="5500"/>
    <x v="1"/>
  </r>
  <r>
    <d v="2024-03-05T00:00:00"/>
    <x v="2"/>
    <x v="8"/>
    <x v="7"/>
    <s v="Net Banking"/>
    <n v="1543"/>
    <x v="1"/>
    <x v="0"/>
    <n v="3"/>
    <n v="7000"/>
    <x v="1"/>
  </r>
  <r>
    <d v="2024-06-10T00:00:00"/>
    <x v="10"/>
    <x v="1"/>
    <x v="5"/>
    <s v="Debit Card"/>
    <n v="131"/>
    <x v="1"/>
    <x v="0"/>
    <n v="6"/>
    <n v="5000"/>
    <x v="1"/>
  </r>
  <r>
    <d v="2023-08-22T00:00:00"/>
    <x v="4"/>
    <x v="4"/>
    <x v="1"/>
    <s v="Debit Card"/>
    <n v="4062"/>
    <x v="1"/>
    <x v="0"/>
    <n v="8"/>
    <n v="4000"/>
    <x v="0"/>
  </r>
  <r>
    <d v="2023-12-27T00:00:00"/>
    <x v="1"/>
    <x v="3"/>
    <x v="1"/>
    <s v="Debit Card"/>
    <n v="1660"/>
    <x v="1"/>
    <x v="0"/>
    <n v="12"/>
    <n v="1000"/>
    <x v="0"/>
  </r>
  <r>
    <d v="2024-03-11T00:00:00"/>
    <x v="2"/>
    <x v="2"/>
    <x v="3"/>
    <s v="Net Banking"/>
    <n v="1238"/>
    <x v="1"/>
    <x v="0"/>
    <n v="3"/>
    <n v="5000"/>
    <x v="1"/>
  </r>
  <r>
    <d v="2023-12-18T00:00:00"/>
    <x v="1"/>
    <x v="8"/>
    <x v="0"/>
    <s v="Cash"/>
    <n v="387"/>
    <x v="1"/>
    <x v="1"/>
    <n v="12"/>
    <n v="7000"/>
    <x v="1"/>
  </r>
  <r>
    <d v="2023-08-29T00:00:00"/>
    <x v="4"/>
    <x v="4"/>
    <x v="2"/>
    <s v="Cash"/>
    <n v="4582"/>
    <x v="1"/>
    <x v="1"/>
    <n v="8"/>
    <n v="4000"/>
    <x v="0"/>
  </r>
  <r>
    <d v="2024-09-13T00:00:00"/>
    <x v="9"/>
    <x v="4"/>
    <x v="4"/>
    <s v="Net Banking"/>
    <n v="1178"/>
    <x v="1"/>
    <x v="0"/>
    <n v="9"/>
    <n v="4000"/>
    <x v="1"/>
  </r>
  <r>
    <d v="2023-10-10T00:00:00"/>
    <x v="0"/>
    <x v="6"/>
    <x v="3"/>
    <s v="Credit Card"/>
    <n v="4286"/>
    <x v="0"/>
    <x v="0"/>
    <n v="10"/>
    <n v="5500"/>
    <x v="1"/>
  </r>
  <r>
    <d v="2024-05-18T00:00:00"/>
    <x v="5"/>
    <x v="6"/>
    <x v="0"/>
    <s v="Cash"/>
    <n v="3632"/>
    <x v="0"/>
    <x v="1"/>
    <n v="5"/>
    <n v="5500"/>
    <x v="1"/>
  </r>
  <r>
    <d v="2024-03-30T00:00:00"/>
    <x v="2"/>
    <x v="0"/>
    <x v="2"/>
    <s v="Debit Card"/>
    <n v="1798"/>
    <x v="0"/>
    <x v="0"/>
    <n v="3"/>
    <n v="2000"/>
    <x v="1"/>
  </r>
  <r>
    <d v="2024-08-30T00:00:00"/>
    <x v="4"/>
    <x v="3"/>
    <x v="2"/>
    <s v="Credit Card"/>
    <n v="540"/>
    <x v="1"/>
    <x v="0"/>
    <n v="8"/>
    <n v="1000"/>
    <x v="1"/>
  </r>
  <r>
    <d v="2023-03-17T00:00:00"/>
    <x v="2"/>
    <x v="1"/>
    <x v="8"/>
    <s v="Debit Card"/>
    <n v="3132"/>
    <x v="1"/>
    <x v="0"/>
    <n v="3"/>
    <n v="5000"/>
    <x v="1"/>
  </r>
  <r>
    <d v="2023-10-17T00:00:00"/>
    <x v="0"/>
    <x v="4"/>
    <x v="3"/>
    <s v="Cash"/>
    <n v="153"/>
    <x v="1"/>
    <x v="1"/>
    <n v="10"/>
    <n v="4000"/>
    <x v="1"/>
  </r>
  <r>
    <d v="2023-10-16T00:00:00"/>
    <x v="0"/>
    <x v="5"/>
    <x v="6"/>
    <s v="Debit Card"/>
    <n v="3097"/>
    <x v="0"/>
    <x v="0"/>
    <n v="10"/>
    <n v="3000"/>
    <x v="0"/>
  </r>
  <r>
    <d v="2023-10-16T00:00:00"/>
    <x v="0"/>
    <x v="6"/>
    <x v="0"/>
    <s v="Debit Card"/>
    <n v="3610"/>
    <x v="0"/>
    <x v="0"/>
    <n v="10"/>
    <n v="5500"/>
    <x v="1"/>
  </r>
  <r>
    <d v="2023-09-14T00:00:00"/>
    <x v="9"/>
    <x v="8"/>
    <x v="7"/>
    <s v="Debit Card"/>
    <n v="3404"/>
    <x v="1"/>
    <x v="0"/>
    <n v="9"/>
    <n v="7000"/>
    <x v="1"/>
  </r>
  <r>
    <d v="2024-04-08T00:00:00"/>
    <x v="6"/>
    <x v="1"/>
    <x v="7"/>
    <s v="UPI"/>
    <n v="3344"/>
    <x v="1"/>
    <x v="0"/>
    <n v="4"/>
    <n v="5000"/>
    <x v="1"/>
  </r>
  <r>
    <d v="2023-01-27T00:00:00"/>
    <x v="8"/>
    <x v="2"/>
    <x v="3"/>
    <s v="Net Banking"/>
    <n v="2731"/>
    <x v="1"/>
    <x v="0"/>
    <n v="1"/>
    <n v="5000"/>
    <x v="1"/>
  </r>
  <r>
    <d v="2024-02-13T00:00:00"/>
    <x v="7"/>
    <x v="3"/>
    <x v="1"/>
    <s v="Debit Card"/>
    <n v="1002"/>
    <x v="1"/>
    <x v="0"/>
    <n v="2"/>
    <n v="1000"/>
    <x v="0"/>
  </r>
  <r>
    <d v="2023-06-20T00:00:00"/>
    <x v="10"/>
    <x v="1"/>
    <x v="0"/>
    <s v="Debit Card"/>
    <n v="1162"/>
    <x v="1"/>
    <x v="0"/>
    <n v="6"/>
    <n v="5000"/>
    <x v="1"/>
  </r>
  <r>
    <d v="2024-05-12T00:00:00"/>
    <x v="5"/>
    <x v="2"/>
    <x v="3"/>
    <s v="UPI"/>
    <n v="4054"/>
    <x v="1"/>
    <x v="0"/>
    <n v="5"/>
    <n v="5000"/>
    <x v="1"/>
  </r>
  <r>
    <d v="2024-02-20T00:00:00"/>
    <x v="7"/>
    <x v="3"/>
    <x v="3"/>
    <s v="UPI"/>
    <n v="4008"/>
    <x v="1"/>
    <x v="0"/>
    <n v="2"/>
    <n v="1000"/>
    <x v="0"/>
  </r>
  <r>
    <d v="2024-12-15T00:00:00"/>
    <x v="1"/>
    <x v="4"/>
    <x v="0"/>
    <s v="Cash"/>
    <n v="4939"/>
    <x v="1"/>
    <x v="1"/>
    <n v="12"/>
    <n v="4000"/>
    <x v="0"/>
  </r>
  <r>
    <d v="2024-06-22T00:00:00"/>
    <x v="10"/>
    <x v="0"/>
    <x v="2"/>
    <s v="Cash"/>
    <n v="1637"/>
    <x v="0"/>
    <x v="1"/>
    <n v="6"/>
    <n v="2000"/>
    <x v="1"/>
  </r>
  <r>
    <d v="2024-04-26T00:00:00"/>
    <x v="6"/>
    <x v="4"/>
    <x v="8"/>
    <s v="Cash"/>
    <n v="2493"/>
    <x v="1"/>
    <x v="1"/>
    <n v="4"/>
    <n v="4000"/>
    <x v="1"/>
  </r>
  <r>
    <d v="2024-02-15T00:00:00"/>
    <x v="7"/>
    <x v="5"/>
    <x v="8"/>
    <s v="Debit Card"/>
    <n v="2300"/>
    <x v="0"/>
    <x v="0"/>
    <n v="2"/>
    <n v="3000"/>
    <x v="1"/>
  </r>
  <r>
    <d v="2024-03-03T00:00:00"/>
    <x v="2"/>
    <x v="6"/>
    <x v="5"/>
    <s v="Cash"/>
    <n v="4936"/>
    <x v="0"/>
    <x v="1"/>
    <n v="3"/>
    <n v="5500"/>
    <x v="1"/>
  </r>
  <r>
    <d v="2024-09-30T00:00:00"/>
    <x v="9"/>
    <x v="2"/>
    <x v="4"/>
    <s v="UPI"/>
    <n v="2789"/>
    <x v="1"/>
    <x v="0"/>
    <n v="9"/>
    <n v="5000"/>
    <x v="1"/>
  </r>
  <r>
    <d v="2024-03-08T00:00:00"/>
    <x v="2"/>
    <x v="5"/>
    <x v="3"/>
    <s v="Cash"/>
    <n v="3653"/>
    <x v="0"/>
    <x v="1"/>
    <n v="3"/>
    <n v="3000"/>
    <x v="0"/>
  </r>
  <r>
    <d v="2023-03-10T00:00:00"/>
    <x v="2"/>
    <x v="1"/>
    <x v="9"/>
    <s v="Cash"/>
    <n v="4548"/>
    <x v="1"/>
    <x v="1"/>
    <n v="3"/>
    <n v="5000"/>
    <x v="1"/>
  </r>
  <r>
    <d v="2023-10-02T00:00:00"/>
    <x v="0"/>
    <x v="3"/>
    <x v="9"/>
    <s v="Net Banking"/>
    <n v="4210"/>
    <x v="1"/>
    <x v="0"/>
    <n v="10"/>
    <n v="1000"/>
    <x v="0"/>
  </r>
  <r>
    <d v="2023-03-12T00:00:00"/>
    <x v="2"/>
    <x v="0"/>
    <x v="4"/>
    <s v="Cash"/>
    <n v="4812"/>
    <x v="0"/>
    <x v="1"/>
    <n v="3"/>
    <n v="2000"/>
    <x v="0"/>
  </r>
  <r>
    <d v="2023-11-04T00:00:00"/>
    <x v="11"/>
    <x v="1"/>
    <x v="5"/>
    <s v="UPI"/>
    <n v="84"/>
    <x v="1"/>
    <x v="0"/>
    <n v="11"/>
    <n v="5000"/>
    <x v="1"/>
  </r>
  <r>
    <d v="2023-03-13T00:00:00"/>
    <x v="2"/>
    <x v="8"/>
    <x v="0"/>
    <s v="Debit Card"/>
    <n v="1676"/>
    <x v="1"/>
    <x v="0"/>
    <n v="3"/>
    <n v="7000"/>
    <x v="1"/>
  </r>
  <r>
    <d v="2023-09-23T00:00:00"/>
    <x v="9"/>
    <x v="4"/>
    <x v="2"/>
    <s v="Cash"/>
    <n v="898"/>
    <x v="1"/>
    <x v="1"/>
    <n v="9"/>
    <n v="4000"/>
    <x v="1"/>
  </r>
  <r>
    <d v="2024-03-27T00:00:00"/>
    <x v="2"/>
    <x v="2"/>
    <x v="1"/>
    <s v="Credit Card"/>
    <n v="4098"/>
    <x v="1"/>
    <x v="0"/>
    <n v="3"/>
    <n v="5000"/>
    <x v="1"/>
  </r>
  <r>
    <d v="2024-03-21T00:00:00"/>
    <x v="2"/>
    <x v="5"/>
    <x v="0"/>
    <s v="Net Banking"/>
    <n v="2071"/>
    <x v="0"/>
    <x v="0"/>
    <n v="3"/>
    <n v="3000"/>
    <x v="1"/>
  </r>
  <r>
    <d v="2023-03-21T00:00:00"/>
    <x v="2"/>
    <x v="7"/>
    <x v="1"/>
    <s v="Credit Card"/>
    <n v="2502"/>
    <x v="1"/>
    <x v="0"/>
    <n v="3"/>
    <n v="10000"/>
    <x v="1"/>
  </r>
  <r>
    <d v="2024-09-08T00:00:00"/>
    <x v="9"/>
    <x v="1"/>
    <x v="2"/>
    <s v="Debit Card"/>
    <n v="666"/>
    <x v="1"/>
    <x v="0"/>
    <n v="9"/>
    <n v="5000"/>
    <x v="1"/>
  </r>
  <r>
    <d v="2023-10-05T00:00:00"/>
    <x v="0"/>
    <x v="2"/>
    <x v="6"/>
    <s v="UPI"/>
    <n v="2636"/>
    <x v="1"/>
    <x v="0"/>
    <n v="10"/>
    <n v="5000"/>
    <x v="1"/>
  </r>
  <r>
    <d v="2023-10-02T00:00:00"/>
    <x v="0"/>
    <x v="7"/>
    <x v="4"/>
    <s v="Net Banking"/>
    <n v="487"/>
    <x v="1"/>
    <x v="0"/>
    <n v="10"/>
    <n v="10000"/>
    <x v="1"/>
  </r>
  <r>
    <d v="2024-08-20T00:00:00"/>
    <x v="4"/>
    <x v="5"/>
    <x v="5"/>
    <s v="UPI"/>
    <n v="3338"/>
    <x v="0"/>
    <x v="0"/>
    <n v="8"/>
    <n v="3000"/>
    <x v="0"/>
  </r>
  <r>
    <d v="2023-10-08T00:00:00"/>
    <x v="0"/>
    <x v="4"/>
    <x v="8"/>
    <s v="Debit Card"/>
    <n v="3429"/>
    <x v="1"/>
    <x v="0"/>
    <n v="10"/>
    <n v="4000"/>
    <x v="1"/>
  </r>
  <r>
    <d v="2024-04-13T00:00:00"/>
    <x v="6"/>
    <x v="3"/>
    <x v="5"/>
    <s v="UPI"/>
    <n v="916"/>
    <x v="1"/>
    <x v="0"/>
    <n v="4"/>
    <n v="1000"/>
    <x v="1"/>
  </r>
  <r>
    <d v="2024-10-09T00:00:00"/>
    <x v="0"/>
    <x v="2"/>
    <x v="2"/>
    <s v="Credit Card"/>
    <n v="4419"/>
    <x v="1"/>
    <x v="0"/>
    <n v="10"/>
    <n v="5000"/>
    <x v="1"/>
  </r>
  <r>
    <d v="2024-08-30T00:00:00"/>
    <x v="4"/>
    <x v="8"/>
    <x v="2"/>
    <s v="Debit Card"/>
    <n v="1752"/>
    <x v="1"/>
    <x v="0"/>
    <n v="8"/>
    <n v="7000"/>
    <x v="1"/>
  </r>
  <r>
    <d v="2023-11-23T00:00:00"/>
    <x v="11"/>
    <x v="7"/>
    <x v="5"/>
    <s v="Credit Card"/>
    <n v="3888"/>
    <x v="1"/>
    <x v="0"/>
    <n v="11"/>
    <n v="10000"/>
    <x v="1"/>
  </r>
  <r>
    <d v="2023-10-17T00:00:00"/>
    <x v="0"/>
    <x v="4"/>
    <x v="6"/>
    <s v="Debit Card"/>
    <n v="4677"/>
    <x v="1"/>
    <x v="0"/>
    <n v="10"/>
    <n v="4000"/>
    <x v="0"/>
  </r>
  <r>
    <d v="2023-10-30T00:00:00"/>
    <x v="0"/>
    <x v="5"/>
    <x v="2"/>
    <s v="Credit Card"/>
    <n v="2894"/>
    <x v="0"/>
    <x v="0"/>
    <n v="10"/>
    <n v="3000"/>
    <x v="1"/>
  </r>
  <r>
    <d v="2024-06-01T00:00:00"/>
    <x v="10"/>
    <x v="6"/>
    <x v="2"/>
    <s v="Net Banking"/>
    <n v="3419"/>
    <x v="0"/>
    <x v="0"/>
    <n v="6"/>
    <n v="5500"/>
    <x v="1"/>
  </r>
  <r>
    <d v="2024-06-17T00:00:00"/>
    <x v="10"/>
    <x v="2"/>
    <x v="2"/>
    <s v="UPI"/>
    <n v="3265"/>
    <x v="1"/>
    <x v="0"/>
    <n v="6"/>
    <n v="5000"/>
    <x v="1"/>
  </r>
  <r>
    <d v="2024-03-22T00:00:00"/>
    <x v="2"/>
    <x v="3"/>
    <x v="7"/>
    <s v="Cash"/>
    <n v="3582"/>
    <x v="1"/>
    <x v="1"/>
    <n v="3"/>
    <n v="1000"/>
    <x v="0"/>
  </r>
  <r>
    <d v="2024-06-16T00:00:00"/>
    <x v="10"/>
    <x v="8"/>
    <x v="5"/>
    <s v="Cash"/>
    <n v="2043"/>
    <x v="1"/>
    <x v="1"/>
    <n v="6"/>
    <n v="7000"/>
    <x v="1"/>
  </r>
  <r>
    <d v="2024-10-30T00:00:00"/>
    <x v="0"/>
    <x v="3"/>
    <x v="2"/>
    <s v="Net Banking"/>
    <n v="915"/>
    <x v="1"/>
    <x v="0"/>
    <n v="10"/>
    <n v="1000"/>
    <x v="1"/>
  </r>
  <r>
    <d v="2024-11-02T00:00:00"/>
    <x v="11"/>
    <x v="8"/>
    <x v="2"/>
    <s v="Net Banking"/>
    <n v="3307"/>
    <x v="1"/>
    <x v="0"/>
    <n v="11"/>
    <n v="7000"/>
    <x v="1"/>
  </r>
  <r>
    <d v="2024-04-03T00:00:00"/>
    <x v="6"/>
    <x v="0"/>
    <x v="9"/>
    <s v="Cash"/>
    <n v="3673"/>
    <x v="0"/>
    <x v="1"/>
    <n v="4"/>
    <n v="2000"/>
    <x v="0"/>
  </r>
  <r>
    <d v="2023-03-22T00:00:00"/>
    <x v="2"/>
    <x v="5"/>
    <x v="3"/>
    <s v="Net Banking"/>
    <n v="4933"/>
    <x v="0"/>
    <x v="0"/>
    <n v="3"/>
    <n v="3000"/>
    <x v="0"/>
  </r>
  <r>
    <d v="2023-11-09T00:00:00"/>
    <x v="11"/>
    <x v="0"/>
    <x v="9"/>
    <s v="Net Banking"/>
    <n v="686"/>
    <x v="0"/>
    <x v="0"/>
    <n v="11"/>
    <n v="2000"/>
    <x v="1"/>
  </r>
  <r>
    <d v="2023-08-16T00:00:00"/>
    <x v="4"/>
    <x v="8"/>
    <x v="6"/>
    <s v="Net Banking"/>
    <n v="3459"/>
    <x v="1"/>
    <x v="0"/>
    <n v="8"/>
    <n v="7000"/>
    <x v="1"/>
  </r>
  <r>
    <d v="2024-02-28T00:00:00"/>
    <x v="7"/>
    <x v="2"/>
    <x v="5"/>
    <s v="Credit Card"/>
    <n v="2431"/>
    <x v="1"/>
    <x v="0"/>
    <n v="2"/>
    <n v="5000"/>
    <x v="1"/>
  </r>
  <r>
    <d v="2023-04-01T00:00:00"/>
    <x v="6"/>
    <x v="1"/>
    <x v="7"/>
    <s v="Net Banking"/>
    <n v="3644"/>
    <x v="1"/>
    <x v="0"/>
    <n v="4"/>
    <n v="5000"/>
    <x v="1"/>
  </r>
  <r>
    <d v="2024-12-05T00:00:00"/>
    <x v="1"/>
    <x v="8"/>
    <x v="4"/>
    <s v="Credit Card"/>
    <n v="4344"/>
    <x v="1"/>
    <x v="0"/>
    <n v="12"/>
    <n v="7000"/>
    <x v="1"/>
  </r>
  <r>
    <d v="2023-10-10T00:00:00"/>
    <x v="0"/>
    <x v="3"/>
    <x v="0"/>
    <s v="Debit Card"/>
    <n v="1816"/>
    <x v="1"/>
    <x v="0"/>
    <n v="10"/>
    <n v="1000"/>
    <x v="0"/>
  </r>
  <r>
    <d v="2024-04-28T00:00:00"/>
    <x v="6"/>
    <x v="6"/>
    <x v="8"/>
    <s v="Credit Card"/>
    <n v="232"/>
    <x v="0"/>
    <x v="0"/>
    <n v="4"/>
    <n v="5500"/>
    <x v="1"/>
  </r>
  <r>
    <d v="2024-02-26T00:00:00"/>
    <x v="7"/>
    <x v="3"/>
    <x v="2"/>
    <s v="Net Banking"/>
    <n v="3920"/>
    <x v="1"/>
    <x v="0"/>
    <n v="2"/>
    <n v="1000"/>
    <x v="0"/>
  </r>
  <r>
    <d v="2023-07-23T00:00:00"/>
    <x v="3"/>
    <x v="7"/>
    <x v="4"/>
    <s v="Credit Card"/>
    <n v="2583"/>
    <x v="1"/>
    <x v="0"/>
    <n v="7"/>
    <n v="10000"/>
    <x v="1"/>
  </r>
  <r>
    <d v="2024-06-14T00:00:00"/>
    <x v="10"/>
    <x v="3"/>
    <x v="9"/>
    <s v="UPI"/>
    <n v="62"/>
    <x v="1"/>
    <x v="0"/>
    <n v="6"/>
    <n v="1000"/>
    <x v="1"/>
  </r>
  <r>
    <d v="2024-06-22T00:00:00"/>
    <x v="10"/>
    <x v="2"/>
    <x v="8"/>
    <s v="Credit Card"/>
    <n v="112"/>
    <x v="1"/>
    <x v="0"/>
    <n v="6"/>
    <n v="5000"/>
    <x v="1"/>
  </r>
  <r>
    <d v="2024-04-02T00:00:00"/>
    <x v="6"/>
    <x v="2"/>
    <x v="0"/>
    <s v="Cash"/>
    <n v="3123"/>
    <x v="1"/>
    <x v="1"/>
    <n v="4"/>
    <n v="5000"/>
    <x v="1"/>
  </r>
  <r>
    <d v="2024-10-09T00:00:00"/>
    <x v="0"/>
    <x v="3"/>
    <x v="4"/>
    <s v="Credit Card"/>
    <n v="799"/>
    <x v="1"/>
    <x v="0"/>
    <n v="10"/>
    <n v="1000"/>
    <x v="1"/>
  </r>
  <r>
    <d v="2023-01-26T00:00:00"/>
    <x v="8"/>
    <x v="6"/>
    <x v="9"/>
    <s v="Debit Card"/>
    <n v="2197"/>
    <x v="0"/>
    <x v="0"/>
    <n v="1"/>
    <n v="5500"/>
    <x v="1"/>
  </r>
  <r>
    <d v="2024-11-20T00:00:00"/>
    <x v="11"/>
    <x v="0"/>
    <x v="8"/>
    <s v="Net Banking"/>
    <n v="1742"/>
    <x v="0"/>
    <x v="0"/>
    <n v="11"/>
    <n v="2000"/>
    <x v="1"/>
  </r>
  <r>
    <d v="2024-06-03T00:00:00"/>
    <x v="10"/>
    <x v="7"/>
    <x v="3"/>
    <s v="Cash"/>
    <n v="181"/>
    <x v="1"/>
    <x v="1"/>
    <n v="6"/>
    <n v="10000"/>
    <x v="1"/>
  </r>
  <r>
    <d v="2024-01-26T00:00:00"/>
    <x v="8"/>
    <x v="5"/>
    <x v="8"/>
    <s v="Cash"/>
    <n v="3879"/>
    <x v="0"/>
    <x v="1"/>
    <n v="1"/>
    <n v="3000"/>
    <x v="0"/>
  </r>
  <r>
    <d v="2024-11-02T00:00:00"/>
    <x v="11"/>
    <x v="3"/>
    <x v="2"/>
    <s v="Credit Card"/>
    <n v="3187"/>
    <x v="1"/>
    <x v="0"/>
    <n v="11"/>
    <n v="1000"/>
    <x v="0"/>
  </r>
  <r>
    <d v="2023-02-19T00:00:00"/>
    <x v="7"/>
    <x v="5"/>
    <x v="2"/>
    <s v="Net Banking"/>
    <n v="3194"/>
    <x v="0"/>
    <x v="0"/>
    <n v="2"/>
    <n v="3000"/>
    <x v="0"/>
  </r>
  <r>
    <d v="2023-01-24T00:00:00"/>
    <x v="8"/>
    <x v="1"/>
    <x v="9"/>
    <s v="UPI"/>
    <n v="1306"/>
    <x v="1"/>
    <x v="0"/>
    <n v="1"/>
    <n v="5000"/>
    <x v="1"/>
  </r>
  <r>
    <d v="2023-08-15T00:00:00"/>
    <x v="4"/>
    <x v="2"/>
    <x v="6"/>
    <s v="Debit Card"/>
    <n v="1988"/>
    <x v="1"/>
    <x v="0"/>
    <n v="8"/>
    <n v="5000"/>
    <x v="1"/>
  </r>
  <r>
    <d v="2024-07-01T00:00:00"/>
    <x v="3"/>
    <x v="5"/>
    <x v="8"/>
    <s v="Cash"/>
    <n v="3658"/>
    <x v="0"/>
    <x v="1"/>
    <n v="7"/>
    <n v="3000"/>
    <x v="0"/>
  </r>
  <r>
    <d v="2023-04-21T00:00:00"/>
    <x v="6"/>
    <x v="4"/>
    <x v="1"/>
    <s v="Net Banking"/>
    <n v="107"/>
    <x v="1"/>
    <x v="0"/>
    <n v="4"/>
    <n v="4000"/>
    <x v="1"/>
  </r>
  <r>
    <d v="2023-02-12T00:00:00"/>
    <x v="7"/>
    <x v="7"/>
    <x v="7"/>
    <s v="UPI"/>
    <n v="3249"/>
    <x v="1"/>
    <x v="0"/>
    <n v="2"/>
    <n v="10000"/>
    <x v="1"/>
  </r>
  <r>
    <d v="2023-02-26T00:00:00"/>
    <x v="7"/>
    <x v="2"/>
    <x v="3"/>
    <s v="Debit Card"/>
    <n v="2304"/>
    <x v="1"/>
    <x v="0"/>
    <n v="2"/>
    <n v="5000"/>
    <x v="1"/>
  </r>
  <r>
    <d v="2024-05-13T00:00:00"/>
    <x v="5"/>
    <x v="3"/>
    <x v="0"/>
    <s v="Net Banking"/>
    <n v="3385"/>
    <x v="1"/>
    <x v="0"/>
    <n v="5"/>
    <n v="1000"/>
    <x v="0"/>
  </r>
  <r>
    <d v="2023-12-30T00:00:00"/>
    <x v="1"/>
    <x v="1"/>
    <x v="9"/>
    <s v="Credit Card"/>
    <n v="2494"/>
    <x v="1"/>
    <x v="0"/>
    <n v="12"/>
    <n v="5000"/>
    <x v="1"/>
  </r>
  <r>
    <d v="2024-06-25T00:00:00"/>
    <x v="10"/>
    <x v="4"/>
    <x v="3"/>
    <s v="Net Banking"/>
    <n v="2565"/>
    <x v="1"/>
    <x v="0"/>
    <n v="6"/>
    <n v="4000"/>
    <x v="1"/>
  </r>
  <r>
    <d v="2024-10-08T00:00:00"/>
    <x v="0"/>
    <x v="2"/>
    <x v="2"/>
    <s v="Cash"/>
    <n v="2924"/>
    <x v="1"/>
    <x v="1"/>
    <n v="10"/>
    <n v="5000"/>
    <x v="1"/>
  </r>
  <r>
    <d v="2024-04-09T00:00:00"/>
    <x v="6"/>
    <x v="2"/>
    <x v="4"/>
    <s v="Cash"/>
    <n v="297"/>
    <x v="1"/>
    <x v="1"/>
    <n v="4"/>
    <n v="5000"/>
    <x v="1"/>
  </r>
  <r>
    <d v="2024-09-04T00:00:00"/>
    <x v="9"/>
    <x v="7"/>
    <x v="6"/>
    <s v="Credit Card"/>
    <n v="1019"/>
    <x v="1"/>
    <x v="0"/>
    <n v="9"/>
    <n v="10000"/>
    <x v="1"/>
  </r>
  <r>
    <d v="2024-05-22T00:00:00"/>
    <x v="5"/>
    <x v="4"/>
    <x v="8"/>
    <s v="Net Banking"/>
    <n v="1800"/>
    <x v="1"/>
    <x v="0"/>
    <n v="5"/>
    <n v="4000"/>
    <x v="1"/>
  </r>
  <r>
    <d v="2024-01-04T00:00:00"/>
    <x v="8"/>
    <x v="8"/>
    <x v="2"/>
    <s v="UPI"/>
    <n v="2274"/>
    <x v="1"/>
    <x v="0"/>
    <n v="1"/>
    <n v="7000"/>
    <x v="1"/>
  </r>
  <r>
    <d v="2023-07-05T00:00:00"/>
    <x v="3"/>
    <x v="2"/>
    <x v="1"/>
    <s v="Debit Card"/>
    <n v="2268"/>
    <x v="1"/>
    <x v="0"/>
    <n v="7"/>
    <n v="5000"/>
    <x v="1"/>
  </r>
  <r>
    <d v="2023-10-04T00:00:00"/>
    <x v="0"/>
    <x v="8"/>
    <x v="4"/>
    <s v="Net Banking"/>
    <n v="2633"/>
    <x v="1"/>
    <x v="0"/>
    <n v="10"/>
    <n v="7000"/>
    <x v="1"/>
  </r>
  <r>
    <d v="2023-11-24T00:00:00"/>
    <x v="11"/>
    <x v="6"/>
    <x v="7"/>
    <s v="UPI"/>
    <n v="1444"/>
    <x v="0"/>
    <x v="0"/>
    <n v="11"/>
    <n v="5500"/>
    <x v="1"/>
  </r>
  <r>
    <d v="2023-07-07T00:00:00"/>
    <x v="3"/>
    <x v="6"/>
    <x v="7"/>
    <s v="Net Banking"/>
    <n v="1019"/>
    <x v="0"/>
    <x v="0"/>
    <n v="7"/>
    <n v="5500"/>
    <x v="1"/>
  </r>
  <r>
    <d v="2023-09-26T00:00:00"/>
    <x v="9"/>
    <x v="4"/>
    <x v="7"/>
    <s v="Debit Card"/>
    <n v="4898"/>
    <x v="1"/>
    <x v="0"/>
    <n v="9"/>
    <n v="4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6380B-6A19-4A3D-A02F-77FE0F6EF277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17:C134" firstHeaderRow="1" firstDataRow="1" firstDataCol="0"/>
  <pivotFields count="11">
    <pivotField numFmtId="14" showAll="0"/>
    <pivotField showAll="0" sortType="ascending">
      <items count="13">
        <item x="8"/>
        <item x="7"/>
        <item x="2"/>
        <item x="6"/>
        <item x="5"/>
        <item x="10"/>
        <item x="3"/>
        <item x="4"/>
        <item x="9"/>
        <item x="0"/>
        <item x="11"/>
        <item x="1"/>
        <item t="default"/>
      </items>
    </pivotField>
    <pivotField showAll="0">
      <items count="10">
        <item x="0"/>
        <item x="8"/>
        <item x="3"/>
        <item x="5"/>
        <item x="1"/>
        <item x="6"/>
        <item x="7"/>
        <item x="4"/>
        <item x="2"/>
        <item t="default"/>
      </items>
    </pivotField>
    <pivotField showAll="0">
      <items count="11">
        <item x="3"/>
        <item x="1"/>
        <item x="8"/>
        <item x="7"/>
        <item x="9"/>
        <item x="4"/>
        <item x="6"/>
        <item x="5"/>
        <item x="2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199B7-E71F-41D1-8EB8-04A6E0577DAF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94:B108" firstHeaderRow="1" firstDataRow="1" firstDataCol="1"/>
  <pivotFields count="11">
    <pivotField numFmtId="14" showAll="0"/>
    <pivotField showAll="0" sortType="ascending">
      <items count="13">
        <item x="8"/>
        <item x="7"/>
        <item x="2"/>
        <item x="6"/>
        <item x="5"/>
        <item x="10"/>
        <item x="3"/>
        <item x="4"/>
        <item x="9"/>
        <item x="0"/>
        <item x="11"/>
        <item x="1"/>
        <item t="default"/>
      </items>
    </pivotField>
    <pivotField axis="axisRow" showAll="0" measureFilter="1" sortType="descending">
      <items count="10">
        <item x="0"/>
        <item x="8"/>
        <item x="3"/>
        <item x="5"/>
        <item x="1"/>
        <item x="6"/>
        <item x="7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2"/>
    <field x="10"/>
  </rowFields>
  <rowItems count="14">
    <i>
      <x v="8"/>
    </i>
    <i r="1">
      <x v="1"/>
    </i>
    <i>
      <x v="3"/>
    </i>
    <i r="1">
      <x/>
    </i>
    <i r="1">
      <x v="1"/>
    </i>
    <i>
      <x v="2"/>
    </i>
    <i r="1">
      <x/>
    </i>
    <i r="1">
      <x v="1"/>
    </i>
    <i>
      <x v="7"/>
    </i>
    <i r="1">
      <x/>
    </i>
    <i r="1">
      <x v="1"/>
    </i>
    <i>
      <x v="5"/>
    </i>
    <i r="1">
      <x v="1"/>
    </i>
    <i t="grand">
      <x/>
    </i>
  </rowItems>
  <colItems count="1">
    <i/>
  </colItems>
  <dataFields count="1">
    <dataField name="Sum of Amount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586E9-6D7D-49B9-AF36-B16C1930352F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78:C84" firstHeaderRow="0" firstDataRow="1" firstDataCol="1"/>
  <pivotFields count="11">
    <pivotField numFmtId="14" showAll="0"/>
    <pivotField showAll="0" sortType="ascending">
      <items count="13">
        <item x="8"/>
        <item x="7"/>
        <item x="2"/>
        <item x="6"/>
        <item x="5"/>
        <item x="10"/>
        <item x="3"/>
        <item x="4"/>
        <item x="9"/>
        <item x="0"/>
        <item x="11"/>
        <item x="1"/>
        <item t="default"/>
      </items>
    </pivotField>
    <pivotField axis="axisRow" showAll="0" measureFilter="1" sortType="descending">
      <items count="10">
        <item x="0"/>
        <item x="8"/>
        <item x="3"/>
        <item x="5"/>
        <item x="1"/>
        <item x="6"/>
        <item x="7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2"/>
  </rowFields>
  <rowItems count="6">
    <i>
      <x v="5"/>
    </i>
    <i>
      <x v="8"/>
    </i>
    <i>
      <x v="7"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/>
    <dataField name="Max of Monthly budget" fld="9" subtotal="max" baseField="2" baseItem="8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C3F33-7030-49CB-A280-46586146A582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0:B63" firstHeaderRow="1" firstDataRow="1" firstDataCol="1"/>
  <pivotFields count="11">
    <pivotField numFmtId="14" showAll="0"/>
    <pivotField showAll="0" sortType="ascending">
      <items count="13">
        <item x="8"/>
        <item x="7"/>
        <item x="2"/>
        <item x="6"/>
        <item x="5"/>
        <item x="10"/>
        <item x="3"/>
        <item x="4"/>
        <item x="9"/>
        <item x="0"/>
        <item x="11"/>
        <item x="1"/>
        <item t="default"/>
      </items>
    </pivotField>
    <pivotField showAll="0" measureFilter="1" sortType="descending">
      <items count="10">
        <item x="0"/>
        <item x="8"/>
        <item x="3"/>
        <item x="5"/>
        <item x="1"/>
        <item x="6"/>
        <item x="7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3">
    <i>
      <x v="1"/>
    </i>
    <i>
      <x/>
    </i>
    <i t="grand">
      <x/>
    </i>
  </rowItems>
  <colItems count="1">
    <i/>
  </colItems>
  <dataFields count="1">
    <dataField name="Sum of Amount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C9686-AA9C-4132-96F7-730C9D469A8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3:B46" firstHeaderRow="1" firstDataRow="1" firstDataCol="1"/>
  <pivotFields count="11">
    <pivotField numFmtId="14" showAll="0"/>
    <pivotField showAll="0" sortType="ascending">
      <items count="13">
        <item x="8"/>
        <item x="7"/>
        <item x="2"/>
        <item x="6"/>
        <item x="5"/>
        <item x="10"/>
        <item x="3"/>
        <item x="4"/>
        <item x="9"/>
        <item x="0"/>
        <item x="11"/>
        <item x="1"/>
        <item t="default"/>
      </items>
    </pivotField>
    <pivotField showAll="0" measureFilter="1" sortType="descending">
      <items count="10">
        <item x="0"/>
        <item x="8"/>
        <item x="3"/>
        <item x="5"/>
        <item x="1"/>
        <item x="6"/>
        <item x="7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6"/>
  </rowFields>
  <rowItems count="3">
    <i>
      <x v="1"/>
    </i>
    <i>
      <x/>
    </i>
    <i t="grand">
      <x/>
    </i>
  </rowItems>
  <colItems count="1">
    <i/>
  </colItems>
  <dataFields count="1">
    <dataField name="Sum of Amount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473B6-3D68-4957-864A-E99362FF3C33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3:B36" firstHeaderRow="1" firstDataRow="1" firstDataCol="1"/>
  <pivotFields count="11">
    <pivotField numFmtId="14" showAll="0"/>
    <pivotField axis="axisRow" showAll="0" sortType="ascending">
      <items count="13">
        <item x="8"/>
        <item x="7"/>
        <item x="2"/>
        <item x="6"/>
        <item x="5"/>
        <item x="10"/>
        <item x="3"/>
        <item x="4"/>
        <item x="9"/>
        <item x="0"/>
        <item x="11"/>
        <item x="1"/>
        <item t="default"/>
      </items>
    </pivotField>
    <pivotField showAll="0" measureFilter="1" sortType="descending">
      <items count="10">
        <item x="0"/>
        <item x="8"/>
        <item x="3"/>
        <item x="5"/>
        <item x="1"/>
        <item x="6"/>
        <item x="7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18908-5FB6-4E20-8D4F-167FCCCA221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1">
    <pivotField numFmtId="14" showAll="0"/>
    <pivotField showAll="0"/>
    <pivotField axis="axisRow" showAll="0" measureFilter="1" sortType="descending">
      <items count="10">
        <item x="0"/>
        <item x="8"/>
        <item x="3"/>
        <item x="5"/>
        <item x="1"/>
        <item x="6"/>
        <item x="7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8"/>
    </i>
    <i>
      <x v="3"/>
    </i>
    <i>
      <x v="2"/>
    </i>
    <i>
      <x v="7"/>
    </i>
    <i>
      <x v="5"/>
    </i>
    <i t="grand">
      <x/>
    </i>
  </rowItems>
  <colItems count="1">
    <i/>
  </colItems>
  <dataFields count="1">
    <dataField name="Sum of 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C275-5055-4625-BD9F-53E8FDC39503}">
  <dimension ref="A3:C134"/>
  <sheetViews>
    <sheetView tabSelected="1" workbookViewId="0">
      <selection activeCell="L126" sqref="L126"/>
    </sheetView>
  </sheetViews>
  <sheetFormatPr defaultRowHeight="14.4" x14ac:dyDescent="0.3"/>
  <cols>
    <col min="1" max="2" width="14.44140625" bestFit="1" customWidth="1"/>
    <col min="3" max="3" width="8.44140625" bestFit="1" customWidth="1"/>
    <col min="4" max="9" width="7" bestFit="1" customWidth="1"/>
    <col min="10" max="10" width="10.21875" bestFit="1" customWidth="1"/>
    <col min="11" max="11" width="7.77734375" bestFit="1" customWidth="1"/>
    <col min="12" max="12" width="9.88671875" bestFit="1" customWidth="1"/>
    <col min="13" max="13" width="9.5546875" bestFit="1" customWidth="1"/>
    <col min="14" max="14" width="10.77734375" bestFit="1" customWidth="1"/>
  </cols>
  <sheetData>
    <row r="3" spans="1:2" x14ac:dyDescent="0.3">
      <c r="A3" s="7" t="s">
        <v>69</v>
      </c>
      <c r="B3" t="s">
        <v>71</v>
      </c>
    </row>
    <row r="4" spans="1:2" x14ac:dyDescent="0.3">
      <c r="A4" s="8" t="s">
        <v>13</v>
      </c>
      <c r="B4">
        <v>712100</v>
      </c>
    </row>
    <row r="5" spans="1:2" x14ac:dyDescent="0.3">
      <c r="A5" s="8" t="s">
        <v>30</v>
      </c>
      <c r="B5">
        <v>683131</v>
      </c>
    </row>
    <row r="6" spans="1:2" x14ac:dyDescent="0.3">
      <c r="A6" s="8" t="s">
        <v>22</v>
      </c>
      <c r="B6">
        <v>661907</v>
      </c>
    </row>
    <row r="7" spans="1:2" x14ac:dyDescent="0.3">
      <c r="A7" s="8" t="s">
        <v>27</v>
      </c>
      <c r="B7">
        <v>634722</v>
      </c>
    </row>
    <row r="8" spans="1:2" x14ac:dyDescent="0.3">
      <c r="A8" s="8" t="s">
        <v>35</v>
      </c>
      <c r="B8">
        <v>630661</v>
      </c>
    </row>
    <row r="9" spans="1:2" x14ac:dyDescent="0.3">
      <c r="A9" s="8" t="s">
        <v>70</v>
      </c>
      <c r="B9">
        <v>3322521</v>
      </c>
    </row>
    <row r="23" spans="1:2" x14ac:dyDescent="0.3">
      <c r="A23" s="7" t="s">
        <v>69</v>
      </c>
      <c r="B23" t="s">
        <v>71</v>
      </c>
    </row>
    <row r="24" spans="1:2" x14ac:dyDescent="0.3">
      <c r="A24" s="8" t="s">
        <v>37</v>
      </c>
      <c r="B24" s="9">
        <v>509483</v>
      </c>
    </row>
    <row r="25" spans="1:2" x14ac:dyDescent="0.3">
      <c r="A25" s="8" t="s">
        <v>33</v>
      </c>
      <c r="B25" s="9">
        <v>428282</v>
      </c>
    </row>
    <row r="26" spans="1:2" x14ac:dyDescent="0.3">
      <c r="A26" s="8" t="s">
        <v>19</v>
      </c>
      <c r="B26" s="9">
        <v>472054</v>
      </c>
    </row>
    <row r="27" spans="1:2" x14ac:dyDescent="0.3">
      <c r="A27" s="8" t="s">
        <v>29</v>
      </c>
      <c r="B27" s="9">
        <v>451199</v>
      </c>
    </row>
    <row r="28" spans="1:2" x14ac:dyDescent="0.3">
      <c r="A28" s="8" t="s">
        <v>28</v>
      </c>
      <c r="B28" s="9">
        <v>468676</v>
      </c>
    </row>
    <row r="29" spans="1:2" x14ac:dyDescent="0.3">
      <c r="A29" s="8" t="s">
        <v>39</v>
      </c>
      <c r="B29" s="9">
        <v>432750</v>
      </c>
    </row>
    <row r="30" spans="1:2" x14ac:dyDescent="0.3">
      <c r="A30" s="8" t="s">
        <v>21</v>
      </c>
      <c r="B30" s="9">
        <v>433585</v>
      </c>
    </row>
    <row r="31" spans="1:2" x14ac:dyDescent="0.3">
      <c r="A31" s="8" t="s">
        <v>25</v>
      </c>
      <c r="B31" s="9">
        <v>472483</v>
      </c>
    </row>
    <row r="32" spans="1:2" x14ac:dyDescent="0.3">
      <c r="A32" s="8" t="s">
        <v>38</v>
      </c>
      <c r="B32" s="9">
        <v>480003</v>
      </c>
    </row>
    <row r="33" spans="1:2" x14ac:dyDescent="0.3">
      <c r="A33" s="8" t="s">
        <v>6</v>
      </c>
      <c r="B33" s="9">
        <v>564334</v>
      </c>
    </row>
    <row r="34" spans="1:2" x14ac:dyDescent="0.3">
      <c r="A34" s="8" t="s">
        <v>40</v>
      </c>
      <c r="B34" s="9">
        <v>455804</v>
      </c>
    </row>
    <row r="35" spans="1:2" x14ac:dyDescent="0.3">
      <c r="A35" s="8" t="s">
        <v>16</v>
      </c>
      <c r="B35" s="9">
        <v>504653</v>
      </c>
    </row>
    <row r="36" spans="1:2" x14ac:dyDescent="0.3">
      <c r="A36" s="8" t="s">
        <v>70</v>
      </c>
      <c r="B36" s="9">
        <v>5673306</v>
      </c>
    </row>
    <row r="43" spans="1:2" x14ac:dyDescent="0.3">
      <c r="A43" s="7" t="s">
        <v>69</v>
      </c>
      <c r="B43" t="s">
        <v>71</v>
      </c>
    </row>
    <row r="44" spans="1:2" x14ac:dyDescent="0.3">
      <c r="A44" s="8" t="s">
        <v>45</v>
      </c>
      <c r="B44" s="9">
        <v>3788037</v>
      </c>
    </row>
    <row r="45" spans="1:2" x14ac:dyDescent="0.3">
      <c r="A45" s="8" t="s">
        <v>44</v>
      </c>
      <c r="B45" s="9">
        <v>1885269</v>
      </c>
    </row>
    <row r="46" spans="1:2" x14ac:dyDescent="0.3">
      <c r="A46" s="8" t="s">
        <v>70</v>
      </c>
      <c r="B46" s="9">
        <v>5673306</v>
      </c>
    </row>
    <row r="60" spans="1:2" x14ac:dyDescent="0.3">
      <c r="A60" s="7" t="s">
        <v>69</v>
      </c>
      <c r="B60" t="s">
        <v>71</v>
      </c>
    </row>
    <row r="61" spans="1:2" x14ac:dyDescent="0.3">
      <c r="A61" s="8" t="s">
        <v>48</v>
      </c>
      <c r="B61" s="9">
        <v>4558857</v>
      </c>
    </row>
    <row r="62" spans="1:2" x14ac:dyDescent="0.3">
      <c r="A62" s="8" t="s">
        <v>49</v>
      </c>
      <c r="B62" s="9">
        <v>1114449</v>
      </c>
    </row>
    <row r="63" spans="1:2" x14ac:dyDescent="0.3">
      <c r="A63" s="8" t="s">
        <v>70</v>
      </c>
      <c r="B63" s="9">
        <v>5673306</v>
      </c>
    </row>
    <row r="78" spans="1:3" x14ac:dyDescent="0.3">
      <c r="A78" s="7" t="s">
        <v>69</v>
      </c>
      <c r="B78" t="s">
        <v>71</v>
      </c>
      <c r="C78" t="s">
        <v>73</v>
      </c>
    </row>
    <row r="79" spans="1:3" x14ac:dyDescent="0.3">
      <c r="A79" s="8" t="s">
        <v>35</v>
      </c>
      <c r="B79" s="9">
        <v>630661</v>
      </c>
      <c r="C79" s="9">
        <v>5500</v>
      </c>
    </row>
    <row r="80" spans="1:3" x14ac:dyDescent="0.3">
      <c r="A80" s="8" t="s">
        <v>13</v>
      </c>
      <c r="B80" s="9">
        <v>712100</v>
      </c>
      <c r="C80" s="9">
        <v>5000</v>
      </c>
    </row>
    <row r="81" spans="1:3" x14ac:dyDescent="0.3">
      <c r="A81" s="8" t="s">
        <v>27</v>
      </c>
      <c r="B81" s="9">
        <v>634722</v>
      </c>
      <c r="C81" s="9">
        <v>4000</v>
      </c>
    </row>
    <row r="82" spans="1:3" x14ac:dyDescent="0.3">
      <c r="A82" s="8" t="s">
        <v>30</v>
      </c>
      <c r="B82" s="9">
        <v>683131</v>
      </c>
      <c r="C82" s="9">
        <v>3000</v>
      </c>
    </row>
    <row r="83" spans="1:3" x14ac:dyDescent="0.3">
      <c r="A83" s="8" t="s">
        <v>22</v>
      </c>
      <c r="B83" s="9">
        <v>661907</v>
      </c>
      <c r="C83" s="9">
        <v>1000</v>
      </c>
    </row>
    <row r="84" spans="1:3" x14ac:dyDescent="0.3">
      <c r="A84" s="8" t="s">
        <v>70</v>
      </c>
      <c r="B84" s="9">
        <v>3322521</v>
      </c>
      <c r="C84" s="9">
        <v>5500</v>
      </c>
    </row>
    <row r="94" spans="1:3" x14ac:dyDescent="0.3">
      <c r="A94" s="7" t="s">
        <v>69</v>
      </c>
      <c r="B94" t="s">
        <v>71</v>
      </c>
    </row>
    <row r="95" spans="1:3" x14ac:dyDescent="0.3">
      <c r="A95" s="8" t="s">
        <v>13</v>
      </c>
      <c r="B95" s="9">
        <v>712100</v>
      </c>
    </row>
    <row r="96" spans="1:3" x14ac:dyDescent="0.3">
      <c r="A96" s="10" t="s">
        <v>72</v>
      </c>
      <c r="B96" s="9">
        <v>712100</v>
      </c>
    </row>
    <row r="97" spans="1:2" x14ac:dyDescent="0.3">
      <c r="A97" s="8" t="s">
        <v>30</v>
      </c>
      <c r="B97" s="9">
        <v>683131</v>
      </c>
    </row>
    <row r="98" spans="1:2" x14ac:dyDescent="0.3">
      <c r="A98" s="10" t="s">
        <v>74</v>
      </c>
      <c r="B98" s="9">
        <v>473913</v>
      </c>
    </row>
    <row r="99" spans="1:2" x14ac:dyDescent="0.3">
      <c r="A99" s="10" t="s">
        <v>72</v>
      </c>
      <c r="B99" s="9">
        <v>209218</v>
      </c>
    </row>
    <row r="100" spans="1:2" x14ac:dyDescent="0.3">
      <c r="A100" s="8" t="s">
        <v>22</v>
      </c>
      <c r="B100" s="9">
        <v>661907</v>
      </c>
    </row>
    <row r="101" spans="1:2" x14ac:dyDescent="0.3">
      <c r="A101" s="10" t="s">
        <v>74</v>
      </c>
      <c r="B101" s="9">
        <v>633295</v>
      </c>
    </row>
    <row r="102" spans="1:2" x14ac:dyDescent="0.3">
      <c r="A102" s="10" t="s">
        <v>72</v>
      </c>
      <c r="B102" s="9">
        <v>28612</v>
      </c>
    </row>
    <row r="103" spans="1:2" x14ac:dyDescent="0.3">
      <c r="A103" s="8" t="s">
        <v>27</v>
      </c>
      <c r="B103" s="9">
        <v>634722</v>
      </c>
    </row>
    <row r="104" spans="1:2" x14ac:dyDescent="0.3">
      <c r="A104" s="10" t="s">
        <v>74</v>
      </c>
      <c r="B104" s="9">
        <v>258382</v>
      </c>
    </row>
    <row r="105" spans="1:2" x14ac:dyDescent="0.3">
      <c r="A105" s="10" t="s">
        <v>72</v>
      </c>
      <c r="B105" s="9">
        <v>376340</v>
      </c>
    </row>
    <row r="106" spans="1:2" x14ac:dyDescent="0.3">
      <c r="A106" s="8" t="s">
        <v>35</v>
      </c>
      <c r="B106" s="9">
        <v>630661</v>
      </c>
    </row>
    <row r="107" spans="1:2" x14ac:dyDescent="0.3">
      <c r="A107" s="10" t="s">
        <v>72</v>
      </c>
      <c r="B107" s="9">
        <v>630661</v>
      </c>
    </row>
    <row r="108" spans="1:2" x14ac:dyDescent="0.3">
      <c r="A108" s="8" t="s">
        <v>70</v>
      </c>
      <c r="B108" s="9">
        <v>3322521</v>
      </c>
    </row>
    <row r="117" spans="1:3" x14ac:dyDescent="0.3">
      <c r="A117" s="11"/>
      <c r="B117" s="12"/>
      <c r="C117" s="13"/>
    </row>
    <row r="118" spans="1:3" x14ac:dyDescent="0.3">
      <c r="A118" s="14"/>
      <c r="B118" s="15"/>
      <c r="C118" s="16"/>
    </row>
    <row r="119" spans="1:3" x14ac:dyDescent="0.3">
      <c r="A119" s="14"/>
      <c r="B119" s="15"/>
      <c r="C119" s="16"/>
    </row>
    <row r="120" spans="1:3" x14ac:dyDescent="0.3">
      <c r="A120" s="14"/>
      <c r="B120" s="15"/>
      <c r="C120" s="16"/>
    </row>
    <row r="121" spans="1:3" x14ac:dyDescent="0.3">
      <c r="A121" s="14"/>
      <c r="B121" s="15"/>
      <c r="C121" s="16"/>
    </row>
    <row r="122" spans="1:3" x14ac:dyDescent="0.3">
      <c r="A122" s="14"/>
      <c r="B122" s="15"/>
      <c r="C122" s="16"/>
    </row>
    <row r="123" spans="1:3" x14ac:dyDescent="0.3">
      <c r="A123" s="14"/>
      <c r="B123" s="15"/>
      <c r="C123" s="16"/>
    </row>
    <row r="124" spans="1:3" x14ac:dyDescent="0.3">
      <c r="A124" s="14"/>
      <c r="B124" s="15"/>
      <c r="C124" s="16"/>
    </row>
    <row r="125" spans="1:3" x14ac:dyDescent="0.3">
      <c r="A125" s="14"/>
      <c r="B125" s="15"/>
      <c r="C125" s="16"/>
    </row>
    <row r="126" spans="1:3" x14ac:dyDescent="0.3">
      <c r="A126" s="14"/>
      <c r="B126" s="15"/>
      <c r="C126" s="16"/>
    </row>
    <row r="127" spans="1:3" x14ac:dyDescent="0.3">
      <c r="A127" s="14"/>
      <c r="B127" s="15"/>
      <c r="C127" s="16"/>
    </row>
    <row r="128" spans="1:3" x14ac:dyDescent="0.3">
      <c r="A128" s="14"/>
      <c r="B128" s="15"/>
      <c r="C128" s="16"/>
    </row>
    <row r="129" spans="1:3" x14ac:dyDescent="0.3">
      <c r="A129" s="14"/>
      <c r="B129" s="15"/>
      <c r="C129" s="16"/>
    </row>
    <row r="130" spans="1:3" x14ac:dyDescent="0.3">
      <c r="A130" s="14"/>
      <c r="B130" s="15"/>
      <c r="C130" s="16"/>
    </row>
    <row r="131" spans="1:3" x14ac:dyDescent="0.3">
      <c r="A131" s="14"/>
      <c r="B131" s="15"/>
      <c r="C131" s="16"/>
    </row>
    <row r="132" spans="1:3" x14ac:dyDescent="0.3">
      <c r="A132" s="14"/>
      <c r="B132" s="15"/>
      <c r="C132" s="16"/>
    </row>
    <row r="133" spans="1:3" x14ac:dyDescent="0.3">
      <c r="A133" s="14"/>
      <c r="B133" s="15"/>
      <c r="C133" s="16"/>
    </row>
    <row r="134" spans="1:3" x14ac:dyDescent="0.3">
      <c r="A134" s="17"/>
      <c r="B134" s="18"/>
      <c r="C134" s="19"/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6753-0E0F-4A63-8BDE-E33C7457A468}">
  <dimension ref="A1:K2201"/>
  <sheetViews>
    <sheetView workbookViewId="0">
      <selection sqref="A1:K2201"/>
    </sheetView>
  </sheetViews>
  <sheetFormatPr defaultRowHeight="14.4" x14ac:dyDescent="0.3"/>
  <cols>
    <col min="1" max="1" width="16.33203125" customWidth="1"/>
    <col min="2" max="2" width="14.6640625" customWidth="1"/>
    <col min="3" max="3" width="14" customWidth="1"/>
    <col min="4" max="4" width="17" customWidth="1"/>
    <col min="5" max="5" width="17.6640625" customWidth="1"/>
    <col min="6" max="6" width="14.88671875" customWidth="1"/>
    <col min="7" max="7" width="15" customWidth="1"/>
    <col min="8" max="8" width="12.5546875" bestFit="1" customWidth="1"/>
    <col min="9" max="9" width="11.109375" customWidth="1"/>
    <col min="10" max="10" width="18.21875" customWidth="1"/>
    <col min="11" max="11" width="15.777343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42</v>
      </c>
      <c r="H1" s="4" t="s">
        <v>50</v>
      </c>
      <c r="I1" s="4" t="s">
        <v>51</v>
      </c>
      <c r="J1" s="4" t="s">
        <v>67</v>
      </c>
      <c r="K1" s="4" t="s">
        <v>68</v>
      </c>
    </row>
    <row r="2" spans="1:11" x14ac:dyDescent="0.3">
      <c r="A2" s="6">
        <v>45580</v>
      </c>
      <c r="B2" s="5" t="s">
        <v>6</v>
      </c>
      <c r="C2" s="5" t="s">
        <v>7</v>
      </c>
      <c r="D2" s="5" t="s">
        <v>8</v>
      </c>
      <c r="E2" s="5" t="s">
        <v>9</v>
      </c>
      <c r="F2" s="5">
        <v>4220</v>
      </c>
      <c r="G2" s="5" t="str">
        <f>VLOOKUP(C2,Sheet2!$C$3:$D$12,2,0)</f>
        <v>Fixed</v>
      </c>
      <c r="H2" s="5" t="str">
        <f>IFERROR(VLOOKUP(E2,Sheet2!$G$3:$H$8,2,0),"unkwon")</f>
        <v>online</v>
      </c>
      <c r="I2" s="5">
        <f>VLOOKUP(B2,Sheet2!$J$4:$K$15,2,0)</f>
        <v>10</v>
      </c>
      <c r="J2" s="5">
        <f>IFERROR(VLOOKUP(C2,Sheet2!$M$4:$N$12,2,0),0)</f>
        <v>2000</v>
      </c>
      <c r="K2" s="5" t="str">
        <f>IF(F2&gt;J2,"over budget","within budget")</f>
        <v>over budget</v>
      </c>
    </row>
    <row r="3" spans="1:11" x14ac:dyDescent="0.3">
      <c r="A3" s="6">
        <v>45230</v>
      </c>
      <c r="B3" s="5" t="s">
        <v>6</v>
      </c>
      <c r="C3" s="5" t="s">
        <v>10</v>
      </c>
      <c r="D3" s="5" t="s">
        <v>11</v>
      </c>
      <c r="E3" s="5" t="s">
        <v>12</v>
      </c>
      <c r="F3" s="5">
        <v>2802</v>
      </c>
      <c r="G3" s="5" t="str">
        <f>VLOOKUP(C3,Sheet2!$C$3:$D$12,2,0)</f>
        <v>Variable</v>
      </c>
      <c r="H3" s="5" t="str">
        <f>IFERROR(VLOOKUP(E3,Sheet2!$G$3:$H$8,2,0),"unkwon")</f>
        <v>online</v>
      </c>
      <c r="I3" s="5">
        <f>VLOOKUP(B3,Sheet2!$J$4:$K$15,2,0)</f>
        <v>10</v>
      </c>
      <c r="J3" s="5">
        <f>IFERROR(VLOOKUP(C3,Sheet2!$M$4:$N$12,2,0),0)</f>
        <v>5000</v>
      </c>
      <c r="K3" s="5" t="str">
        <f t="shared" ref="K3:K66" si="0">IF(F3&gt;J3,"over budget","within budget")</f>
        <v>within budget</v>
      </c>
    </row>
    <row r="4" spans="1:11" x14ac:dyDescent="0.3">
      <c r="A4" s="6">
        <v>45569</v>
      </c>
      <c r="B4" s="5" t="s">
        <v>6</v>
      </c>
      <c r="C4" s="5" t="s">
        <v>13</v>
      </c>
      <c r="D4" s="5" t="s">
        <v>14</v>
      </c>
      <c r="E4" s="5" t="s">
        <v>15</v>
      </c>
      <c r="F4" s="5">
        <v>1152</v>
      </c>
      <c r="G4" s="5" t="str">
        <f>VLOOKUP(C4,Sheet2!$C$3:$D$12,2,0)</f>
        <v>Variable</v>
      </c>
      <c r="H4" s="5" t="str">
        <f>IFERROR(VLOOKUP(E4,Sheet2!$G$3:$H$8,2,0),"unkwon")</f>
        <v>online</v>
      </c>
      <c r="I4" s="5">
        <f>VLOOKUP(B4,Sheet2!$J$4:$K$15,2,0)</f>
        <v>10</v>
      </c>
      <c r="J4" s="5">
        <f>IFERROR(VLOOKUP(C4,Sheet2!$M$4:$N$12,2,0),0)</f>
        <v>5000</v>
      </c>
      <c r="K4" s="5" t="str">
        <f t="shared" si="0"/>
        <v>within budget</v>
      </c>
    </row>
    <row r="5" spans="1:11" x14ac:dyDescent="0.3">
      <c r="A5" s="6">
        <v>45277</v>
      </c>
      <c r="B5" s="5" t="s">
        <v>16</v>
      </c>
      <c r="C5" s="5" t="s">
        <v>7</v>
      </c>
      <c r="D5" s="5" t="s">
        <v>11</v>
      </c>
      <c r="E5" s="5" t="s">
        <v>17</v>
      </c>
      <c r="F5" s="5">
        <v>2439</v>
      </c>
      <c r="G5" s="5" t="str">
        <f>VLOOKUP(C5,Sheet2!$C$3:$D$12,2,0)</f>
        <v>Fixed</v>
      </c>
      <c r="H5" s="5" t="str">
        <f>IFERROR(VLOOKUP(E5,Sheet2!$G$3:$H$8,2,0),"unkwon")</f>
        <v>online</v>
      </c>
      <c r="I5" s="5">
        <f>VLOOKUP(B5,Sheet2!$J$4:$K$15,2,0)</f>
        <v>12</v>
      </c>
      <c r="J5" s="5">
        <f>IFERROR(VLOOKUP(C5,Sheet2!$M$4:$N$12,2,0),0)</f>
        <v>2000</v>
      </c>
      <c r="K5" s="5" t="str">
        <f t="shared" si="0"/>
        <v>over budget</v>
      </c>
    </row>
    <row r="6" spans="1:11" x14ac:dyDescent="0.3">
      <c r="A6" s="6">
        <v>45589</v>
      </c>
      <c r="B6" s="5" t="s">
        <v>6</v>
      </c>
      <c r="C6" s="5" t="s">
        <v>7</v>
      </c>
      <c r="D6" s="5" t="s">
        <v>18</v>
      </c>
      <c r="E6" s="5" t="s">
        <v>9</v>
      </c>
      <c r="F6" s="5">
        <v>688</v>
      </c>
      <c r="G6" s="5" t="str">
        <f>VLOOKUP(C6,Sheet2!$C$3:$D$12,2,0)</f>
        <v>Fixed</v>
      </c>
      <c r="H6" s="5" t="str">
        <f>IFERROR(VLOOKUP(E6,Sheet2!$G$3:$H$8,2,0),"unkwon")</f>
        <v>online</v>
      </c>
      <c r="I6" s="5">
        <f>VLOOKUP(B6,Sheet2!$J$4:$K$15,2,0)</f>
        <v>10</v>
      </c>
      <c r="J6" s="5">
        <f>IFERROR(VLOOKUP(C6,Sheet2!$M$4:$N$12,2,0),0)</f>
        <v>2000</v>
      </c>
      <c r="K6" s="5" t="str">
        <f t="shared" si="0"/>
        <v>within budget</v>
      </c>
    </row>
    <row r="7" spans="1:11" x14ac:dyDescent="0.3">
      <c r="A7" s="6">
        <v>45352</v>
      </c>
      <c r="B7" s="5" t="s">
        <v>19</v>
      </c>
      <c r="C7" s="5" t="s">
        <v>10</v>
      </c>
      <c r="D7" s="5" t="s">
        <v>20</v>
      </c>
      <c r="E7" s="5" t="s">
        <v>17</v>
      </c>
      <c r="F7" s="5">
        <v>3983</v>
      </c>
      <c r="G7" s="5" t="str">
        <f>VLOOKUP(C7,Sheet2!$C$3:$D$12,2,0)</f>
        <v>Variable</v>
      </c>
      <c r="H7" s="5" t="str">
        <f>IFERROR(VLOOKUP(E7,Sheet2!$G$3:$H$8,2,0),"unkwon")</f>
        <v>online</v>
      </c>
      <c r="I7" s="5">
        <f>VLOOKUP(B7,Sheet2!$J$4:$K$15,2,0)</f>
        <v>3</v>
      </c>
      <c r="J7" s="5">
        <f>IFERROR(VLOOKUP(C7,Sheet2!$M$4:$N$12,2,0),0)</f>
        <v>5000</v>
      </c>
      <c r="K7" s="5" t="str">
        <f t="shared" si="0"/>
        <v>within budget</v>
      </c>
    </row>
    <row r="8" spans="1:11" x14ac:dyDescent="0.3">
      <c r="A8" s="6">
        <v>45129</v>
      </c>
      <c r="B8" s="5" t="s">
        <v>21</v>
      </c>
      <c r="C8" s="5" t="s">
        <v>22</v>
      </c>
      <c r="D8" s="5" t="s">
        <v>23</v>
      </c>
      <c r="E8" s="5" t="s">
        <v>15</v>
      </c>
      <c r="F8" s="5">
        <v>3627</v>
      </c>
      <c r="G8" s="5" t="str">
        <f>VLOOKUP(C8,Sheet2!$C$3:$D$12,2,0)</f>
        <v>Variable</v>
      </c>
      <c r="H8" s="5" t="str">
        <f>IFERROR(VLOOKUP(E8,Sheet2!$G$3:$H$8,2,0),"unkwon")</f>
        <v>online</v>
      </c>
      <c r="I8" s="5">
        <f>VLOOKUP(B8,Sheet2!$J$4:$K$15,2,0)</f>
        <v>7</v>
      </c>
      <c r="J8" s="5">
        <f>IFERROR(VLOOKUP(C8,Sheet2!$M$4:$N$12,2,0),0)</f>
        <v>1000</v>
      </c>
      <c r="K8" s="5" t="str">
        <f t="shared" si="0"/>
        <v>over budget</v>
      </c>
    </row>
    <row r="9" spans="1:11" x14ac:dyDescent="0.3">
      <c r="A9" s="6">
        <v>45627</v>
      </c>
      <c r="B9" s="5" t="s">
        <v>16</v>
      </c>
      <c r="C9" s="5" t="s">
        <v>22</v>
      </c>
      <c r="D9" s="5" t="s">
        <v>24</v>
      </c>
      <c r="E9" s="5" t="s">
        <v>9</v>
      </c>
      <c r="F9" s="5">
        <v>2039</v>
      </c>
      <c r="G9" s="5" t="str">
        <f>VLOOKUP(C9,Sheet2!$C$3:$D$12,2,0)</f>
        <v>Variable</v>
      </c>
      <c r="H9" s="5" t="str">
        <f>IFERROR(VLOOKUP(E9,Sheet2!$G$3:$H$8,2,0),"unkwon")</f>
        <v>online</v>
      </c>
      <c r="I9" s="5">
        <f>VLOOKUP(B9,Sheet2!$J$4:$K$15,2,0)</f>
        <v>12</v>
      </c>
      <c r="J9" s="5">
        <f>IFERROR(VLOOKUP(C9,Sheet2!$M$4:$N$12,2,0),0)</f>
        <v>1000</v>
      </c>
      <c r="K9" s="5" t="str">
        <f t="shared" si="0"/>
        <v>over budget</v>
      </c>
    </row>
    <row r="10" spans="1:11" x14ac:dyDescent="0.3">
      <c r="A10" s="6">
        <v>45166</v>
      </c>
      <c r="B10" s="5" t="s">
        <v>25</v>
      </c>
      <c r="C10" s="5" t="s">
        <v>10</v>
      </c>
      <c r="D10" s="5" t="s">
        <v>26</v>
      </c>
      <c r="E10" s="5" t="s">
        <v>12</v>
      </c>
      <c r="F10" s="5">
        <v>3822</v>
      </c>
      <c r="G10" s="5" t="str">
        <f>VLOOKUP(C10,Sheet2!$C$3:$D$12,2,0)</f>
        <v>Variable</v>
      </c>
      <c r="H10" s="5" t="str">
        <f>IFERROR(VLOOKUP(E10,Sheet2!$G$3:$H$8,2,0),"unkwon")</f>
        <v>online</v>
      </c>
      <c r="I10" s="5">
        <f>VLOOKUP(B10,Sheet2!$J$4:$K$15,2,0)</f>
        <v>8</v>
      </c>
      <c r="J10" s="5">
        <f>IFERROR(VLOOKUP(C10,Sheet2!$M$4:$N$12,2,0),0)</f>
        <v>5000</v>
      </c>
      <c r="K10" s="5" t="str">
        <f t="shared" si="0"/>
        <v>within budget</v>
      </c>
    </row>
    <row r="11" spans="1:11" x14ac:dyDescent="0.3">
      <c r="A11" s="6">
        <v>45510</v>
      </c>
      <c r="B11" s="5" t="s">
        <v>25</v>
      </c>
      <c r="C11" s="5" t="s">
        <v>27</v>
      </c>
      <c r="D11" s="5" t="s">
        <v>14</v>
      </c>
      <c r="E11" s="5" t="s">
        <v>15</v>
      </c>
      <c r="F11" s="5">
        <v>3506</v>
      </c>
      <c r="G11" s="5" t="str">
        <f>VLOOKUP(C11,Sheet2!$C$3:$D$12,2,0)</f>
        <v>Variable</v>
      </c>
      <c r="H11" s="5" t="str">
        <f>IFERROR(VLOOKUP(E11,Sheet2!$G$3:$H$8,2,0),"unkwon")</f>
        <v>online</v>
      </c>
      <c r="I11" s="5">
        <f>VLOOKUP(B11,Sheet2!$J$4:$K$15,2,0)</f>
        <v>8</v>
      </c>
      <c r="J11" s="5">
        <f>IFERROR(VLOOKUP(C11,Sheet2!$M$4:$N$12,2,0),0)</f>
        <v>4000</v>
      </c>
      <c r="K11" s="5" t="str">
        <f t="shared" si="0"/>
        <v>within budget</v>
      </c>
    </row>
    <row r="12" spans="1:11" x14ac:dyDescent="0.3">
      <c r="A12" s="6">
        <v>45440</v>
      </c>
      <c r="B12" s="5" t="s">
        <v>28</v>
      </c>
      <c r="C12" s="5" t="s">
        <v>27</v>
      </c>
      <c r="D12" s="5" t="s">
        <v>26</v>
      </c>
      <c r="E12" s="5" t="s">
        <v>15</v>
      </c>
      <c r="F12" s="5">
        <v>3468</v>
      </c>
      <c r="G12" s="5" t="str">
        <f>VLOOKUP(C12,Sheet2!$C$3:$D$12,2,0)</f>
        <v>Variable</v>
      </c>
      <c r="H12" s="5" t="str">
        <f>IFERROR(VLOOKUP(E12,Sheet2!$G$3:$H$8,2,0),"unkwon")</f>
        <v>online</v>
      </c>
      <c r="I12" s="5">
        <f>VLOOKUP(B12,Sheet2!$J$4:$K$15,2,0)</f>
        <v>5</v>
      </c>
      <c r="J12" s="5">
        <f>IFERROR(VLOOKUP(C12,Sheet2!$M$4:$N$12,2,0),0)</f>
        <v>4000</v>
      </c>
      <c r="K12" s="5" t="str">
        <f t="shared" si="0"/>
        <v>within budget</v>
      </c>
    </row>
    <row r="13" spans="1:11" x14ac:dyDescent="0.3">
      <c r="A13" s="6">
        <v>45402</v>
      </c>
      <c r="B13" s="5" t="s">
        <v>29</v>
      </c>
      <c r="C13" s="5" t="s">
        <v>30</v>
      </c>
      <c r="D13" s="5" t="s">
        <v>14</v>
      </c>
      <c r="E13" s="5" t="s">
        <v>12</v>
      </c>
      <c r="F13" s="5">
        <v>1669</v>
      </c>
      <c r="G13" s="5" t="str">
        <f>VLOOKUP(C13,Sheet2!$C$3:$D$12,2,0)</f>
        <v>Fixed</v>
      </c>
      <c r="H13" s="5" t="str">
        <f>IFERROR(VLOOKUP(E13,Sheet2!$G$3:$H$8,2,0),"unkwon")</f>
        <v>online</v>
      </c>
      <c r="I13" s="5">
        <f>VLOOKUP(B13,Sheet2!$J$4:$K$15,2,0)</f>
        <v>4</v>
      </c>
      <c r="J13" s="5">
        <f>IFERROR(VLOOKUP(C13,Sheet2!$M$4:$N$12,2,0),0)</f>
        <v>3000</v>
      </c>
      <c r="K13" s="5" t="str">
        <f t="shared" si="0"/>
        <v>within budget</v>
      </c>
    </row>
    <row r="14" spans="1:11" x14ac:dyDescent="0.3">
      <c r="A14" s="6">
        <v>45431</v>
      </c>
      <c r="B14" s="5" t="s">
        <v>28</v>
      </c>
      <c r="C14" s="5" t="s">
        <v>7</v>
      </c>
      <c r="D14" s="5" t="s">
        <v>31</v>
      </c>
      <c r="E14" s="5" t="s">
        <v>15</v>
      </c>
      <c r="F14" s="5">
        <v>3639</v>
      </c>
      <c r="G14" s="5" t="str">
        <f>VLOOKUP(C14,Sheet2!$C$3:$D$12,2,0)</f>
        <v>Fixed</v>
      </c>
      <c r="H14" s="5" t="str">
        <f>IFERROR(VLOOKUP(E14,Sheet2!$G$3:$H$8,2,0),"unkwon")</f>
        <v>online</v>
      </c>
      <c r="I14" s="5">
        <f>VLOOKUP(B14,Sheet2!$J$4:$K$15,2,0)</f>
        <v>5</v>
      </c>
      <c r="J14" s="5">
        <f>IFERROR(VLOOKUP(C14,Sheet2!$M$4:$N$12,2,0),0)</f>
        <v>2000</v>
      </c>
      <c r="K14" s="5" t="str">
        <f t="shared" si="0"/>
        <v>over budget</v>
      </c>
    </row>
    <row r="15" spans="1:11" x14ac:dyDescent="0.3">
      <c r="A15" s="6">
        <v>45230</v>
      </c>
      <c r="B15" s="5" t="s">
        <v>6</v>
      </c>
      <c r="C15" s="5" t="s">
        <v>30</v>
      </c>
      <c r="D15" s="5" t="s">
        <v>26</v>
      </c>
      <c r="E15" s="5" t="s">
        <v>32</v>
      </c>
      <c r="F15" s="5">
        <v>4194</v>
      </c>
      <c r="G15" s="5" t="str">
        <f>VLOOKUP(C15,Sheet2!$C$3:$D$12,2,0)</f>
        <v>Fixed</v>
      </c>
      <c r="H15" s="5" t="str">
        <f>IFERROR(VLOOKUP(E15,Sheet2!$G$3:$H$8,2,0),"unkwon")</f>
        <v>offline</v>
      </c>
      <c r="I15" s="5">
        <f>VLOOKUP(B15,Sheet2!$J$4:$K$15,2,0)</f>
        <v>10</v>
      </c>
      <c r="J15" s="5">
        <f>IFERROR(VLOOKUP(C15,Sheet2!$M$4:$N$12,2,0),0)</f>
        <v>3000</v>
      </c>
      <c r="K15" s="5" t="str">
        <f t="shared" si="0"/>
        <v>over budget</v>
      </c>
    </row>
    <row r="16" spans="1:11" x14ac:dyDescent="0.3">
      <c r="A16" s="6">
        <v>45339</v>
      </c>
      <c r="B16" s="5" t="s">
        <v>33</v>
      </c>
      <c r="C16" s="5" t="s">
        <v>10</v>
      </c>
      <c r="D16" s="5" t="s">
        <v>31</v>
      </c>
      <c r="E16" s="5" t="s">
        <v>17</v>
      </c>
      <c r="F16" s="5">
        <v>657</v>
      </c>
      <c r="G16" s="5" t="str">
        <f>VLOOKUP(C16,Sheet2!$C$3:$D$12,2,0)</f>
        <v>Variable</v>
      </c>
      <c r="H16" s="5" t="str">
        <f>IFERROR(VLOOKUP(E16,Sheet2!$G$3:$H$8,2,0),"unkwon")</f>
        <v>online</v>
      </c>
      <c r="I16" s="5">
        <f>VLOOKUP(B16,Sheet2!$J$4:$K$15,2,0)</f>
        <v>2</v>
      </c>
      <c r="J16" s="5">
        <f>IFERROR(VLOOKUP(C16,Sheet2!$M$4:$N$12,2,0),0)</f>
        <v>5000</v>
      </c>
      <c r="K16" s="5" t="str">
        <f t="shared" si="0"/>
        <v>within budget</v>
      </c>
    </row>
    <row r="17" spans="1:11" x14ac:dyDescent="0.3">
      <c r="A17" s="6">
        <v>45285</v>
      </c>
      <c r="B17" s="5" t="s">
        <v>16</v>
      </c>
      <c r="C17" s="5" t="s">
        <v>7</v>
      </c>
      <c r="D17" s="5" t="s">
        <v>34</v>
      </c>
      <c r="E17" s="5" t="s">
        <v>32</v>
      </c>
      <c r="F17" s="5">
        <v>407</v>
      </c>
      <c r="G17" s="5" t="str">
        <f>VLOOKUP(C17,Sheet2!$C$3:$D$12,2,0)</f>
        <v>Fixed</v>
      </c>
      <c r="H17" s="5" t="str">
        <f>IFERROR(VLOOKUP(E17,Sheet2!$G$3:$H$8,2,0),"unkwon")</f>
        <v>offline</v>
      </c>
      <c r="I17" s="5">
        <f>VLOOKUP(B17,Sheet2!$J$4:$K$15,2,0)</f>
        <v>12</v>
      </c>
      <c r="J17" s="5">
        <f>IFERROR(VLOOKUP(C17,Sheet2!$M$4:$N$12,2,0),0)</f>
        <v>2000</v>
      </c>
      <c r="K17" s="5" t="str">
        <f t="shared" si="0"/>
        <v>within budget</v>
      </c>
    </row>
    <row r="18" spans="1:11" x14ac:dyDescent="0.3">
      <c r="A18" s="6">
        <v>44965</v>
      </c>
      <c r="B18" s="5" t="s">
        <v>33</v>
      </c>
      <c r="C18" s="5" t="s">
        <v>35</v>
      </c>
      <c r="D18" s="5" t="s">
        <v>31</v>
      </c>
      <c r="E18" s="5" t="s">
        <v>32</v>
      </c>
      <c r="F18" s="5">
        <v>3456</v>
      </c>
      <c r="G18" s="5" t="str">
        <f>VLOOKUP(C18,Sheet2!$C$3:$D$12,2,0)</f>
        <v>Fixed</v>
      </c>
      <c r="H18" s="5" t="str">
        <f>IFERROR(VLOOKUP(E18,Sheet2!$G$3:$H$8,2,0),"unkwon")</f>
        <v>offline</v>
      </c>
      <c r="I18" s="5">
        <f>VLOOKUP(B18,Sheet2!$J$4:$K$15,2,0)</f>
        <v>2</v>
      </c>
      <c r="J18" s="5">
        <f>IFERROR(VLOOKUP(C18,Sheet2!$M$4:$N$12,2,0),0)</f>
        <v>5500</v>
      </c>
      <c r="K18" s="5" t="str">
        <f t="shared" si="0"/>
        <v>within budget</v>
      </c>
    </row>
    <row r="19" spans="1:11" x14ac:dyDescent="0.3">
      <c r="A19" s="6">
        <v>45229</v>
      </c>
      <c r="B19" s="5" t="s">
        <v>6</v>
      </c>
      <c r="C19" s="5" t="s">
        <v>36</v>
      </c>
      <c r="D19" s="5" t="s">
        <v>23</v>
      </c>
      <c r="E19" s="5" t="s">
        <v>15</v>
      </c>
      <c r="F19" s="5">
        <v>438</v>
      </c>
      <c r="G19" s="5" t="str">
        <f>VLOOKUP(C19,Sheet2!$C$3:$D$12,2,0)</f>
        <v>Variable</v>
      </c>
      <c r="H19" s="5" t="str">
        <f>IFERROR(VLOOKUP(E19,Sheet2!$G$3:$H$8,2,0),"unkwon")</f>
        <v>online</v>
      </c>
      <c r="I19" s="5">
        <f>VLOOKUP(B19,Sheet2!$J$4:$K$15,2,0)</f>
        <v>10</v>
      </c>
      <c r="J19" s="5">
        <f>IFERROR(VLOOKUP(C19,Sheet2!$M$4:$N$12,2,0),0)</f>
        <v>10000</v>
      </c>
      <c r="K19" s="5" t="str">
        <f t="shared" si="0"/>
        <v>within budget</v>
      </c>
    </row>
    <row r="20" spans="1:11" x14ac:dyDescent="0.3">
      <c r="A20" s="6">
        <v>45322</v>
      </c>
      <c r="B20" s="5" t="s">
        <v>37</v>
      </c>
      <c r="C20" s="5" t="s">
        <v>22</v>
      </c>
      <c r="D20" s="5" t="s">
        <v>18</v>
      </c>
      <c r="E20" s="5" t="s">
        <v>12</v>
      </c>
      <c r="F20" s="5">
        <v>422</v>
      </c>
      <c r="G20" s="5" t="str">
        <f>VLOOKUP(C20,Sheet2!$C$3:$D$12,2,0)</f>
        <v>Variable</v>
      </c>
      <c r="H20" s="5" t="str">
        <f>IFERROR(VLOOKUP(E20,Sheet2!$G$3:$H$8,2,0),"unkwon")</f>
        <v>online</v>
      </c>
      <c r="I20" s="5">
        <f>VLOOKUP(B20,Sheet2!$J$4:$K$15,2,0)</f>
        <v>1</v>
      </c>
      <c r="J20" s="5">
        <f>IFERROR(VLOOKUP(C20,Sheet2!$M$4:$N$12,2,0),0)</f>
        <v>1000</v>
      </c>
      <c r="K20" s="5" t="str">
        <f t="shared" si="0"/>
        <v>within budget</v>
      </c>
    </row>
    <row r="21" spans="1:11" x14ac:dyDescent="0.3">
      <c r="A21" s="6">
        <v>44965</v>
      </c>
      <c r="B21" s="5" t="s">
        <v>33</v>
      </c>
      <c r="C21" s="5" t="s">
        <v>35</v>
      </c>
      <c r="D21" s="5" t="s">
        <v>34</v>
      </c>
      <c r="E21" s="5" t="s">
        <v>17</v>
      </c>
      <c r="F21" s="5">
        <v>835</v>
      </c>
      <c r="G21" s="5" t="str">
        <f>VLOOKUP(C21,Sheet2!$C$3:$D$12,2,0)</f>
        <v>Fixed</v>
      </c>
      <c r="H21" s="5" t="str">
        <f>IFERROR(VLOOKUP(E21,Sheet2!$G$3:$H$8,2,0),"unkwon")</f>
        <v>online</v>
      </c>
      <c r="I21" s="5">
        <f>VLOOKUP(B21,Sheet2!$J$4:$K$15,2,0)</f>
        <v>2</v>
      </c>
      <c r="J21" s="5">
        <f>IFERROR(VLOOKUP(C21,Sheet2!$M$4:$N$12,2,0),0)</f>
        <v>5500</v>
      </c>
      <c r="K21" s="5" t="str">
        <f t="shared" si="0"/>
        <v>within budget</v>
      </c>
    </row>
    <row r="22" spans="1:11" x14ac:dyDescent="0.3">
      <c r="A22" s="6">
        <v>45215</v>
      </c>
      <c r="B22" s="5" t="s">
        <v>6</v>
      </c>
      <c r="C22" s="5" t="s">
        <v>22</v>
      </c>
      <c r="D22" s="5" t="s">
        <v>20</v>
      </c>
      <c r="E22" s="5" t="s">
        <v>9</v>
      </c>
      <c r="F22" s="5">
        <v>3200</v>
      </c>
      <c r="G22" s="5" t="str">
        <f>VLOOKUP(C22,Sheet2!$C$3:$D$12,2,0)</f>
        <v>Variable</v>
      </c>
      <c r="H22" s="5" t="str">
        <f>IFERROR(VLOOKUP(E22,Sheet2!$G$3:$H$8,2,0),"unkwon")</f>
        <v>online</v>
      </c>
      <c r="I22" s="5">
        <f>VLOOKUP(B22,Sheet2!$J$4:$K$15,2,0)</f>
        <v>10</v>
      </c>
      <c r="J22" s="5">
        <f>IFERROR(VLOOKUP(C22,Sheet2!$M$4:$N$12,2,0),0)</f>
        <v>1000</v>
      </c>
      <c r="K22" s="5" t="str">
        <f t="shared" si="0"/>
        <v>over budget</v>
      </c>
    </row>
    <row r="23" spans="1:11" x14ac:dyDescent="0.3">
      <c r="A23" s="6">
        <v>45373</v>
      </c>
      <c r="B23" s="5" t="s">
        <v>19</v>
      </c>
      <c r="C23" s="5" t="s">
        <v>10</v>
      </c>
      <c r="D23" s="5" t="s">
        <v>14</v>
      </c>
      <c r="E23" s="5" t="s">
        <v>15</v>
      </c>
      <c r="F23" s="5">
        <v>3949</v>
      </c>
      <c r="G23" s="5" t="str">
        <f>VLOOKUP(C23,Sheet2!$C$3:$D$12,2,0)</f>
        <v>Variable</v>
      </c>
      <c r="H23" s="5" t="str">
        <f>IFERROR(VLOOKUP(E23,Sheet2!$G$3:$H$8,2,0),"unkwon")</f>
        <v>online</v>
      </c>
      <c r="I23" s="5">
        <f>VLOOKUP(B23,Sheet2!$J$4:$K$15,2,0)</f>
        <v>3</v>
      </c>
      <c r="J23" s="5">
        <f>IFERROR(VLOOKUP(C23,Sheet2!$M$4:$N$12,2,0),0)</f>
        <v>5000</v>
      </c>
      <c r="K23" s="5" t="str">
        <f t="shared" si="0"/>
        <v>within budget</v>
      </c>
    </row>
    <row r="24" spans="1:11" x14ac:dyDescent="0.3">
      <c r="A24" s="6">
        <v>45182</v>
      </c>
      <c r="B24" s="5" t="s">
        <v>38</v>
      </c>
      <c r="C24" s="5" t="s">
        <v>30</v>
      </c>
      <c r="D24" s="5" t="s">
        <v>18</v>
      </c>
      <c r="E24" s="5" t="s">
        <v>12</v>
      </c>
      <c r="F24" s="5">
        <v>365</v>
      </c>
      <c r="G24" s="5" t="str">
        <f>VLOOKUP(C24,Sheet2!$C$3:$D$12,2,0)</f>
        <v>Fixed</v>
      </c>
      <c r="H24" s="5" t="str">
        <f>IFERROR(VLOOKUP(E24,Sheet2!$G$3:$H$8,2,0),"unkwon")</f>
        <v>online</v>
      </c>
      <c r="I24" s="5">
        <f>VLOOKUP(B24,Sheet2!$J$4:$K$15,2,0)</f>
        <v>9</v>
      </c>
      <c r="J24" s="5">
        <f>IFERROR(VLOOKUP(C24,Sheet2!$M$4:$N$12,2,0),0)</f>
        <v>3000</v>
      </c>
      <c r="K24" s="5" t="str">
        <f t="shared" si="0"/>
        <v>within budget</v>
      </c>
    </row>
    <row r="25" spans="1:11" x14ac:dyDescent="0.3">
      <c r="A25" s="6">
        <v>45122</v>
      </c>
      <c r="B25" s="5" t="s">
        <v>21</v>
      </c>
      <c r="C25" s="5" t="s">
        <v>30</v>
      </c>
      <c r="D25" s="5" t="s">
        <v>34</v>
      </c>
      <c r="E25" s="5" t="s">
        <v>9</v>
      </c>
      <c r="F25" s="5">
        <v>4191</v>
      </c>
      <c r="G25" s="5" t="str">
        <f>VLOOKUP(C25,Sheet2!$C$3:$D$12,2,0)</f>
        <v>Fixed</v>
      </c>
      <c r="H25" s="5" t="str">
        <f>IFERROR(VLOOKUP(E25,Sheet2!$G$3:$H$8,2,0),"unkwon")</f>
        <v>online</v>
      </c>
      <c r="I25" s="5">
        <f>VLOOKUP(B25,Sheet2!$J$4:$K$15,2,0)</f>
        <v>7</v>
      </c>
      <c r="J25" s="5">
        <f>IFERROR(VLOOKUP(C25,Sheet2!$M$4:$N$12,2,0),0)</f>
        <v>3000</v>
      </c>
      <c r="K25" s="5" t="str">
        <f t="shared" si="0"/>
        <v>over budget</v>
      </c>
    </row>
    <row r="26" spans="1:11" x14ac:dyDescent="0.3">
      <c r="A26" s="6">
        <v>45332</v>
      </c>
      <c r="B26" s="5" t="s">
        <v>33</v>
      </c>
      <c r="C26" s="5" t="s">
        <v>30</v>
      </c>
      <c r="D26" s="5" t="s">
        <v>20</v>
      </c>
      <c r="E26" s="5" t="s">
        <v>9</v>
      </c>
      <c r="F26" s="5">
        <v>3414</v>
      </c>
      <c r="G26" s="5" t="str">
        <f>VLOOKUP(C26,Sheet2!$C$3:$D$12,2,0)</f>
        <v>Fixed</v>
      </c>
      <c r="H26" s="5" t="str">
        <f>IFERROR(VLOOKUP(E26,Sheet2!$G$3:$H$8,2,0),"unkwon")</f>
        <v>online</v>
      </c>
      <c r="I26" s="5">
        <f>VLOOKUP(B26,Sheet2!$J$4:$K$15,2,0)</f>
        <v>2</v>
      </c>
      <c r="J26" s="5">
        <f>IFERROR(VLOOKUP(C26,Sheet2!$M$4:$N$12,2,0),0)</f>
        <v>3000</v>
      </c>
      <c r="K26" s="5" t="str">
        <f t="shared" si="0"/>
        <v>over budget</v>
      </c>
    </row>
    <row r="27" spans="1:11" x14ac:dyDescent="0.3">
      <c r="A27" s="6">
        <v>45050</v>
      </c>
      <c r="B27" s="5" t="s">
        <v>28</v>
      </c>
      <c r="C27" s="5" t="s">
        <v>13</v>
      </c>
      <c r="D27" s="5" t="s">
        <v>24</v>
      </c>
      <c r="E27" s="5" t="s">
        <v>32</v>
      </c>
      <c r="F27" s="5">
        <v>356</v>
      </c>
      <c r="G27" s="5" t="str">
        <f>VLOOKUP(C27,Sheet2!$C$3:$D$12,2,0)</f>
        <v>Variable</v>
      </c>
      <c r="H27" s="5" t="str">
        <f>IFERROR(VLOOKUP(E27,Sheet2!$G$3:$H$8,2,0),"unkwon")</f>
        <v>offline</v>
      </c>
      <c r="I27" s="5">
        <f>VLOOKUP(B27,Sheet2!$J$4:$K$15,2,0)</f>
        <v>5</v>
      </c>
      <c r="J27" s="5">
        <f>IFERROR(VLOOKUP(C27,Sheet2!$M$4:$N$12,2,0),0)</f>
        <v>5000</v>
      </c>
      <c r="K27" s="5" t="str">
        <f t="shared" si="0"/>
        <v>within budget</v>
      </c>
    </row>
    <row r="28" spans="1:11" x14ac:dyDescent="0.3">
      <c r="A28" s="6">
        <v>45432</v>
      </c>
      <c r="B28" s="5" t="s">
        <v>28</v>
      </c>
      <c r="C28" s="5" t="s">
        <v>27</v>
      </c>
      <c r="D28" s="5" t="s">
        <v>14</v>
      </c>
      <c r="E28" s="5" t="s">
        <v>9</v>
      </c>
      <c r="F28" s="5">
        <v>4011</v>
      </c>
      <c r="G28" s="5" t="str">
        <f>VLOOKUP(C28,Sheet2!$C$3:$D$12,2,0)</f>
        <v>Variable</v>
      </c>
      <c r="H28" s="5" t="str">
        <f>IFERROR(VLOOKUP(E28,Sheet2!$G$3:$H$8,2,0),"unkwon")</f>
        <v>online</v>
      </c>
      <c r="I28" s="5">
        <f>VLOOKUP(B28,Sheet2!$J$4:$K$15,2,0)</f>
        <v>5</v>
      </c>
      <c r="J28" s="5">
        <f>IFERROR(VLOOKUP(C28,Sheet2!$M$4:$N$12,2,0),0)</f>
        <v>4000</v>
      </c>
      <c r="K28" s="5" t="str">
        <f t="shared" si="0"/>
        <v>over budget</v>
      </c>
    </row>
    <row r="29" spans="1:11" x14ac:dyDescent="0.3">
      <c r="A29" s="6">
        <v>45114</v>
      </c>
      <c r="B29" s="5" t="s">
        <v>21</v>
      </c>
      <c r="C29" s="5" t="s">
        <v>13</v>
      </c>
      <c r="D29" s="5" t="s">
        <v>18</v>
      </c>
      <c r="E29" s="5" t="s">
        <v>12</v>
      </c>
      <c r="F29" s="5">
        <v>51</v>
      </c>
      <c r="G29" s="5" t="str">
        <f>VLOOKUP(C29,Sheet2!$C$3:$D$12,2,0)</f>
        <v>Variable</v>
      </c>
      <c r="H29" s="5" t="str">
        <f>IFERROR(VLOOKUP(E29,Sheet2!$G$3:$H$8,2,0),"unkwon")</f>
        <v>online</v>
      </c>
      <c r="I29" s="5">
        <f>VLOOKUP(B29,Sheet2!$J$4:$K$15,2,0)</f>
        <v>7</v>
      </c>
      <c r="J29" s="5">
        <f>IFERROR(VLOOKUP(C29,Sheet2!$M$4:$N$12,2,0),0)</f>
        <v>5000</v>
      </c>
      <c r="K29" s="5" t="str">
        <f t="shared" si="0"/>
        <v>within budget</v>
      </c>
    </row>
    <row r="30" spans="1:11" x14ac:dyDescent="0.3">
      <c r="A30" s="6">
        <v>44930</v>
      </c>
      <c r="B30" s="5" t="s">
        <v>37</v>
      </c>
      <c r="C30" s="5" t="s">
        <v>13</v>
      </c>
      <c r="D30" s="5" t="s">
        <v>14</v>
      </c>
      <c r="E30" s="5" t="s">
        <v>32</v>
      </c>
      <c r="F30" s="5">
        <v>1215</v>
      </c>
      <c r="G30" s="5" t="str">
        <f>VLOOKUP(C30,Sheet2!$C$3:$D$12,2,0)</f>
        <v>Variable</v>
      </c>
      <c r="H30" s="5" t="str">
        <f>IFERROR(VLOOKUP(E30,Sheet2!$G$3:$H$8,2,0),"unkwon")</f>
        <v>offline</v>
      </c>
      <c r="I30" s="5">
        <f>VLOOKUP(B30,Sheet2!$J$4:$K$15,2,0)</f>
        <v>1</v>
      </c>
      <c r="J30" s="5">
        <f>IFERROR(VLOOKUP(C30,Sheet2!$M$4:$N$12,2,0),0)</f>
        <v>5000</v>
      </c>
      <c r="K30" s="5" t="str">
        <f t="shared" si="0"/>
        <v>within budget</v>
      </c>
    </row>
    <row r="31" spans="1:11" x14ac:dyDescent="0.3">
      <c r="A31" s="6">
        <v>45465</v>
      </c>
      <c r="B31" s="5" t="s">
        <v>39</v>
      </c>
      <c r="C31" s="5" t="s">
        <v>22</v>
      </c>
      <c r="D31" s="5" t="s">
        <v>24</v>
      </c>
      <c r="E31" s="5" t="s">
        <v>12</v>
      </c>
      <c r="F31" s="5">
        <v>4511</v>
      </c>
      <c r="G31" s="5" t="str">
        <f>VLOOKUP(C31,Sheet2!$C$3:$D$12,2,0)</f>
        <v>Variable</v>
      </c>
      <c r="H31" s="5" t="str">
        <f>IFERROR(VLOOKUP(E31,Sheet2!$G$3:$H$8,2,0),"unkwon")</f>
        <v>online</v>
      </c>
      <c r="I31" s="5">
        <f>VLOOKUP(B31,Sheet2!$J$4:$K$15,2,0)</f>
        <v>6</v>
      </c>
      <c r="J31" s="5">
        <f>IFERROR(VLOOKUP(C31,Sheet2!$M$4:$N$12,2,0),0)</f>
        <v>1000</v>
      </c>
      <c r="K31" s="5" t="str">
        <f t="shared" si="0"/>
        <v>over budget</v>
      </c>
    </row>
    <row r="32" spans="1:11" x14ac:dyDescent="0.3">
      <c r="A32" s="6">
        <v>45626</v>
      </c>
      <c r="B32" s="5" t="s">
        <v>40</v>
      </c>
      <c r="C32" s="5" t="s">
        <v>35</v>
      </c>
      <c r="D32" s="5" t="s">
        <v>14</v>
      </c>
      <c r="E32" s="5" t="s">
        <v>12</v>
      </c>
      <c r="F32" s="5">
        <v>4581</v>
      </c>
      <c r="G32" s="5" t="str">
        <f>VLOOKUP(C32,Sheet2!$C$3:$D$12,2,0)</f>
        <v>Fixed</v>
      </c>
      <c r="H32" s="5" t="str">
        <f>IFERROR(VLOOKUP(E32,Sheet2!$G$3:$H$8,2,0),"unkwon")</f>
        <v>online</v>
      </c>
      <c r="I32" s="5">
        <f>VLOOKUP(B32,Sheet2!$J$4:$K$15,2,0)</f>
        <v>11</v>
      </c>
      <c r="J32" s="5">
        <f>IFERROR(VLOOKUP(C32,Sheet2!$M$4:$N$12,2,0),0)</f>
        <v>5500</v>
      </c>
      <c r="K32" s="5" t="str">
        <f t="shared" si="0"/>
        <v>within budget</v>
      </c>
    </row>
    <row r="33" spans="1:11" x14ac:dyDescent="0.3">
      <c r="A33" s="6">
        <v>45601</v>
      </c>
      <c r="B33" s="5" t="s">
        <v>40</v>
      </c>
      <c r="C33" s="5" t="s">
        <v>27</v>
      </c>
      <c r="D33" s="5" t="s">
        <v>26</v>
      </c>
      <c r="E33" s="5" t="s">
        <v>32</v>
      </c>
      <c r="F33" s="5">
        <v>4791</v>
      </c>
      <c r="G33" s="5" t="str">
        <f>VLOOKUP(C33,Sheet2!$C$3:$D$12,2,0)</f>
        <v>Variable</v>
      </c>
      <c r="H33" s="5" t="str">
        <f>IFERROR(VLOOKUP(E33,Sheet2!$G$3:$H$8,2,0),"unkwon")</f>
        <v>offline</v>
      </c>
      <c r="I33" s="5">
        <f>VLOOKUP(B33,Sheet2!$J$4:$K$15,2,0)</f>
        <v>11</v>
      </c>
      <c r="J33" s="5">
        <f>IFERROR(VLOOKUP(C33,Sheet2!$M$4:$N$12,2,0),0)</f>
        <v>4000</v>
      </c>
      <c r="K33" s="5" t="str">
        <f t="shared" si="0"/>
        <v>over budget</v>
      </c>
    </row>
    <row r="34" spans="1:11" x14ac:dyDescent="0.3">
      <c r="A34" s="6">
        <v>45620</v>
      </c>
      <c r="B34" s="5" t="s">
        <v>40</v>
      </c>
      <c r="C34" s="5" t="s">
        <v>30</v>
      </c>
      <c r="D34" s="5" t="s">
        <v>20</v>
      </c>
      <c r="E34" s="5" t="s">
        <v>32</v>
      </c>
      <c r="F34" s="5">
        <v>4980</v>
      </c>
      <c r="G34" s="5" t="str">
        <f>VLOOKUP(C34,Sheet2!$C$3:$D$12,2,0)</f>
        <v>Fixed</v>
      </c>
      <c r="H34" s="5" t="str">
        <f>IFERROR(VLOOKUP(E34,Sheet2!$G$3:$H$8,2,0),"unkwon")</f>
        <v>offline</v>
      </c>
      <c r="I34" s="5">
        <f>VLOOKUP(B34,Sheet2!$J$4:$K$15,2,0)</f>
        <v>11</v>
      </c>
      <c r="J34" s="5">
        <f>IFERROR(VLOOKUP(C34,Sheet2!$M$4:$N$12,2,0),0)</f>
        <v>3000</v>
      </c>
      <c r="K34" s="5" t="str">
        <f t="shared" si="0"/>
        <v>over budget</v>
      </c>
    </row>
    <row r="35" spans="1:11" x14ac:dyDescent="0.3">
      <c r="A35" s="6">
        <v>45511</v>
      </c>
      <c r="B35" s="5" t="s">
        <v>25</v>
      </c>
      <c r="C35" s="5" t="s">
        <v>13</v>
      </c>
      <c r="D35" s="5" t="s">
        <v>8</v>
      </c>
      <c r="E35" s="5" t="s">
        <v>12</v>
      </c>
      <c r="F35" s="5">
        <v>3475</v>
      </c>
      <c r="G35" s="5" t="str">
        <f>VLOOKUP(C35,Sheet2!$C$3:$D$12,2,0)</f>
        <v>Variable</v>
      </c>
      <c r="H35" s="5" t="str">
        <f>IFERROR(VLOOKUP(E35,Sheet2!$G$3:$H$8,2,0),"unkwon")</f>
        <v>online</v>
      </c>
      <c r="I35" s="5">
        <f>VLOOKUP(B35,Sheet2!$J$4:$K$15,2,0)</f>
        <v>8</v>
      </c>
      <c r="J35" s="5">
        <f>IFERROR(VLOOKUP(C35,Sheet2!$M$4:$N$12,2,0),0)</f>
        <v>5000</v>
      </c>
      <c r="K35" s="5" t="str">
        <f t="shared" si="0"/>
        <v>within budget</v>
      </c>
    </row>
    <row r="36" spans="1:11" x14ac:dyDescent="0.3">
      <c r="A36" s="6">
        <v>45522</v>
      </c>
      <c r="B36" s="5" t="s">
        <v>25</v>
      </c>
      <c r="C36" s="5" t="s">
        <v>22</v>
      </c>
      <c r="D36" s="5" t="s">
        <v>8</v>
      </c>
      <c r="E36" s="5" t="s">
        <v>15</v>
      </c>
      <c r="F36" s="5">
        <v>2940</v>
      </c>
      <c r="G36" s="5" t="str">
        <f>VLOOKUP(C36,Sheet2!$C$3:$D$12,2,0)</f>
        <v>Variable</v>
      </c>
      <c r="H36" s="5" t="str">
        <f>IFERROR(VLOOKUP(E36,Sheet2!$G$3:$H$8,2,0),"unkwon")</f>
        <v>online</v>
      </c>
      <c r="I36" s="5">
        <f>VLOOKUP(B36,Sheet2!$J$4:$K$15,2,0)</f>
        <v>8</v>
      </c>
      <c r="J36" s="5">
        <f>IFERROR(VLOOKUP(C36,Sheet2!$M$4:$N$12,2,0),0)</f>
        <v>1000</v>
      </c>
      <c r="K36" s="5" t="str">
        <f t="shared" si="0"/>
        <v>over budget</v>
      </c>
    </row>
    <row r="37" spans="1:11" x14ac:dyDescent="0.3">
      <c r="A37" s="6">
        <v>45022</v>
      </c>
      <c r="B37" s="5" t="s">
        <v>29</v>
      </c>
      <c r="C37" s="5" t="s">
        <v>13</v>
      </c>
      <c r="D37" s="5" t="s">
        <v>14</v>
      </c>
      <c r="E37" s="5" t="s">
        <v>32</v>
      </c>
      <c r="F37" s="5">
        <v>3743</v>
      </c>
      <c r="G37" s="5" t="str">
        <f>VLOOKUP(C37,Sheet2!$C$3:$D$12,2,0)</f>
        <v>Variable</v>
      </c>
      <c r="H37" s="5" t="str">
        <f>IFERROR(VLOOKUP(E37,Sheet2!$G$3:$H$8,2,0),"unkwon")</f>
        <v>offline</v>
      </c>
      <c r="I37" s="5">
        <f>VLOOKUP(B37,Sheet2!$J$4:$K$15,2,0)</f>
        <v>4</v>
      </c>
      <c r="J37" s="5">
        <f>IFERROR(VLOOKUP(C37,Sheet2!$M$4:$N$12,2,0),0)</f>
        <v>5000</v>
      </c>
      <c r="K37" s="5" t="str">
        <f t="shared" si="0"/>
        <v>within budget</v>
      </c>
    </row>
    <row r="38" spans="1:11" x14ac:dyDescent="0.3">
      <c r="A38" s="6">
        <v>45505</v>
      </c>
      <c r="B38" s="5" t="s">
        <v>25</v>
      </c>
      <c r="C38" s="5" t="s">
        <v>7</v>
      </c>
      <c r="D38" s="5" t="s">
        <v>20</v>
      </c>
      <c r="E38" s="5" t="s">
        <v>17</v>
      </c>
      <c r="F38" s="5">
        <v>3234</v>
      </c>
      <c r="G38" s="5" t="str">
        <f>VLOOKUP(C38,Sheet2!$C$3:$D$12,2,0)</f>
        <v>Fixed</v>
      </c>
      <c r="H38" s="5" t="str">
        <f>IFERROR(VLOOKUP(E38,Sheet2!$G$3:$H$8,2,0),"unkwon")</f>
        <v>online</v>
      </c>
      <c r="I38" s="5">
        <f>VLOOKUP(B38,Sheet2!$J$4:$K$15,2,0)</f>
        <v>8</v>
      </c>
      <c r="J38" s="5">
        <f>IFERROR(VLOOKUP(C38,Sheet2!$M$4:$N$12,2,0),0)</f>
        <v>2000</v>
      </c>
      <c r="K38" s="5" t="str">
        <f t="shared" si="0"/>
        <v>over budget</v>
      </c>
    </row>
    <row r="39" spans="1:11" x14ac:dyDescent="0.3">
      <c r="A39" s="6">
        <v>45273</v>
      </c>
      <c r="B39" s="5" t="s">
        <v>16</v>
      </c>
      <c r="C39" s="5" t="s">
        <v>22</v>
      </c>
      <c r="D39" s="5" t="s">
        <v>26</v>
      </c>
      <c r="E39" s="5" t="s">
        <v>12</v>
      </c>
      <c r="F39" s="5">
        <v>905</v>
      </c>
      <c r="G39" s="5" t="str">
        <f>VLOOKUP(C39,Sheet2!$C$3:$D$12,2,0)</f>
        <v>Variable</v>
      </c>
      <c r="H39" s="5" t="str">
        <f>IFERROR(VLOOKUP(E39,Sheet2!$G$3:$H$8,2,0),"unkwon")</f>
        <v>online</v>
      </c>
      <c r="I39" s="5">
        <f>VLOOKUP(B39,Sheet2!$J$4:$K$15,2,0)</f>
        <v>12</v>
      </c>
      <c r="J39" s="5">
        <f>IFERROR(VLOOKUP(C39,Sheet2!$M$4:$N$12,2,0),0)</f>
        <v>1000</v>
      </c>
      <c r="K39" s="5" t="str">
        <f t="shared" si="0"/>
        <v>within budget</v>
      </c>
    </row>
    <row r="40" spans="1:11" x14ac:dyDescent="0.3">
      <c r="A40" s="6">
        <v>45112</v>
      </c>
      <c r="B40" s="5" t="s">
        <v>21</v>
      </c>
      <c r="C40" s="5" t="s">
        <v>30</v>
      </c>
      <c r="D40" s="5" t="s">
        <v>24</v>
      </c>
      <c r="E40" s="5" t="s">
        <v>9</v>
      </c>
      <c r="F40" s="5">
        <v>3556</v>
      </c>
      <c r="G40" s="5" t="str">
        <f>VLOOKUP(C40,Sheet2!$C$3:$D$12,2,0)</f>
        <v>Fixed</v>
      </c>
      <c r="H40" s="5" t="str">
        <f>IFERROR(VLOOKUP(E40,Sheet2!$G$3:$H$8,2,0),"unkwon")</f>
        <v>online</v>
      </c>
      <c r="I40" s="5">
        <f>VLOOKUP(B40,Sheet2!$J$4:$K$15,2,0)</f>
        <v>7</v>
      </c>
      <c r="J40" s="5">
        <f>IFERROR(VLOOKUP(C40,Sheet2!$M$4:$N$12,2,0),0)</f>
        <v>3000</v>
      </c>
      <c r="K40" s="5" t="str">
        <f t="shared" si="0"/>
        <v>over budget</v>
      </c>
    </row>
    <row r="41" spans="1:11" x14ac:dyDescent="0.3">
      <c r="A41" s="6">
        <v>45376</v>
      </c>
      <c r="B41" s="5" t="s">
        <v>19</v>
      </c>
      <c r="C41" s="5" t="s">
        <v>10</v>
      </c>
      <c r="D41" s="5" t="s">
        <v>18</v>
      </c>
      <c r="E41" s="5" t="s">
        <v>32</v>
      </c>
      <c r="F41" s="5">
        <v>830</v>
      </c>
      <c r="G41" s="5" t="str">
        <f>VLOOKUP(C41,Sheet2!$C$3:$D$12,2,0)</f>
        <v>Variable</v>
      </c>
      <c r="H41" s="5" t="str">
        <f>IFERROR(VLOOKUP(E41,Sheet2!$G$3:$H$8,2,0),"unkwon")</f>
        <v>offline</v>
      </c>
      <c r="I41" s="5">
        <f>VLOOKUP(B41,Sheet2!$J$4:$K$15,2,0)</f>
        <v>3</v>
      </c>
      <c r="J41" s="5">
        <f>IFERROR(VLOOKUP(C41,Sheet2!$M$4:$N$12,2,0),0)</f>
        <v>5000</v>
      </c>
      <c r="K41" s="5" t="str">
        <f t="shared" si="0"/>
        <v>within budget</v>
      </c>
    </row>
    <row r="42" spans="1:11" x14ac:dyDescent="0.3">
      <c r="A42" s="6">
        <v>45462</v>
      </c>
      <c r="B42" s="5" t="s">
        <v>39</v>
      </c>
      <c r="C42" s="5" t="s">
        <v>30</v>
      </c>
      <c r="D42" s="5" t="s">
        <v>34</v>
      </c>
      <c r="E42" s="5" t="s">
        <v>32</v>
      </c>
      <c r="F42" s="5">
        <v>2001</v>
      </c>
      <c r="G42" s="5" t="str">
        <f>VLOOKUP(C42,Sheet2!$C$3:$D$12,2,0)</f>
        <v>Fixed</v>
      </c>
      <c r="H42" s="5" t="str">
        <f>IFERROR(VLOOKUP(E42,Sheet2!$G$3:$H$8,2,0),"unkwon")</f>
        <v>offline</v>
      </c>
      <c r="I42" s="5">
        <f>VLOOKUP(B42,Sheet2!$J$4:$K$15,2,0)</f>
        <v>6</v>
      </c>
      <c r="J42" s="5">
        <f>IFERROR(VLOOKUP(C42,Sheet2!$M$4:$N$12,2,0),0)</f>
        <v>3000</v>
      </c>
      <c r="K42" s="5" t="str">
        <f t="shared" si="0"/>
        <v>within budget</v>
      </c>
    </row>
    <row r="43" spans="1:11" x14ac:dyDescent="0.3">
      <c r="A43" s="6">
        <v>45220</v>
      </c>
      <c r="B43" s="5" t="s">
        <v>6</v>
      </c>
      <c r="C43" s="5" t="s">
        <v>27</v>
      </c>
      <c r="D43" s="5" t="s">
        <v>8</v>
      </c>
      <c r="E43" s="5" t="s">
        <v>9</v>
      </c>
      <c r="F43" s="5">
        <v>569</v>
      </c>
      <c r="G43" s="5" t="str">
        <f>VLOOKUP(C43,Sheet2!$C$3:$D$12,2,0)</f>
        <v>Variable</v>
      </c>
      <c r="H43" s="5" t="str">
        <f>IFERROR(VLOOKUP(E43,Sheet2!$G$3:$H$8,2,0),"unkwon")</f>
        <v>online</v>
      </c>
      <c r="I43" s="5">
        <f>VLOOKUP(B43,Sheet2!$J$4:$K$15,2,0)</f>
        <v>10</v>
      </c>
      <c r="J43" s="5">
        <f>IFERROR(VLOOKUP(C43,Sheet2!$M$4:$N$12,2,0),0)</f>
        <v>4000</v>
      </c>
      <c r="K43" s="5" t="str">
        <f t="shared" si="0"/>
        <v>within budget</v>
      </c>
    </row>
    <row r="44" spans="1:11" x14ac:dyDescent="0.3">
      <c r="A44" s="6">
        <v>45017</v>
      </c>
      <c r="B44" s="5" t="s">
        <v>29</v>
      </c>
      <c r="C44" s="5" t="s">
        <v>13</v>
      </c>
      <c r="D44" s="5" t="s">
        <v>31</v>
      </c>
      <c r="E44" s="5" t="s">
        <v>15</v>
      </c>
      <c r="F44" s="5">
        <v>3338</v>
      </c>
      <c r="G44" s="5" t="str">
        <f>VLOOKUP(C44,Sheet2!$C$3:$D$12,2,0)</f>
        <v>Variable</v>
      </c>
      <c r="H44" s="5" t="str">
        <f>IFERROR(VLOOKUP(E44,Sheet2!$G$3:$H$8,2,0),"unkwon")</f>
        <v>online</v>
      </c>
      <c r="I44" s="5">
        <f>VLOOKUP(B44,Sheet2!$J$4:$K$15,2,0)</f>
        <v>4</v>
      </c>
      <c r="J44" s="5">
        <f>IFERROR(VLOOKUP(C44,Sheet2!$M$4:$N$12,2,0),0)</f>
        <v>5000</v>
      </c>
      <c r="K44" s="5" t="str">
        <f t="shared" si="0"/>
        <v>within budget</v>
      </c>
    </row>
    <row r="45" spans="1:11" x14ac:dyDescent="0.3">
      <c r="A45" s="6">
        <v>45064</v>
      </c>
      <c r="B45" s="5" t="s">
        <v>28</v>
      </c>
      <c r="C45" s="5" t="s">
        <v>41</v>
      </c>
      <c r="D45" s="5" t="s">
        <v>20</v>
      </c>
      <c r="E45" s="5" t="s">
        <v>32</v>
      </c>
      <c r="F45" s="5">
        <v>4406</v>
      </c>
      <c r="G45" s="5" t="str">
        <f>VLOOKUP(C45,Sheet2!$C$3:$D$12,2,0)</f>
        <v>Variable</v>
      </c>
      <c r="H45" s="5" t="str">
        <f>IFERROR(VLOOKUP(E45,Sheet2!$G$3:$H$8,2,0),"unkwon")</f>
        <v>offline</v>
      </c>
      <c r="I45" s="5">
        <f>VLOOKUP(B45,Sheet2!$J$4:$K$15,2,0)</f>
        <v>5</v>
      </c>
      <c r="J45" s="5">
        <f>IFERROR(VLOOKUP(C45,Sheet2!$M$4:$N$12,2,0),0)</f>
        <v>7000</v>
      </c>
      <c r="K45" s="5" t="str">
        <f t="shared" si="0"/>
        <v>within budget</v>
      </c>
    </row>
    <row r="46" spans="1:11" x14ac:dyDescent="0.3">
      <c r="A46" s="6">
        <v>45486</v>
      </c>
      <c r="B46" s="5" t="s">
        <v>21</v>
      </c>
      <c r="C46" s="5" t="s">
        <v>22</v>
      </c>
      <c r="D46" s="5" t="s">
        <v>11</v>
      </c>
      <c r="E46" s="5" t="s">
        <v>15</v>
      </c>
      <c r="F46" s="5">
        <v>4946</v>
      </c>
      <c r="G46" s="5" t="str">
        <f>VLOOKUP(C46,Sheet2!$C$3:$D$12,2,0)</f>
        <v>Variable</v>
      </c>
      <c r="H46" s="5" t="str">
        <f>IFERROR(VLOOKUP(E46,Sheet2!$G$3:$H$8,2,0),"unkwon")</f>
        <v>online</v>
      </c>
      <c r="I46" s="5">
        <f>VLOOKUP(B46,Sheet2!$J$4:$K$15,2,0)</f>
        <v>7</v>
      </c>
      <c r="J46" s="5">
        <f>IFERROR(VLOOKUP(C46,Sheet2!$M$4:$N$12,2,0),0)</f>
        <v>1000</v>
      </c>
      <c r="K46" s="5" t="str">
        <f t="shared" si="0"/>
        <v>over budget</v>
      </c>
    </row>
    <row r="47" spans="1:11" x14ac:dyDescent="0.3">
      <c r="A47" s="6">
        <v>45300</v>
      </c>
      <c r="B47" s="5" t="s">
        <v>37</v>
      </c>
      <c r="C47" s="5" t="s">
        <v>7</v>
      </c>
      <c r="D47" s="5" t="s">
        <v>23</v>
      </c>
      <c r="E47" s="5" t="s">
        <v>15</v>
      </c>
      <c r="F47" s="5">
        <v>98</v>
      </c>
      <c r="G47" s="5" t="str">
        <f>VLOOKUP(C47,Sheet2!$C$3:$D$12,2,0)</f>
        <v>Fixed</v>
      </c>
      <c r="H47" s="5" t="str">
        <f>IFERROR(VLOOKUP(E47,Sheet2!$G$3:$H$8,2,0),"unkwon")</f>
        <v>online</v>
      </c>
      <c r="I47" s="5">
        <f>VLOOKUP(B47,Sheet2!$J$4:$K$15,2,0)</f>
        <v>1</v>
      </c>
      <c r="J47" s="5">
        <f>IFERROR(VLOOKUP(C47,Sheet2!$M$4:$N$12,2,0),0)</f>
        <v>2000</v>
      </c>
      <c r="K47" s="5" t="str">
        <f t="shared" si="0"/>
        <v>within budget</v>
      </c>
    </row>
    <row r="48" spans="1:11" x14ac:dyDescent="0.3">
      <c r="A48" s="6">
        <v>45430</v>
      </c>
      <c r="B48" s="5" t="s">
        <v>28</v>
      </c>
      <c r="C48" s="5" t="s">
        <v>22</v>
      </c>
      <c r="D48" s="5" t="s">
        <v>20</v>
      </c>
      <c r="E48" s="5" t="s">
        <v>17</v>
      </c>
      <c r="F48" s="5">
        <v>3859</v>
      </c>
      <c r="G48" s="5" t="str">
        <f>VLOOKUP(C48,Sheet2!$C$3:$D$12,2,0)</f>
        <v>Variable</v>
      </c>
      <c r="H48" s="5" t="str">
        <f>IFERROR(VLOOKUP(E48,Sheet2!$G$3:$H$8,2,0),"unkwon")</f>
        <v>online</v>
      </c>
      <c r="I48" s="5">
        <f>VLOOKUP(B48,Sheet2!$J$4:$K$15,2,0)</f>
        <v>5</v>
      </c>
      <c r="J48" s="5">
        <f>IFERROR(VLOOKUP(C48,Sheet2!$M$4:$N$12,2,0),0)</f>
        <v>1000</v>
      </c>
      <c r="K48" s="5" t="str">
        <f t="shared" si="0"/>
        <v>over budget</v>
      </c>
    </row>
    <row r="49" spans="1:11" x14ac:dyDescent="0.3">
      <c r="A49" s="6">
        <v>45599</v>
      </c>
      <c r="B49" s="5" t="s">
        <v>40</v>
      </c>
      <c r="C49" s="5" t="s">
        <v>22</v>
      </c>
      <c r="D49" s="5" t="s">
        <v>31</v>
      </c>
      <c r="E49" s="5" t="s">
        <v>15</v>
      </c>
      <c r="F49" s="5">
        <v>2280</v>
      </c>
      <c r="G49" s="5" t="str">
        <f>VLOOKUP(C49,Sheet2!$C$3:$D$12,2,0)</f>
        <v>Variable</v>
      </c>
      <c r="H49" s="5" t="str">
        <f>IFERROR(VLOOKUP(E49,Sheet2!$G$3:$H$8,2,0),"unkwon")</f>
        <v>online</v>
      </c>
      <c r="I49" s="5">
        <f>VLOOKUP(B49,Sheet2!$J$4:$K$15,2,0)</f>
        <v>11</v>
      </c>
      <c r="J49" s="5">
        <f>IFERROR(VLOOKUP(C49,Sheet2!$M$4:$N$12,2,0),0)</f>
        <v>1000</v>
      </c>
      <c r="K49" s="5" t="str">
        <f t="shared" si="0"/>
        <v>over budget</v>
      </c>
    </row>
    <row r="50" spans="1:11" x14ac:dyDescent="0.3">
      <c r="A50" s="6">
        <v>45407</v>
      </c>
      <c r="B50" s="5" t="s">
        <v>29</v>
      </c>
      <c r="C50" s="5" t="s">
        <v>36</v>
      </c>
      <c r="D50" s="5" t="s">
        <v>26</v>
      </c>
      <c r="E50" s="5" t="s">
        <v>17</v>
      </c>
      <c r="F50" s="5">
        <v>432</v>
      </c>
      <c r="G50" s="5" t="str">
        <f>VLOOKUP(C50,Sheet2!$C$3:$D$12,2,0)</f>
        <v>Variable</v>
      </c>
      <c r="H50" s="5" t="str">
        <f>IFERROR(VLOOKUP(E50,Sheet2!$G$3:$H$8,2,0),"unkwon")</f>
        <v>online</v>
      </c>
      <c r="I50" s="5">
        <f>VLOOKUP(B50,Sheet2!$J$4:$K$15,2,0)</f>
        <v>4</v>
      </c>
      <c r="J50" s="5">
        <f>IFERROR(VLOOKUP(C50,Sheet2!$M$4:$N$12,2,0),0)</f>
        <v>10000</v>
      </c>
      <c r="K50" s="5" t="str">
        <f t="shared" si="0"/>
        <v>within budget</v>
      </c>
    </row>
    <row r="51" spans="1:11" x14ac:dyDescent="0.3">
      <c r="A51" s="6">
        <v>45430</v>
      </c>
      <c r="B51" s="5" t="s">
        <v>28</v>
      </c>
      <c r="C51" s="5" t="s">
        <v>22</v>
      </c>
      <c r="D51" s="5" t="s">
        <v>8</v>
      </c>
      <c r="E51" s="5" t="s">
        <v>32</v>
      </c>
      <c r="F51" s="5">
        <v>4001</v>
      </c>
      <c r="G51" s="5" t="str">
        <f>VLOOKUP(C51,Sheet2!$C$3:$D$12,2,0)</f>
        <v>Variable</v>
      </c>
      <c r="H51" s="5" t="str">
        <f>IFERROR(VLOOKUP(E51,Sheet2!$G$3:$H$8,2,0),"unkwon")</f>
        <v>offline</v>
      </c>
      <c r="I51" s="5">
        <f>VLOOKUP(B51,Sheet2!$J$4:$K$15,2,0)</f>
        <v>5</v>
      </c>
      <c r="J51" s="5">
        <f>IFERROR(VLOOKUP(C51,Sheet2!$M$4:$N$12,2,0),0)</f>
        <v>1000</v>
      </c>
      <c r="K51" s="5" t="str">
        <f t="shared" si="0"/>
        <v>over budget</v>
      </c>
    </row>
    <row r="52" spans="1:11" x14ac:dyDescent="0.3">
      <c r="A52" s="6">
        <v>45204</v>
      </c>
      <c r="B52" s="5" t="s">
        <v>6</v>
      </c>
      <c r="C52" s="5" t="s">
        <v>36</v>
      </c>
      <c r="D52" s="5" t="s">
        <v>26</v>
      </c>
      <c r="E52" s="5" t="s">
        <v>9</v>
      </c>
      <c r="F52" s="5">
        <v>2266</v>
      </c>
      <c r="G52" s="5" t="str">
        <f>VLOOKUP(C52,Sheet2!$C$3:$D$12,2,0)</f>
        <v>Variable</v>
      </c>
      <c r="H52" s="5" t="str">
        <f>IFERROR(VLOOKUP(E52,Sheet2!$G$3:$H$8,2,0),"unkwon")</f>
        <v>online</v>
      </c>
      <c r="I52" s="5">
        <f>VLOOKUP(B52,Sheet2!$J$4:$K$15,2,0)</f>
        <v>10</v>
      </c>
      <c r="J52" s="5">
        <f>IFERROR(VLOOKUP(C52,Sheet2!$M$4:$N$12,2,0),0)</f>
        <v>10000</v>
      </c>
      <c r="K52" s="5" t="str">
        <f t="shared" si="0"/>
        <v>within budget</v>
      </c>
    </row>
    <row r="53" spans="1:11" x14ac:dyDescent="0.3">
      <c r="A53" s="6">
        <v>45626</v>
      </c>
      <c r="B53" s="5" t="s">
        <v>40</v>
      </c>
      <c r="C53" s="5" t="s">
        <v>35</v>
      </c>
      <c r="D53" s="5" t="s">
        <v>18</v>
      </c>
      <c r="E53" s="5" t="s">
        <v>15</v>
      </c>
      <c r="F53" s="5">
        <v>1815</v>
      </c>
      <c r="G53" s="5" t="str">
        <f>VLOOKUP(C53,Sheet2!$C$3:$D$12,2,0)</f>
        <v>Fixed</v>
      </c>
      <c r="H53" s="5" t="str">
        <f>IFERROR(VLOOKUP(E53,Sheet2!$G$3:$H$8,2,0),"unkwon")</f>
        <v>online</v>
      </c>
      <c r="I53" s="5">
        <f>VLOOKUP(B53,Sheet2!$J$4:$K$15,2,0)</f>
        <v>11</v>
      </c>
      <c r="J53" s="5">
        <f>IFERROR(VLOOKUP(C53,Sheet2!$M$4:$N$12,2,0),0)</f>
        <v>5500</v>
      </c>
      <c r="K53" s="5" t="str">
        <f t="shared" si="0"/>
        <v>within budget</v>
      </c>
    </row>
    <row r="54" spans="1:11" x14ac:dyDescent="0.3">
      <c r="A54" s="6">
        <v>45512</v>
      </c>
      <c r="B54" s="5" t="s">
        <v>25</v>
      </c>
      <c r="C54" s="5" t="s">
        <v>30</v>
      </c>
      <c r="D54" s="5" t="s">
        <v>8</v>
      </c>
      <c r="E54" s="5" t="s">
        <v>17</v>
      </c>
      <c r="F54" s="5">
        <v>3508</v>
      </c>
      <c r="G54" s="5" t="str">
        <f>VLOOKUP(C54,Sheet2!$C$3:$D$12,2,0)</f>
        <v>Fixed</v>
      </c>
      <c r="H54" s="5" t="str">
        <f>IFERROR(VLOOKUP(E54,Sheet2!$G$3:$H$8,2,0),"unkwon")</f>
        <v>online</v>
      </c>
      <c r="I54" s="5">
        <f>VLOOKUP(B54,Sheet2!$J$4:$K$15,2,0)</f>
        <v>8</v>
      </c>
      <c r="J54" s="5">
        <f>IFERROR(VLOOKUP(C54,Sheet2!$M$4:$N$12,2,0),0)</f>
        <v>3000</v>
      </c>
      <c r="K54" s="5" t="str">
        <f t="shared" si="0"/>
        <v>over budget</v>
      </c>
    </row>
    <row r="55" spans="1:11" x14ac:dyDescent="0.3">
      <c r="A55" s="6">
        <v>44956</v>
      </c>
      <c r="B55" s="5" t="s">
        <v>37</v>
      </c>
      <c r="C55" s="5" t="s">
        <v>36</v>
      </c>
      <c r="D55" s="5" t="s">
        <v>31</v>
      </c>
      <c r="E55" s="5" t="s">
        <v>15</v>
      </c>
      <c r="F55" s="5">
        <v>2061</v>
      </c>
      <c r="G55" s="5" t="str">
        <f>VLOOKUP(C55,Sheet2!$C$3:$D$12,2,0)</f>
        <v>Variable</v>
      </c>
      <c r="H55" s="5" t="str">
        <f>IFERROR(VLOOKUP(E55,Sheet2!$G$3:$H$8,2,0),"unkwon")</f>
        <v>online</v>
      </c>
      <c r="I55" s="5">
        <f>VLOOKUP(B55,Sheet2!$J$4:$K$15,2,0)</f>
        <v>1</v>
      </c>
      <c r="J55" s="5">
        <f>IFERROR(VLOOKUP(C55,Sheet2!$M$4:$N$12,2,0),0)</f>
        <v>10000</v>
      </c>
      <c r="K55" s="5" t="str">
        <f t="shared" si="0"/>
        <v>within budget</v>
      </c>
    </row>
    <row r="56" spans="1:11" x14ac:dyDescent="0.3">
      <c r="A56" s="6">
        <v>45181</v>
      </c>
      <c r="B56" s="5" t="s">
        <v>38</v>
      </c>
      <c r="C56" s="5" t="s">
        <v>7</v>
      </c>
      <c r="D56" s="5" t="s">
        <v>8</v>
      </c>
      <c r="E56" s="5" t="s">
        <v>17</v>
      </c>
      <c r="F56" s="5">
        <v>2304</v>
      </c>
      <c r="G56" s="5" t="str">
        <f>VLOOKUP(C56,Sheet2!$C$3:$D$12,2,0)</f>
        <v>Fixed</v>
      </c>
      <c r="H56" s="5" t="str">
        <f>IFERROR(VLOOKUP(E56,Sheet2!$G$3:$H$8,2,0),"unkwon")</f>
        <v>online</v>
      </c>
      <c r="I56" s="5">
        <f>VLOOKUP(B56,Sheet2!$J$4:$K$15,2,0)</f>
        <v>9</v>
      </c>
      <c r="J56" s="5">
        <f>IFERROR(VLOOKUP(C56,Sheet2!$M$4:$N$12,2,0),0)</f>
        <v>2000</v>
      </c>
      <c r="K56" s="5" t="str">
        <f t="shared" si="0"/>
        <v>over budget</v>
      </c>
    </row>
    <row r="57" spans="1:11" x14ac:dyDescent="0.3">
      <c r="A57" s="6">
        <v>45271</v>
      </c>
      <c r="B57" s="5" t="s">
        <v>16</v>
      </c>
      <c r="C57" s="5" t="s">
        <v>22</v>
      </c>
      <c r="D57" s="5" t="s">
        <v>23</v>
      </c>
      <c r="E57" s="5" t="s">
        <v>32</v>
      </c>
      <c r="F57" s="5">
        <v>3160</v>
      </c>
      <c r="G57" s="5" t="str">
        <f>VLOOKUP(C57,Sheet2!$C$3:$D$12,2,0)</f>
        <v>Variable</v>
      </c>
      <c r="H57" s="5" t="str">
        <f>IFERROR(VLOOKUP(E57,Sheet2!$G$3:$H$8,2,0),"unkwon")</f>
        <v>offline</v>
      </c>
      <c r="I57" s="5">
        <f>VLOOKUP(B57,Sheet2!$J$4:$K$15,2,0)</f>
        <v>12</v>
      </c>
      <c r="J57" s="5">
        <f>IFERROR(VLOOKUP(C57,Sheet2!$M$4:$N$12,2,0),0)</f>
        <v>1000</v>
      </c>
      <c r="K57" s="5" t="str">
        <f t="shared" si="0"/>
        <v>over budget</v>
      </c>
    </row>
    <row r="58" spans="1:11" x14ac:dyDescent="0.3">
      <c r="A58" s="6">
        <v>45054</v>
      </c>
      <c r="B58" s="5" t="s">
        <v>28</v>
      </c>
      <c r="C58" s="5" t="s">
        <v>7</v>
      </c>
      <c r="D58" s="5" t="s">
        <v>26</v>
      </c>
      <c r="E58" s="5" t="s">
        <v>15</v>
      </c>
      <c r="F58" s="5">
        <v>2308</v>
      </c>
      <c r="G58" s="5" t="str">
        <f>VLOOKUP(C58,Sheet2!$C$3:$D$12,2,0)</f>
        <v>Fixed</v>
      </c>
      <c r="H58" s="5" t="str">
        <f>IFERROR(VLOOKUP(E58,Sheet2!$G$3:$H$8,2,0),"unkwon")</f>
        <v>online</v>
      </c>
      <c r="I58" s="5">
        <f>VLOOKUP(B58,Sheet2!$J$4:$K$15,2,0)</f>
        <v>5</v>
      </c>
      <c r="J58" s="5">
        <f>IFERROR(VLOOKUP(C58,Sheet2!$M$4:$N$12,2,0),0)</f>
        <v>2000</v>
      </c>
      <c r="K58" s="5" t="str">
        <f t="shared" si="0"/>
        <v>over budget</v>
      </c>
    </row>
    <row r="59" spans="1:11" x14ac:dyDescent="0.3">
      <c r="A59" s="6">
        <v>45372</v>
      </c>
      <c r="B59" s="5" t="s">
        <v>19</v>
      </c>
      <c r="C59" s="5" t="s">
        <v>30</v>
      </c>
      <c r="D59" s="5" t="s">
        <v>23</v>
      </c>
      <c r="E59" s="5" t="s">
        <v>17</v>
      </c>
      <c r="F59" s="5">
        <v>1174</v>
      </c>
      <c r="G59" s="5" t="str">
        <f>VLOOKUP(C59,Sheet2!$C$3:$D$12,2,0)</f>
        <v>Fixed</v>
      </c>
      <c r="H59" s="5" t="str">
        <f>IFERROR(VLOOKUP(E59,Sheet2!$G$3:$H$8,2,0),"unkwon")</f>
        <v>online</v>
      </c>
      <c r="I59" s="5">
        <f>VLOOKUP(B59,Sheet2!$J$4:$K$15,2,0)</f>
        <v>3</v>
      </c>
      <c r="J59" s="5">
        <f>IFERROR(VLOOKUP(C59,Sheet2!$M$4:$N$12,2,0),0)</f>
        <v>3000</v>
      </c>
      <c r="K59" s="5" t="str">
        <f t="shared" si="0"/>
        <v>within budget</v>
      </c>
    </row>
    <row r="60" spans="1:11" x14ac:dyDescent="0.3">
      <c r="A60" s="6">
        <v>45206</v>
      </c>
      <c r="B60" s="5" t="s">
        <v>6</v>
      </c>
      <c r="C60" s="5" t="s">
        <v>30</v>
      </c>
      <c r="D60" s="5" t="s">
        <v>26</v>
      </c>
      <c r="E60" s="5" t="s">
        <v>32</v>
      </c>
      <c r="F60" s="5">
        <v>1726</v>
      </c>
      <c r="G60" s="5" t="str">
        <f>VLOOKUP(C60,Sheet2!$C$3:$D$12,2,0)</f>
        <v>Fixed</v>
      </c>
      <c r="H60" s="5" t="str">
        <f>IFERROR(VLOOKUP(E60,Sheet2!$G$3:$H$8,2,0),"unkwon")</f>
        <v>offline</v>
      </c>
      <c r="I60" s="5">
        <f>VLOOKUP(B60,Sheet2!$J$4:$K$15,2,0)</f>
        <v>10</v>
      </c>
      <c r="J60" s="5">
        <f>IFERROR(VLOOKUP(C60,Sheet2!$M$4:$N$12,2,0),0)</f>
        <v>3000</v>
      </c>
      <c r="K60" s="5" t="str">
        <f t="shared" si="0"/>
        <v>within budget</v>
      </c>
    </row>
    <row r="61" spans="1:11" x14ac:dyDescent="0.3">
      <c r="A61" s="6">
        <v>45577</v>
      </c>
      <c r="B61" s="5" t="s">
        <v>6</v>
      </c>
      <c r="C61" s="5" t="s">
        <v>41</v>
      </c>
      <c r="D61" s="5" t="s">
        <v>20</v>
      </c>
      <c r="E61" s="5" t="s">
        <v>9</v>
      </c>
      <c r="F61" s="5">
        <v>4494</v>
      </c>
      <c r="G61" s="5" t="str">
        <f>VLOOKUP(C61,Sheet2!$C$3:$D$12,2,0)</f>
        <v>Variable</v>
      </c>
      <c r="H61" s="5" t="str">
        <f>IFERROR(VLOOKUP(E61,Sheet2!$G$3:$H$8,2,0),"unkwon")</f>
        <v>online</v>
      </c>
      <c r="I61" s="5">
        <f>VLOOKUP(B61,Sheet2!$J$4:$K$15,2,0)</f>
        <v>10</v>
      </c>
      <c r="J61" s="5">
        <f>IFERROR(VLOOKUP(C61,Sheet2!$M$4:$N$12,2,0),0)</f>
        <v>7000</v>
      </c>
      <c r="K61" s="5" t="str">
        <f t="shared" si="0"/>
        <v>within budget</v>
      </c>
    </row>
    <row r="62" spans="1:11" x14ac:dyDescent="0.3">
      <c r="A62" s="6">
        <v>45128</v>
      </c>
      <c r="B62" s="5" t="s">
        <v>21</v>
      </c>
      <c r="C62" s="5" t="s">
        <v>22</v>
      </c>
      <c r="D62" s="5" t="s">
        <v>8</v>
      </c>
      <c r="E62" s="5" t="s">
        <v>12</v>
      </c>
      <c r="F62" s="5">
        <v>1328</v>
      </c>
      <c r="G62" s="5" t="str">
        <f>VLOOKUP(C62,Sheet2!$C$3:$D$12,2,0)</f>
        <v>Variable</v>
      </c>
      <c r="H62" s="5" t="str">
        <f>IFERROR(VLOOKUP(E62,Sheet2!$G$3:$H$8,2,0),"unkwon")</f>
        <v>online</v>
      </c>
      <c r="I62" s="5">
        <f>VLOOKUP(B62,Sheet2!$J$4:$K$15,2,0)</f>
        <v>7</v>
      </c>
      <c r="J62" s="5">
        <f>IFERROR(VLOOKUP(C62,Sheet2!$M$4:$N$12,2,0),0)</f>
        <v>1000</v>
      </c>
      <c r="K62" s="5" t="str">
        <f t="shared" si="0"/>
        <v>over budget</v>
      </c>
    </row>
    <row r="63" spans="1:11" x14ac:dyDescent="0.3">
      <c r="A63" s="6">
        <v>45103</v>
      </c>
      <c r="B63" s="5" t="s">
        <v>39</v>
      </c>
      <c r="C63" s="5" t="s">
        <v>36</v>
      </c>
      <c r="D63" s="5" t="s">
        <v>18</v>
      </c>
      <c r="E63" s="5" t="s">
        <v>17</v>
      </c>
      <c r="F63" s="5">
        <v>1258</v>
      </c>
      <c r="G63" s="5" t="str">
        <f>VLOOKUP(C63,Sheet2!$C$3:$D$12,2,0)</f>
        <v>Variable</v>
      </c>
      <c r="H63" s="5" t="str">
        <f>IFERROR(VLOOKUP(E63,Sheet2!$G$3:$H$8,2,0),"unkwon")</f>
        <v>online</v>
      </c>
      <c r="I63" s="5">
        <f>VLOOKUP(B63,Sheet2!$J$4:$K$15,2,0)</f>
        <v>6</v>
      </c>
      <c r="J63" s="5">
        <f>IFERROR(VLOOKUP(C63,Sheet2!$M$4:$N$12,2,0),0)</f>
        <v>10000</v>
      </c>
      <c r="K63" s="5" t="str">
        <f t="shared" si="0"/>
        <v>within budget</v>
      </c>
    </row>
    <row r="64" spans="1:11" x14ac:dyDescent="0.3">
      <c r="A64" s="6">
        <v>45359</v>
      </c>
      <c r="B64" s="5" t="s">
        <v>19</v>
      </c>
      <c r="C64" s="5" t="s">
        <v>30</v>
      </c>
      <c r="D64" s="5" t="s">
        <v>23</v>
      </c>
      <c r="E64" s="5" t="s">
        <v>12</v>
      </c>
      <c r="F64" s="5">
        <v>4642</v>
      </c>
      <c r="G64" s="5" t="str">
        <f>VLOOKUP(C64,Sheet2!$C$3:$D$12,2,0)</f>
        <v>Fixed</v>
      </c>
      <c r="H64" s="5" t="str">
        <f>IFERROR(VLOOKUP(E64,Sheet2!$G$3:$H$8,2,0),"unkwon")</f>
        <v>online</v>
      </c>
      <c r="I64" s="5">
        <f>VLOOKUP(B64,Sheet2!$J$4:$K$15,2,0)</f>
        <v>3</v>
      </c>
      <c r="J64" s="5">
        <f>IFERROR(VLOOKUP(C64,Sheet2!$M$4:$N$12,2,0),0)</f>
        <v>3000</v>
      </c>
      <c r="K64" s="5" t="str">
        <f t="shared" si="0"/>
        <v>over budget</v>
      </c>
    </row>
    <row r="65" spans="1:11" x14ac:dyDescent="0.3">
      <c r="A65" s="6">
        <v>45393</v>
      </c>
      <c r="B65" s="5" t="s">
        <v>29</v>
      </c>
      <c r="C65" s="5" t="s">
        <v>7</v>
      </c>
      <c r="D65" s="5" t="s">
        <v>20</v>
      </c>
      <c r="E65" s="5" t="s">
        <v>9</v>
      </c>
      <c r="F65" s="5">
        <v>1586</v>
      </c>
      <c r="G65" s="5" t="str">
        <f>VLOOKUP(C65,Sheet2!$C$3:$D$12,2,0)</f>
        <v>Fixed</v>
      </c>
      <c r="H65" s="5" t="str">
        <f>IFERROR(VLOOKUP(E65,Sheet2!$G$3:$H$8,2,0),"unkwon")</f>
        <v>online</v>
      </c>
      <c r="I65" s="5">
        <f>VLOOKUP(B65,Sheet2!$J$4:$K$15,2,0)</f>
        <v>4</v>
      </c>
      <c r="J65" s="5">
        <f>IFERROR(VLOOKUP(C65,Sheet2!$M$4:$N$12,2,0),0)</f>
        <v>2000</v>
      </c>
      <c r="K65" s="5" t="str">
        <f t="shared" si="0"/>
        <v>within budget</v>
      </c>
    </row>
    <row r="66" spans="1:11" x14ac:dyDescent="0.3">
      <c r="A66" s="6">
        <v>45043</v>
      </c>
      <c r="B66" s="5" t="s">
        <v>29</v>
      </c>
      <c r="C66" s="5" t="s">
        <v>27</v>
      </c>
      <c r="D66" s="5" t="s">
        <v>34</v>
      </c>
      <c r="E66" s="5" t="s">
        <v>12</v>
      </c>
      <c r="F66" s="5">
        <v>2576</v>
      </c>
      <c r="G66" s="5" t="str">
        <f>VLOOKUP(C66,Sheet2!$C$3:$D$12,2,0)</f>
        <v>Variable</v>
      </c>
      <c r="H66" s="5" t="str">
        <f>IFERROR(VLOOKUP(E66,Sheet2!$G$3:$H$8,2,0),"unkwon")</f>
        <v>online</v>
      </c>
      <c r="I66" s="5">
        <f>VLOOKUP(B66,Sheet2!$J$4:$K$15,2,0)</f>
        <v>4</v>
      </c>
      <c r="J66" s="5">
        <f>IFERROR(VLOOKUP(C66,Sheet2!$M$4:$N$12,2,0),0)</f>
        <v>4000</v>
      </c>
      <c r="K66" s="5" t="str">
        <f t="shared" si="0"/>
        <v>within budget</v>
      </c>
    </row>
    <row r="67" spans="1:11" x14ac:dyDescent="0.3">
      <c r="A67" s="6">
        <v>45045</v>
      </c>
      <c r="B67" s="5" t="s">
        <v>29</v>
      </c>
      <c r="C67" s="5" t="s">
        <v>30</v>
      </c>
      <c r="D67" s="5" t="s">
        <v>23</v>
      </c>
      <c r="E67" s="5" t="s">
        <v>12</v>
      </c>
      <c r="F67" s="5">
        <v>1443</v>
      </c>
      <c r="G67" s="5" t="str">
        <f>VLOOKUP(C67,Sheet2!$C$3:$D$12,2,0)</f>
        <v>Fixed</v>
      </c>
      <c r="H67" s="5" t="str">
        <f>IFERROR(VLOOKUP(E67,Sheet2!$G$3:$H$8,2,0),"unkwon")</f>
        <v>online</v>
      </c>
      <c r="I67" s="5">
        <f>VLOOKUP(B67,Sheet2!$J$4:$K$15,2,0)</f>
        <v>4</v>
      </c>
      <c r="J67" s="5">
        <f>IFERROR(VLOOKUP(C67,Sheet2!$M$4:$N$12,2,0),0)</f>
        <v>3000</v>
      </c>
      <c r="K67" s="5" t="str">
        <f t="shared" ref="K67:K130" si="1">IF(F67&gt;J67,"over budget","within budget")</f>
        <v>within budget</v>
      </c>
    </row>
    <row r="68" spans="1:11" x14ac:dyDescent="0.3">
      <c r="A68" s="6">
        <v>45599</v>
      </c>
      <c r="B68" s="5" t="s">
        <v>40</v>
      </c>
      <c r="C68" s="5" t="s">
        <v>36</v>
      </c>
      <c r="D68" s="5" t="s">
        <v>14</v>
      </c>
      <c r="E68" s="5" t="s">
        <v>17</v>
      </c>
      <c r="F68" s="5">
        <v>3311</v>
      </c>
      <c r="G68" s="5" t="str">
        <f>VLOOKUP(C68,Sheet2!$C$3:$D$12,2,0)</f>
        <v>Variable</v>
      </c>
      <c r="H68" s="5" t="str">
        <f>IFERROR(VLOOKUP(E68,Sheet2!$G$3:$H$8,2,0),"unkwon")</f>
        <v>online</v>
      </c>
      <c r="I68" s="5">
        <f>VLOOKUP(B68,Sheet2!$J$4:$K$15,2,0)</f>
        <v>11</v>
      </c>
      <c r="J68" s="5">
        <f>IFERROR(VLOOKUP(C68,Sheet2!$M$4:$N$12,2,0),0)</f>
        <v>10000</v>
      </c>
      <c r="K68" s="5" t="str">
        <f t="shared" si="1"/>
        <v>within budget</v>
      </c>
    </row>
    <row r="69" spans="1:11" x14ac:dyDescent="0.3">
      <c r="A69" s="6">
        <v>45152</v>
      </c>
      <c r="B69" s="5" t="s">
        <v>25</v>
      </c>
      <c r="C69" s="5" t="s">
        <v>36</v>
      </c>
      <c r="D69" s="5" t="s">
        <v>23</v>
      </c>
      <c r="E69" s="5" t="s">
        <v>17</v>
      </c>
      <c r="F69" s="5">
        <v>4866</v>
      </c>
      <c r="G69" s="5" t="str">
        <f>VLOOKUP(C69,Sheet2!$C$3:$D$12,2,0)</f>
        <v>Variable</v>
      </c>
      <c r="H69" s="5" t="str">
        <f>IFERROR(VLOOKUP(E69,Sheet2!$G$3:$H$8,2,0),"unkwon")</f>
        <v>online</v>
      </c>
      <c r="I69" s="5">
        <f>VLOOKUP(B69,Sheet2!$J$4:$K$15,2,0)</f>
        <v>8</v>
      </c>
      <c r="J69" s="5">
        <f>IFERROR(VLOOKUP(C69,Sheet2!$M$4:$N$12,2,0),0)</f>
        <v>10000</v>
      </c>
      <c r="K69" s="5" t="str">
        <f t="shared" si="1"/>
        <v>within budget</v>
      </c>
    </row>
    <row r="70" spans="1:11" x14ac:dyDescent="0.3">
      <c r="A70" s="6">
        <v>44982</v>
      </c>
      <c r="B70" s="5" t="s">
        <v>33</v>
      </c>
      <c r="C70" s="5" t="s">
        <v>22</v>
      </c>
      <c r="D70" s="5" t="s">
        <v>23</v>
      </c>
      <c r="E70" s="5" t="s">
        <v>9</v>
      </c>
      <c r="F70" s="5">
        <v>1363</v>
      </c>
      <c r="G70" s="5" t="str">
        <f>VLOOKUP(C70,Sheet2!$C$3:$D$12,2,0)</f>
        <v>Variable</v>
      </c>
      <c r="H70" s="5" t="str">
        <f>IFERROR(VLOOKUP(E70,Sheet2!$G$3:$H$8,2,0),"unkwon")</f>
        <v>online</v>
      </c>
      <c r="I70" s="5">
        <f>VLOOKUP(B70,Sheet2!$J$4:$K$15,2,0)</f>
        <v>2</v>
      </c>
      <c r="J70" s="5">
        <f>IFERROR(VLOOKUP(C70,Sheet2!$M$4:$N$12,2,0),0)</f>
        <v>1000</v>
      </c>
      <c r="K70" s="5" t="str">
        <f t="shared" si="1"/>
        <v>over budget</v>
      </c>
    </row>
    <row r="71" spans="1:11" x14ac:dyDescent="0.3">
      <c r="A71" s="6">
        <v>45205</v>
      </c>
      <c r="B71" s="5" t="s">
        <v>6</v>
      </c>
      <c r="C71" s="5" t="s">
        <v>30</v>
      </c>
      <c r="D71" s="5" t="s">
        <v>23</v>
      </c>
      <c r="E71" s="5" t="s">
        <v>9</v>
      </c>
      <c r="F71" s="5">
        <v>4201</v>
      </c>
      <c r="G71" s="5" t="str">
        <f>VLOOKUP(C71,Sheet2!$C$3:$D$12,2,0)</f>
        <v>Fixed</v>
      </c>
      <c r="H71" s="5" t="str">
        <f>IFERROR(VLOOKUP(E71,Sheet2!$G$3:$H$8,2,0),"unkwon")</f>
        <v>online</v>
      </c>
      <c r="I71" s="5">
        <f>VLOOKUP(B71,Sheet2!$J$4:$K$15,2,0)</f>
        <v>10</v>
      </c>
      <c r="J71" s="5">
        <f>IFERROR(VLOOKUP(C71,Sheet2!$M$4:$N$12,2,0),0)</f>
        <v>3000</v>
      </c>
      <c r="K71" s="5" t="str">
        <f t="shared" si="1"/>
        <v>over budget</v>
      </c>
    </row>
    <row r="72" spans="1:11" x14ac:dyDescent="0.3">
      <c r="A72" s="6">
        <v>45467</v>
      </c>
      <c r="B72" s="5" t="s">
        <v>39</v>
      </c>
      <c r="C72" s="5" t="s">
        <v>36</v>
      </c>
      <c r="D72" s="5" t="s">
        <v>34</v>
      </c>
      <c r="E72" s="5" t="s">
        <v>17</v>
      </c>
      <c r="F72" s="5">
        <v>1755</v>
      </c>
      <c r="G72" s="5" t="str">
        <f>VLOOKUP(C72,Sheet2!$C$3:$D$12,2,0)</f>
        <v>Variable</v>
      </c>
      <c r="H72" s="5" t="str">
        <f>IFERROR(VLOOKUP(E72,Sheet2!$G$3:$H$8,2,0),"unkwon")</f>
        <v>online</v>
      </c>
      <c r="I72" s="5">
        <f>VLOOKUP(B72,Sheet2!$J$4:$K$15,2,0)</f>
        <v>6</v>
      </c>
      <c r="J72" s="5">
        <f>IFERROR(VLOOKUP(C72,Sheet2!$M$4:$N$12,2,0),0)</f>
        <v>10000</v>
      </c>
      <c r="K72" s="5" t="str">
        <f t="shared" si="1"/>
        <v>within budget</v>
      </c>
    </row>
    <row r="73" spans="1:11" x14ac:dyDescent="0.3">
      <c r="A73" s="6">
        <v>44982</v>
      </c>
      <c r="B73" s="5" t="s">
        <v>33</v>
      </c>
      <c r="C73" s="5" t="s">
        <v>10</v>
      </c>
      <c r="D73" s="5" t="s">
        <v>23</v>
      </c>
      <c r="E73" s="5" t="s">
        <v>32</v>
      </c>
      <c r="F73" s="5">
        <v>1356</v>
      </c>
      <c r="G73" s="5" t="str">
        <f>VLOOKUP(C73,Sheet2!$C$3:$D$12,2,0)</f>
        <v>Variable</v>
      </c>
      <c r="H73" s="5" t="str">
        <f>IFERROR(VLOOKUP(E73,Sheet2!$G$3:$H$8,2,0),"unkwon")</f>
        <v>offline</v>
      </c>
      <c r="I73" s="5">
        <f>VLOOKUP(B73,Sheet2!$J$4:$K$15,2,0)</f>
        <v>2</v>
      </c>
      <c r="J73" s="5">
        <f>IFERROR(VLOOKUP(C73,Sheet2!$M$4:$N$12,2,0),0)</f>
        <v>5000</v>
      </c>
      <c r="K73" s="5" t="str">
        <f t="shared" si="1"/>
        <v>within budget</v>
      </c>
    </row>
    <row r="74" spans="1:11" x14ac:dyDescent="0.3">
      <c r="A74" s="6">
        <v>45263</v>
      </c>
      <c r="B74" s="5" t="s">
        <v>16</v>
      </c>
      <c r="C74" s="5" t="s">
        <v>41</v>
      </c>
      <c r="D74" s="5" t="s">
        <v>14</v>
      </c>
      <c r="E74" s="5" t="s">
        <v>17</v>
      </c>
      <c r="F74" s="5">
        <v>1423</v>
      </c>
      <c r="G74" s="5" t="str">
        <f>VLOOKUP(C74,Sheet2!$C$3:$D$12,2,0)</f>
        <v>Variable</v>
      </c>
      <c r="H74" s="5" t="str">
        <f>IFERROR(VLOOKUP(E74,Sheet2!$G$3:$H$8,2,0),"unkwon")</f>
        <v>online</v>
      </c>
      <c r="I74" s="5">
        <f>VLOOKUP(B74,Sheet2!$J$4:$K$15,2,0)</f>
        <v>12</v>
      </c>
      <c r="J74" s="5">
        <f>IFERROR(VLOOKUP(C74,Sheet2!$M$4:$N$12,2,0),0)</f>
        <v>7000</v>
      </c>
      <c r="K74" s="5" t="str">
        <f t="shared" si="1"/>
        <v>within budget</v>
      </c>
    </row>
    <row r="75" spans="1:11" x14ac:dyDescent="0.3">
      <c r="A75" s="6">
        <v>45488</v>
      </c>
      <c r="B75" s="5" t="s">
        <v>21</v>
      </c>
      <c r="C75" s="5" t="s">
        <v>22</v>
      </c>
      <c r="D75" s="5" t="s">
        <v>14</v>
      </c>
      <c r="E75" s="5" t="s">
        <v>32</v>
      </c>
      <c r="F75" s="5">
        <v>4387</v>
      </c>
      <c r="G75" s="5" t="str">
        <f>VLOOKUP(C75,Sheet2!$C$3:$D$12,2,0)</f>
        <v>Variable</v>
      </c>
      <c r="H75" s="5" t="str">
        <f>IFERROR(VLOOKUP(E75,Sheet2!$G$3:$H$8,2,0),"unkwon")</f>
        <v>offline</v>
      </c>
      <c r="I75" s="5">
        <f>VLOOKUP(B75,Sheet2!$J$4:$K$15,2,0)</f>
        <v>7</v>
      </c>
      <c r="J75" s="5">
        <f>IFERROR(VLOOKUP(C75,Sheet2!$M$4:$N$12,2,0),0)</f>
        <v>1000</v>
      </c>
      <c r="K75" s="5" t="str">
        <f t="shared" si="1"/>
        <v>over budget</v>
      </c>
    </row>
    <row r="76" spans="1:11" x14ac:dyDescent="0.3">
      <c r="A76" s="6">
        <v>45513</v>
      </c>
      <c r="B76" s="5" t="s">
        <v>25</v>
      </c>
      <c r="C76" s="5" t="s">
        <v>35</v>
      </c>
      <c r="D76" s="5" t="s">
        <v>18</v>
      </c>
      <c r="E76" s="5" t="s">
        <v>15</v>
      </c>
      <c r="F76" s="5">
        <v>963</v>
      </c>
      <c r="G76" s="5" t="str">
        <f>VLOOKUP(C76,Sheet2!$C$3:$D$12,2,0)</f>
        <v>Fixed</v>
      </c>
      <c r="H76" s="5" t="str">
        <f>IFERROR(VLOOKUP(E76,Sheet2!$G$3:$H$8,2,0),"unkwon")</f>
        <v>online</v>
      </c>
      <c r="I76" s="5">
        <f>VLOOKUP(B76,Sheet2!$J$4:$K$15,2,0)</f>
        <v>8</v>
      </c>
      <c r="J76" s="5">
        <f>IFERROR(VLOOKUP(C76,Sheet2!$M$4:$N$12,2,0),0)</f>
        <v>5500</v>
      </c>
      <c r="K76" s="5" t="str">
        <f t="shared" si="1"/>
        <v>within budget</v>
      </c>
    </row>
    <row r="77" spans="1:11" x14ac:dyDescent="0.3">
      <c r="A77" s="6">
        <v>45657</v>
      </c>
      <c r="B77" s="5" t="s">
        <v>16</v>
      </c>
      <c r="C77" s="5" t="s">
        <v>36</v>
      </c>
      <c r="D77" s="5" t="s">
        <v>11</v>
      </c>
      <c r="E77" s="5" t="s">
        <v>15</v>
      </c>
      <c r="F77" s="5">
        <v>992</v>
      </c>
      <c r="G77" s="5" t="str">
        <f>VLOOKUP(C77,Sheet2!$C$3:$D$12,2,0)</f>
        <v>Variable</v>
      </c>
      <c r="H77" s="5" t="str">
        <f>IFERROR(VLOOKUP(E77,Sheet2!$G$3:$H$8,2,0),"unkwon")</f>
        <v>online</v>
      </c>
      <c r="I77" s="5">
        <f>VLOOKUP(B77,Sheet2!$J$4:$K$15,2,0)</f>
        <v>12</v>
      </c>
      <c r="J77" s="5">
        <f>IFERROR(VLOOKUP(C77,Sheet2!$M$4:$N$12,2,0),0)</f>
        <v>10000</v>
      </c>
      <c r="K77" s="5" t="str">
        <f t="shared" si="1"/>
        <v>within budget</v>
      </c>
    </row>
    <row r="78" spans="1:11" x14ac:dyDescent="0.3">
      <c r="A78" s="6">
        <v>44949</v>
      </c>
      <c r="B78" s="5" t="s">
        <v>37</v>
      </c>
      <c r="C78" s="5" t="s">
        <v>36</v>
      </c>
      <c r="D78" s="5" t="s">
        <v>26</v>
      </c>
      <c r="E78" s="5" t="s">
        <v>17</v>
      </c>
      <c r="F78" s="5">
        <v>2758</v>
      </c>
      <c r="G78" s="5" t="str">
        <f>VLOOKUP(C78,Sheet2!$C$3:$D$12,2,0)</f>
        <v>Variable</v>
      </c>
      <c r="H78" s="5" t="str">
        <f>IFERROR(VLOOKUP(E78,Sheet2!$G$3:$H$8,2,0),"unkwon")</f>
        <v>online</v>
      </c>
      <c r="I78" s="5">
        <f>VLOOKUP(B78,Sheet2!$J$4:$K$15,2,0)</f>
        <v>1</v>
      </c>
      <c r="J78" s="5">
        <f>IFERROR(VLOOKUP(C78,Sheet2!$M$4:$N$12,2,0),0)</f>
        <v>10000</v>
      </c>
      <c r="K78" s="5" t="str">
        <f t="shared" si="1"/>
        <v>within budget</v>
      </c>
    </row>
    <row r="79" spans="1:11" x14ac:dyDescent="0.3">
      <c r="A79" s="6">
        <v>45308</v>
      </c>
      <c r="B79" s="5" t="s">
        <v>37</v>
      </c>
      <c r="C79" s="5" t="s">
        <v>13</v>
      </c>
      <c r="D79" s="5" t="s">
        <v>34</v>
      </c>
      <c r="E79" s="5" t="s">
        <v>15</v>
      </c>
      <c r="F79" s="5">
        <v>3313</v>
      </c>
      <c r="G79" s="5" t="str">
        <f>VLOOKUP(C79,Sheet2!$C$3:$D$12,2,0)</f>
        <v>Variable</v>
      </c>
      <c r="H79" s="5" t="str">
        <f>IFERROR(VLOOKUP(E79,Sheet2!$G$3:$H$8,2,0),"unkwon")</f>
        <v>online</v>
      </c>
      <c r="I79" s="5">
        <f>VLOOKUP(B79,Sheet2!$J$4:$K$15,2,0)</f>
        <v>1</v>
      </c>
      <c r="J79" s="5">
        <f>IFERROR(VLOOKUP(C79,Sheet2!$M$4:$N$12,2,0),0)</f>
        <v>5000</v>
      </c>
      <c r="K79" s="5" t="str">
        <f t="shared" si="1"/>
        <v>within budget</v>
      </c>
    </row>
    <row r="80" spans="1:11" x14ac:dyDescent="0.3">
      <c r="A80" s="6">
        <v>45024</v>
      </c>
      <c r="B80" s="5" t="s">
        <v>29</v>
      </c>
      <c r="C80" s="5" t="s">
        <v>22</v>
      </c>
      <c r="D80" s="5" t="s">
        <v>26</v>
      </c>
      <c r="E80" s="5" t="s">
        <v>17</v>
      </c>
      <c r="F80" s="5">
        <v>1316</v>
      </c>
      <c r="G80" s="5" t="str">
        <f>VLOOKUP(C80,Sheet2!$C$3:$D$12,2,0)</f>
        <v>Variable</v>
      </c>
      <c r="H80" s="5" t="str">
        <f>IFERROR(VLOOKUP(E80,Sheet2!$G$3:$H$8,2,0),"unkwon")</f>
        <v>online</v>
      </c>
      <c r="I80" s="5">
        <f>VLOOKUP(B80,Sheet2!$J$4:$K$15,2,0)</f>
        <v>4</v>
      </c>
      <c r="J80" s="5">
        <f>IFERROR(VLOOKUP(C80,Sheet2!$M$4:$N$12,2,0),0)</f>
        <v>1000</v>
      </c>
      <c r="K80" s="5" t="str">
        <f t="shared" si="1"/>
        <v>over budget</v>
      </c>
    </row>
    <row r="81" spans="1:11" x14ac:dyDescent="0.3">
      <c r="A81" s="6">
        <v>45570</v>
      </c>
      <c r="B81" s="5" t="s">
        <v>6</v>
      </c>
      <c r="C81" s="5" t="s">
        <v>22</v>
      </c>
      <c r="D81" s="5" t="s">
        <v>26</v>
      </c>
      <c r="E81" s="5" t="s">
        <v>15</v>
      </c>
      <c r="F81" s="5">
        <v>585</v>
      </c>
      <c r="G81" s="5" t="str">
        <f>VLOOKUP(C81,Sheet2!$C$3:$D$12,2,0)</f>
        <v>Variable</v>
      </c>
      <c r="H81" s="5" t="str">
        <f>IFERROR(VLOOKUP(E81,Sheet2!$G$3:$H$8,2,0),"unkwon")</f>
        <v>online</v>
      </c>
      <c r="I81" s="5">
        <f>VLOOKUP(B81,Sheet2!$J$4:$K$15,2,0)</f>
        <v>10</v>
      </c>
      <c r="J81" s="5">
        <f>IFERROR(VLOOKUP(C81,Sheet2!$M$4:$N$12,2,0),0)</f>
        <v>1000</v>
      </c>
      <c r="K81" s="5" t="str">
        <f t="shared" si="1"/>
        <v>within budget</v>
      </c>
    </row>
    <row r="82" spans="1:11" x14ac:dyDescent="0.3">
      <c r="A82" s="6">
        <v>45142</v>
      </c>
      <c r="B82" s="5" t="s">
        <v>25</v>
      </c>
      <c r="C82" s="5" t="s">
        <v>22</v>
      </c>
      <c r="D82" s="5" t="s">
        <v>31</v>
      </c>
      <c r="E82" s="5" t="s">
        <v>15</v>
      </c>
      <c r="F82" s="5">
        <v>4264</v>
      </c>
      <c r="G82" s="5" t="str">
        <f>VLOOKUP(C82,Sheet2!$C$3:$D$12,2,0)</f>
        <v>Variable</v>
      </c>
      <c r="H82" s="5" t="str">
        <f>IFERROR(VLOOKUP(E82,Sheet2!$G$3:$H$8,2,0),"unkwon")</f>
        <v>online</v>
      </c>
      <c r="I82" s="5">
        <f>VLOOKUP(B82,Sheet2!$J$4:$K$15,2,0)</f>
        <v>8</v>
      </c>
      <c r="J82" s="5">
        <f>IFERROR(VLOOKUP(C82,Sheet2!$M$4:$N$12,2,0),0)</f>
        <v>1000</v>
      </c>
      <c r="K82" s="5" t="str">
        <f t="shared" si="1"/>
        <v>over budget</v>
      </c>
    </row>
    <row r="83" spans="1:11" x14ac:dyDescent="0.3">
      <c r="A83" s="6">
        <v>45633</v>
      </c>
      <c r="B83" s="5" t="s">
        <v>16</v>
      </c>
      <c r="C83" s="5" t="s">
        <v>30</v>
      </c>
      <c r="D83" s="5" t="s">
        <v>14</v>
      </c>
      <c r="E83" s="5" t="s">
        <v>9</v>
      </c>
      <c r="F83" s="5">
        <v>4844</v>
      </c>
      <c r="G83" s="5" t="str">
        <f>VLOOKUP(C83,Sheet2!$C$3:$D$12,2,0)</f>
        <v>Fixed</v>
      </c>
      <c r="H83" s="5" t="str">
        <f>IFERROR(VLOOKUP(E83,Sheet2!$G$3:$H$8,2,0),"unkwon")</f>
        <v>online</v>
      </c>
      <c r="I83" s="5">
        <f>VLOOKUP(B83,Sheet2!$J$4:$K$15,2,0)</f>
        <v>12</v>
      </c>
      <c r="J83" s="5">
        <f>IFERROR(VLOOKUP(C83,Sheet2!$M$4:$N$12,2,0),0)</f>
        <v>3000</v>
      </c>
      <c r="K83" s="5" t="str">
        <f t="shared" si="1"/>
        <v>over budget</v>
      </c>
    </row>
    <row r="84" spans="1:11" x14ac:dyDescent="0.3">
      <c r="A84" s="6">
        <v>45621</v>
      </c>
      <c r="B84" s="5" t="s">
        <v>40</v>
      </c>
      <c r="C84" s="5" t="s">
        <v>41</v>
      </c>
      <c r="D84" s="5" t="s">
        <v>14</v>
      </c>
      <c r="E84" s="5" t="s">
        <v>17</v>
      </c>
      <c r="F84" s="5">
        <v>4184</v>
      </c>
      <c r="G84" s="5" t="str">
        <f>VLOOKUP(C84,Sheet2!$C$3:$D$12,2,0)</f>
        <v>Variable</v>
      </c>
      <c r="H84" s="5" t="str">
        <f>IFERROR(VLOOKUP(E84,Sheet2!$G$3:$H$8,2,0),"unkwon")</f>
        <v>online</v>
      </c>
      <c r="I84" s="5">
        <f>VLOOKUP(B84,Sheet2!$J$4:$K$15,2,0)</f>
        <v>11</v>
      </c>
      <c r="J84" s="5">
        <f>IFERROR(VLOOKUP(C84,Sheet2!$M$4:$N$12,2,0),0)</f>
        <v>7000</v>
      </c>
      <c r="K84" s="5" t="str">
        <f t="shared" si="1"/>
        <v>within budget</v>
      </c>
    </row>
    <row r="85" spans="1:11" x14ac:dyDescent="0.3">
      <c r="A85" s="6">
        <v>45570</v>
      </c>
      <c r="B85" s="5" t="s">
        <v>6</v>
      </c>
      <c r="C85" s="5" t="s">
        <v>27</v>
      </c>
      <c r="D85" s="5" t="s">
        <v>23</v>
      </c>
      <c r="E85" s="5" t="s">
        <v>15</v>
      </c>
      <c r="F85" s="5">
        <v>3672</v>
      </c>
      <c r="G85" s="5" t="str">
        <f>VLOOKUP(C85,Sheet2!$C$3:$D$12,2,0)</f>
        <v>Variable</v>
      </c>
      <c r="H85" s="5" t="str">
        <f>IFERROR(VLOOKUP(E85,Sheet2!$G$3:$H$8,2,0),"unkwon")</f>
        <v>online</v>
      </c>
      <c r="I85" s="5">
        <f>VLOOKUP(B85,Sheet2!$J$4:$K$15,2,0)</f>
        <v>10</v>
      </c>
      <c r="J85" s="5">
        <f>IFERROR(VLOOKUP(C85,Sheet2!$M$4:$N$12,2,0),0)</f>
        <v>4000</v>
      </c>
      <c r="K85" s="5" t="str">
        <f t="shared" si="1"/>
        <v>within budget</v>
      </c>
    </row>
    <row r="86" spans="1:11" x14ac:dyDescent="0.3">
      <c r="A86" s="6">
        <v>45024</v>
      </c>
      <c r="B86" s="5" t="s">
        <v>29</v>
      </c>
      <c r="C86" s="5" t="s">
        <v>10</v>
      </c>
      <c r="D86" s="5" t="s">
        <v>14</v>
      </c>
      <c r="E86" s="5" t="s">
        <v>12</v>
      </c>
      <c r="F86" s="5">
        <v>4791</v>
      </c>
      <c r="G86" s="5" t="str">
        <f>VLOOKUP(C86,Sheet2!$C$3:$D$12,2,0)</f>
        <v>Variable</v>
      </c>
      <c r="H86" s="5" t="str">
        <f>IFERROR(VLOOKUP(E86,Sheet2!$G$3:$H$8,2,0),"unkwon")</f>
        <v>online</v>
      </c>
      <c r="I86" s="5">
        <f>VLOOKUP(B86,Sheet2!$J$4:$K$15,2,0)</f>
        <v>4</v>
      </c>
      <c r="J86" s="5">
        <f>IFERROR(VLOOKUP(C86,Sheet2!$M$4:$N$12,2,0),0)</f>
        <v>5000</v>
      </c>
      <c r="K86" s="5" t="str">
        <f t="shared" si="1"/>
        <v>within budget</v>
      </c>
    </row>
    <row r="87" spans="1:11" x14ac:dyDescent="0.3">
      <c r="A87" s="6">
        <v>45360</v>
      </c>
      <c r="B87" s="5" t="s">
        <v>19</v>
      </c>
      <c r="C87" s="5" t="s">
        <v>35</v>
      </c>
      <c r="D87" s="5" t="s">
        <v>23</v>
      </c>
      <c r="E87" s="5" t="s">
        <v>15</v>
      </c>
      <c r="F87" s="5">
        <v>4649</v>
      </c>
      <c r="G87" s="5" t="str">
        <f>VLOOKUP(C87,Sheet2!$C$3:$D$12,2,0)</f>
        <v>Fixed</v>
      </c>
      <c r="H87" s="5" t="str">
        <f>IFERROR(VLOOKUP(E87,Sheet2!$G$3:$H$8,2,0),"unkwon")</f>
        <v>online</v>
      </c>
      <c r="I87" s="5">
        <f>VLOOKUP(B87,Sheet2!$J$4:$K$15,2,0)</f>
        <v>3</v>
      </c>
      <c r="J87" s="5">
        <f>IFERROR(VLOOKUP(C87,Sheet2!$M$4:$N$12,2,0),0)</f>
        <v>5500</v>
      </c>
      <c r="K87" s="5" t="str">
        <f t="shared" si="1"/>
        <v>within budget</v>
      </c>
    </row>
    <row r="88" spans="1:11" x14ac:dyDescent="0.3">
      <c r="A88" s="6">
        <v>44999</v>
      </c>
      <c r="B88" s="5" t="s">
        <v>19</v>
      </c>
      <c r="C88" s="5" t="s">
        <v>36</v>
      </c>
      <c r="D88" s="5" t="s">
        <v>24</v>
      </c>
      <c r="E88" s="5" t="s">
        <v>12</v>
      </c>
      <c r="F88" s="5">
        <v>4616</v>
      </c>
      <c r="G88" s="5" t="str">
        <f>VLOOKUP(C88,Sheet2!$C$3:$D$12,2,0)</f>
        <v>Variable</v>
      </c>
      <c r="H88" s="5" t="str">
        <f>IFERROR(VLOOKUP(E88,Sheet2!$G$3:$H$8,2,0),"unkwon")</f>
        <v>online</v>
      </c>
      <c r="I88" s="5">
        <f>VLOOKUP(B88,Sheet2!$J$4:$K$15,2,0)</f>
        <v>3</v>
      </c>
      <c r="J88" s="5">
        <f>IFERROR(VLOOKUP(C88,Sheet2!$M$4:$N$12,2,0),0)</f>
        <v>10000</v>
      </c>
      <c r="K88" s="5" t="str">
        <f t="shared" si="1"/>
        <v>within budget</v>
      </c>
    </row>
    <row r="89" spans="1:11" x14ac:dyDescent="0.3">
      <c r="A89" s="6">
        <v>45242</v>
      </c>
      <c r="B89" s="5" t="s">
        <v>40</v>
      </c>
      <c r="C89" s="5" t="s">
        <v>36</v>
      </c>
      <c r="D89" s="5" t="s">
        <v>26</v>
      </c>
      <c r="E89" s="5" t="s">
        <v>32</v>
      </c>
      <c r="F89" s="5">
        <v>69</v>
      </c>
      <c r="G89" s="5" t="str">
        <f>VLOOKUP(C89,Sheet2!$C$3:$D$12,2,0)</f>
        <v>Variable</v>
      </c>
      <c r="H89" s="5" t="str">
        <f>IFERROR(VLOOKUP(E89,Sheet2!$G$3:$H$8,2,0),"unkwon")</f>
        <v>offline</v>
      </c>
      <c r="I89" s="5">
        <f>VLOOKUP(B89,Sheet2!$J$4:$K$15,2,0)</f>
        <v>11</v>
      </c>
      <c r="J89" s="5">
        <f>IFERROR(VLOOKUP(C89,Sheet2!$M$4:$N$12,2,0),0)</f>
        <v>10000</v>
      </c>
      <c r="K89" s="5" t="str">
        <f t="shared" si="1"/>
        <v>within budget</v>
      </c>
    </row>
    <row r="90" spans="1:11" x14ac:dyDescent="0.3">
      <c r="A90" s="6">
        <v>45448</v>
      </c>
      <c r="B90" s="5" t="s">
        <v>39</v>
      </c>
      <c r="C90" s="5" t="s">
        <v>27</v>
      </c>
      <c r="D90" s="5" t="s">
        <v>20</v>
      </c>
      <c r="E90" s="5" t="s">
        <v>17</v>
      </c>
      <c r="F90" s="5">
        <v>3067</v>
      </c>
      <c r="G90" s="5" t="str">
        <f>VLOOKUP(C90,Sheet2!$C$3:$D$12,2,0)</f>
        <v>Variable</v>
      </c>
      <c r="H90" s="5" t="str">
        <f>IFERROR(VLOOKUP(E90,Sheet2!$G$3:$H$8,2,0),"unkwon")</f>
        <v>online</v>
      </c>
      <c r="I90" s="5">
        <f>VLOOKUP(B90,Sheet2!$J$4:$K$15,2,0)</f>
        <v>6</v>
      </c>
      <c r="J90" s="5">
        <f>IFERROR(VLOOKUP(C90,Sheet2!$M$4:$N$12,2,0),0)</f>
        <v>4000</v>
      </c>
      <c r="K90" s="5" t="str">
        <f t="shared" si="1"/>
        <v>within budget</v>
      </c>
    </row>
    <row r="91" spans="1:11" x14ac:dyDescent="0.3">
      <c r="A91" s="6">
        <v>45190</v>
      </c>
      <c r="B91" s="5" t="s">
        <v>38</v>
      </c>
      <c r="C91" s="5" t="s">
        <v>30</v>
      </c>
      <c r="D91" s="5" t="s">
        <v>34</v>
      </c>
      <c r="E91" s="5" t="s">
        <v>12</v>
      </c>
      <c r="F91" s="5">
        <v>1719</v>
      </c>
      <c r="G91" s="5" t="str">
        <f>VLOOKUP(C91,Sheet2!$C$3:$D$12,2,0)</f>
        <v>Fixed</v>
      </c>
      <c r="H91" s="5" t="str">
        <f>IFERROR(VLOOKUP(E91,Sheet2!$G$3:$H$8,2,0),"unkwon")</f>
        <v>online</v>
      </c>
      <c r="I91" s="5">
        <f>VLOOKUP(B91,Sheet2!$J$4:$K$15,2,0)</f>
        <v>9</v>
      </c>
      <c r="J91" s="5">
        <f>IFERROR(VLOOKUP(C91,Sheet2!$M$4:$N$12,2,0),0)</f>
        <v>3000</v>
      </c>
      <c r="K91" s="5" t="str">
        <f t="shared" si="1"/>
        <v>within budget</v>
      </c>
    </row>
    <row r="92" spans="1:11" x14ac:dyDescent="0.3">
      <c r="A92" s="6">
        <v>45407</v>
      </c>
      <c r="B92" s="5" t="s">
        <v>29</v>
      </c>
      <c r="C92" s="5" t="s">
        <v>7</v>
      </c>
      <c r="D92" s="5" t="s">
        <v>8</v>
      </c>
      <c r="E92" s="5" t="s">
        <v>15</v>
      </c>
      <c r="F92" s="5">
        <v>3182</v>
      </c>
      <c r="G92" s="5" t="str">
        <f>VLOOKUP(C92,Sheet2!$C$3:$D$12,2,0)</f>
        <v>Fixed</v>
      </c>
      <c r="H92" s="5" t="str">
        <f>IFERROR(VLOOKUP(E92,Sheet2!$G$3:$H$8,2,0),"unkwon")</f>
        <v>online</v>
      </c>
      <c r="I92" s="5">
        <f>VLOOKUP(B92,Sheet2!$J$4:$K$15,2,0)</f>
        <v>4</v>
      </c>
      <c r="J92" s="5">
        <f>IFERROR(VLOOKUP(C92,Sheet2!$M$4:$N$12,2,0),0)</f>
        <v>2000</v>
      </c>
      <c r="K92" s="5" t="str">
        <f t="shared" si="1"/>
        <v>over budget</v>
      </c>
    </row>
    <row r="93" spans="1:11" x14ac:dyDescent="0.3">
      <c r="A93" s="6">
        <v>45317</v>
      </c>
      <c r="B93" s="5" t="s">
        <v>37</v>
      </c>
      <c r="C93" s="5" t="s">
        <v>35</v>
      </c>
      <c r="D93" s="5" t="s">
        <v>34</v>
      </c>
      <c r="E93" s="5" t="s">
        <v>15</v>
      </c>
      <c r="F93" s="5">
        <v>2046</v>
      </c>
      <c r="G93" s="5" t="str">
        <f>VLOOKUP(C93,Sheet2!$C$3:$D$12,2,0)</f>
        <v>Fixed</v>
      </c>
      <c r="H93" s="5" t="str">
        <f>IFERROR(VLOOKUP(E93,Sheet2!$G$3:$H$8,2,0),"unkwon")</f>
        <v>online</v>
      </c>
      <c r="I93" s="5">
        <f>VLOOKUP(B93,Sheet2!$J$4:$K$15,2,0)</f>
        <v>1</v>
      </c>
      <c r="J93" s="5">
        <f>IFERROR(VLOOKUP(C93,Sheet2!$M$4:$N$12,2,0),0)</f>
        <v>5500</v>
      </c>
      <c r="K93" s="5" t="str">
        <f t="shared" si="1"/>
        <v>within budget</v>
      </c>
    </row>
    <row r="94" spans="1:11" x14ac:dyDescent="0.3">
      <c r="A94" s="6">
        <v>45483</v>
      </c>
      <c r="B94" s="5" t="s">
        <v>21</v>
      </c>
      <c r="C94" s="5" t="s">
        <v>27</v>
      </c>
      <c r="D94" s="5" t="s">
        <v>11</v>
      </c>
      <c r="E94" s="5" t="s">
        <v>9</v>
      </c>
      <c r="F94" s="5">
        <v>1919</v>
      </c>
      <c r="G94" s="5" t="str">
        <f>VLOOKUP(C94,Sheet2!$C$3:$D$12,2,0)</f>
        <v>Variable</v>
      </c>
      <c r="H94" s="5" t="str">
        <f>IFERROR(VLOOKUP(E94,Sheet2!$G$3:$H$8,2,0),"unkwon")</f>
        <v>online</v>
      </c>
      <c r="I94" s="5">
        <f>VLOOKUP(B94,Sheet2!$J$4:$K$15,2,0)</f>
        <v>7</v>
      </c>
      <c r="J94" s="5">
        <f>IFERROR(VLOOKUP(C94,Sheet2!$M$4:$N$12,2,0),0)</f>
        <v>4000</v>
      </c>
      <c r="K94" s="5" t="str">
        <f t="shared" si="1"/>
        <v>within budget</v>
      </c>
    </row>
    <row r="95" spans="1:11" x14ac:dyDescent="0.3">
      <c r="A95" s="6">
        <v>44928</v>
      </c>
      <c r="B95" s="5" t="s">
        <v>37</v>
      </c>
      <c r="C95" s="5" t="s">
        <v>27</v>
      </c>
      <c r="D95" s="5" t="s">
        <v>8</v>
      </c>
      <c r="E95" s="5" t="s">
        <v>9</v>
      </c>
      <c r="F95" s="5">
        <v>4643</v>
      </c>
      <c r="G95" s="5" t="str">
        <f>VLOOKUP(C95,Sheet2!$C$3:$D$12,2,0)</f>
        <v>Variable</v>
      </c>
      <c r="H95" s="5" t="str">
        <f>IFERROR(VLOOKUP(E95,Sheet2!$G$3:$H$8,2,0),"unkwon")</f>
        <v>online</v>
      </c>
      <c r="I95" s="5">
        <f>VLOOKUP(B95,Sheet2!$J$4:$K$15,2,0)</f>
        <v>1</v>
      </c>
      <c r="J95" s="5">
        <f>IFERROR(VLOOKUP(C95,Sheet2!$M$4:$N$12,2,0),0)</f>
        <v>4000</v>
      </c>
      <c r="K95" s="5" t="str">
        <f t="shared" si="1"/>
        <v>over budget</v>
      </c>
    </row>
    <row r="96" spans="1:11" x14ac:dyDescent="0.3">
      <c r="A96" s="6">
        <v>45498</v>
      </c>
      <c r="B96" s="5" t="s">
        <v>21</v>
      </c>
      <c r="C96" s="5" t="s">
        <v>30</v>
      </c>
      <c r="D96" s="5" t="s">
        <v>8</v>
      </c>
      <c r="E96" s="5" t="s">
        <v>9</v>
      </c>
      <c r="F96" s="5">
        <v>2220</v>
      </c>
      <c r="G96" s="5" t="str">
        <f>VLOOKUP(C96,Sheet2!$C$3:$D$12,2,0)</f>
        <v>Fixed</v>
      </c>
      <c r="H96" s="5" t="str">
        <f>IFERROR(VLOOKUP(E96,Sheet2!$G$3:$H$8,2,0),"unkwon")</f>
        <v>online</v>
      </c>
      <c r="I96" s="5">
        <f>VLOOKUP(B96,Sheet2!$J$4:$K$15,2,0)</f>
        <v>7</v>
      </c>
      <c r="J96" s="5">
        <f>IFERROR(VLOOKUP(C96,Sheet2!$M$4:$N$12,2,0),0)</f>
        <v>3000</v>
      </c>
      <c r="K96" s="5" t="str">
        <f t="shared" si="1"/>
        <v>within budget</v>
      </c>
    </row>
    <row r="97" spans="1:11" x14ac:dyDescent="0.3">
      <c r="A97" s="6">
        <v>45196</v>
      </c>
      <c r="B97" s="5" t="s">
        <v>38</v>
      </c>
      <c r="C97" s="5" t="s">
        <v>10</v>
      </c>
      <c r="D97" s="5" t="s">
        <v>8</v>
      </c>
      <c r="E97" s="5" t="s">
        <v>15</v>
      </c>
      <c r="F97" s="5">
        <v>3694</v>
      </c>
      <c r="G97" s="5" t="str">
        <f>VLOOKUP(C97,Sheet2!$C$3:$D$12,2,0)</f>
        <v>Variable</v>
      </c>
      <c r="H97" s="5" t="str">
        <f>IFERROR(VLOOKUP(E97,Sheet2!$G$3:$H$8,2,0),"unkwon")</f>
        <v>online</v>
      </c>
      <c r="I97" s="5">
        <f>VLOOKUP(B97,Sheet2!$J$4:$K$15,2,0)</f>
        <v>9</v>
      </c>
      <c r="J97" s="5">
        <f>IFERROR(VLOOKUP(C97,Sheet2!$M$4:$N$12,2,0),0)</f>
        <v>5000</v>
      </c>
      <c r="K97" s="5" t="str">
        <f t="shared" si="1"/>
        <v>within budget</v>
      </c>
    </row>
    <row r="98" spans="1:11" x14ac:dyDescent="0.3">
      <c r="A98" s="6">
        <v>45284</v>
      </c>
      <c r="B98" s="5" t="s">
        <v>16</v>
      </c>
      <c r="C98" s="5" t="s">
        <v>7</v>
      </c>
      <c r="D98" s="5" t="s">
        <v>26</v>
      </c>
      <c r="E98" s="5" t="s">
        <v>32</v>
      </c>
      <c r="F98" s="5">
        <v>487</v>
      </c>
      <c r="G98" s="5" t="str">
        <f>VLOOKUP(C98,Sheet2!$C$3:$D$12,2,0)</f>
        <v>Fixed</v>
      </c>
      <c r="H98" s="5" t="str">
        <f>IFERROR(VLOOKUP(E98,Sheet2!$G$3:$H$8,2,0),"unkwon")</f>
        <v>offline</v>
      </c>
      <c r="I98" s="5">
        <f>VLOOKUP(B98,Sheet2!$J$4:$K$15,2,0)</f>
        <v>12</v>
      </c>
      <c r="J98" s="5">
        <f>IFERROR(VLOOKUP(C98,Sheet2!$M$4:$N$12,2,0),0)</f>
        <v>2000</v>
      </c>
      <c r="K98" s="5" t="str">
        <f t="shared" si="1"/>
        <v>within budget</v>
      </c>
    </row>
    <row r="99" spans="1:11" x14ac:dyDescent="0.3">
      <c r="A99" s="6">
        <v>45622</v>
      </c>
      <c r="B99" s="5" t="s">
        <v>40</v>
      </c>
      <c r="C99" s="5" t="s">
        <v>22</v>
      </c>
      <c r="D99" s="5" t="s">
        <v>8</v>
      </c>
      <c r="E99" s="5" t="s">
        <v>9</v>
      </c>
      <c r="F99" s="5">
        <v>2926</v>
      </c>
      <c r="G99" s="5" t="str">
        <f>VLOOKUP(C99,Sheet2!$C$3:$D$12,2,0)</f>
        <v>Variable</v>
      </c>
      <c r="H99" s="5" t="str">
        <f>IFERROR(VLOOKUP(E99,Sheet2!$G$3:$H$8,2,0),"unkwon")</f>
        <v>online</v>
      </c>
      <c r="I99" s="5">
        <f>VLOOKUP(B99,Sheet2!$J$4:$K$15,2,0)</f>
        <v>11</v>
      </c>
      <c r="J99" s="5">
        <f>IFERROR(VLOOKUP(C99,Sheet2!$M$4:$N$12,2,0),0)</f>
        <v>1000</v>
      </c>
      <c r="K99" s="5" t="str">
        <f t="shared" si="1"/>
        <v>over budget</v>
      </c>
    </row>
    <row r="100" spans="1:11" x14ac:dyDescent="0.3">
      <c r="A100" s="6">
        <v>45273</v>
      </c>
      <c r="B100" s="5" t="s">
        <v>16</v>
      </c>
      <c r="C100" s="5" t="s">
        <v>7</v>
      </c>
      <c r="D100" s="5" t="s">
        <v>31</v>
      </c>
      <c r="E100" s="5" t="s">
        <v>32</v>
      </c>
      <c r="F100" s="5">
        <v>2662</v>
      </c>
      <c r="G100" s="5" t="str">
        <f>VLOOKUP(C100,Sheet2!$C$3:$D$12,2,0)</f>
        <v>Fixed</v>
      </c>
      <c r="H100" s="5" t="str">
        <f>IFERROR(VLOOKUP(E100,Sheet2!$G$3:$H$8,2,0),"unkwon")</f>
        <v>offline</v>
      </c>
      <c r="I100" s="5">
        <f>VLOOKUP(B100,Sheet2!$J$4:$K$15,2,0)</f>
        <v>12</v>
      </c>
      <c r="J100" s="5">
        <f>IFERROR(VLOOKUP(C100,Sheet2!$M$4:$N$12,2,0),0)</f>
        <v>2000</v>
      </c>
      <c r="K100" s="5" t="str">
        <f t="shared" si="1"/>
        <v>over budget</v>
      </c>
    </row>
    <row r="101" spans="1:11" x14ac:dyDescent="0.3">
      <c r="A101" s="6">
        <v>45353</v>
      </c>
      <c r="B101" s="5" t="s">
        <v>19</v>
      </c>
      <c r="C101" s="5" t="s">
        <v>36</v>
      </c>
      <c r="D101" s="5" t="s">
        <v>26</v>
      </c>
      <c r="E101" s="5" t="s">
        <v>15</v>
      </c>
      <c r="F101" s="5">
        <v>1519</v>
      </c>
      <c r="G101" s="5" t="str">
        <f>VLOOKUP(C101,Sheet2!$C$3:$D$12,2,0)</f>
        <v>Variable</v>
      </c>
      <c r="H101" s="5" t="str">
        <f>IFERROR(VLOOKUP(E101,Sheet2!$G$3:$H$8,2,0),"unkwon")</f>
        <v>online</v>
      </c>
      <c r="I101" s="5">
        <f>VLOOKUP(B101,Sheet2!$J$4:$K$15,2,0)</f>
        <v>3</v>
      </c>
      <c r="J101" s="5">
        <f>IFERROR(VLOOKUP(C101,Sheet2!$M$4:$N$12,2,0),0)</f>
        <v>10000</v>
      </c>
      <c r="K101" s="5" t="str">
        <f t="shared" si="1"/>
        <v>within budget</v>
      </c>
    </row>
    <row r="102" spans="1:11" x14ac:dyDescent="0.3">
      <c r="A102" s="6">
        <v>45515</v>
      </c>
      <c r="B102" s="5" t="s">
        <v>25</v>
      </c>
      <c r="C102" s="5" t="s">
        <v>27</v>
      </c>
      <c r="D102" s="5" t="s">
        <v>24</v>
      </c>
      <c r="E102" s="5" t="s">
        <v>12</v>
      </c>
      <c r="F102" s="5">
        <v>1247</v>
      </c>
      <c r="G102" s="5" t="str">
        <f>VLOOKUP(C102,Sheet2!$C$3:$D$12,2,0)</f>
        <v>Variable</v>
      </c>
      <c r="H102" s="5" t="str">
        <f>IFERROR(VLOOKUP(E102,Sheet2!$G$3:$H$8,2,0),"unkwon")</f>
        <v>online</v>
      </c>
      <c r="I102" s="5">
        <f>VLOOKUP(B102,Sheet2!$J$4:$K$15,2,0)</f>
        <v>8</v>
      </c>
      <c r="J102" s="5">
        <f>IFERROR(VLOOKUP(C102,Sheet2!$M$4:$N$12,2,0),0)</f>
        <v>4000</v>
      </c>
      <c r="K102" s="5" t="str">
        <f t="shared" si="1"/>
        <v>within budget</v>
      </c>
    </row>
    <row r="103" spans="1:11" x14ac:dyDescent="0.3">
      <c r="A103" s="6">
        <v>45206</v>
      </c>
      <c r="B103" s="5" t="s">
        <v>6</v>
      </c>
      <c r="C103" s="5" t="s">
        <v>30</v>
      </c>
      <c r="D103" s="5" t="s">
        <v>11</v>
      </c>
      <c r="E103" s="5" t="s">
        <v>9</v>
      </c>
      <c r="F103" s="5">
        <v>1831</v>
      </c>
      <c r="G103" s="5" t="str">
        <f>VLOOKUP(C103,Sheet2!$C$3:$D$12,2,0)</f>
        <v>Fixed</v>
      </c>
      <c r="H103" s="5" t="str">
        <f>IFERROR(VLOOKUP(E103,Sheet2!$G$3:$H$8,2,0),"unkwon")</f>
        <v>online</v>
      </c>
      <c r="I103" s="5">
        <f>VLOOKUP(B103,Sheet2!$J$4:$K$15,2,0)</f>
        <v>10</v>
      </c>
      <c r="J103" s="5">
        <f>IFERROR(VLOOKUP(C103,Sheet2!$M$4:$N$12,2,0),0)</f>
        <v>3000</v>
      </c>
      <c r="K103" s="5" t="str">
        <f t="shared" si="1"/>
        <v>within budget</v>
      </c>
    </row>
    <row r="104" spans="1:11" x14ac:dyDescent="0.3">
      <c r="A104" s="6">
        <v>45309</v>
      </c>
      <c r="B104" s="5" t="s">
        <v>37</v>
      </c>
      <c r="C104" s="5" t="s">
        <v>27</v>
      </c>
      <c r="D104" s="5" t="s">
        <v>26</v>
      </c>
      <c r="E104" s="5" t="s">
        <v>32</v>
      </c>
      <c r="F104" s="5">
        <v>3814</v>
      </c>
      <c r="G104" s="5" t="str">
        <f>VLOOKUP(C104,Sheet2!$C$3:$D$12,2,0)</f>
        <v>Variable</v>
      </c>
      <c r="H104" s="5" t="str">
        <f>IFERROR(VLOOKUP(E104,Sheet2!$G$3:$H$8,2,0),"unkwon")</f>
        <v>offline</v>
      </c>
      <c r="I104" s="5">
        <f>VLOOKUP(B104,Sheet2!$J$4:$K$15,2,0)</f>
        <v>1</v>
      </c>
      <c r="J104" s="5">
        <f>IFERROR(VLOOKUP(C104,Sheet2!$M$4:$N$12,2,0),0)</f>
        <v>4000</v>
      </c>
      <c r="K104" s="5" t="str">
        <f t="shared" si="1"/>
        <v>within budget</v>
      </c>
    </row>
    <row r="105" spans="1:11" x14ac:dyDescent="0.3">
      <c r="A105" s="6">
        <v>45562</v>
      </c>
      <c r="B105" s="5" t="s">
        <v>38</v>
      </c>
      <c r="C105" s="5" t="s">
        <v>22</v>
      </c>
      <c r="D105" s="5" t="s">
        <v>18</v>
      </c>
      <c r="E105" s="5" t="s">
        <v>15</v>
      </c>
      <c r="F105" s="5">
        <v>2996</v>
      </c>
      <c r="G105" s="5" t="str">
        <f>VLOOKUP(C105,Sheet2!$C$3:$D$12,2,0)</f>
        <v>Variable</v>
      </c>
      <c r="H105" s="5" t="str">
        <f>IFERROR(VLOOKUP(E105,Sheet2!$G$3:$H$8,2,0),"unkwon")</f>
        <v>online</v>
      </c>
      <c r="I105" s="5">
        <f>VLOOKUP(B105,Sheet2!$J$4:$K$15,2,0)</f>
        <v>9</v>
      </c>
      <c r="J105" s="5">
        <f>IFERROR(VLOOKUP(C105,Sheet2!$M$4:$N$12,2,0),0)</f>
        <v>1000</v>
      </c>
      <c r="K105" s="5" t="str">
        <f t="shared" si="1"/>
        <v>over budget</v>
      </c>
    </row>
    <row r="106" spans="1:11" x14ac:dyDescent="0.3">
      <c r="A106" s="6">
        <v>45178</v>
      </c>
      <c r="B106" s="5" t="s">
        <v>38</v>
      </c>
      <c r="C106" s="5" t="s">
        <v>41</v>
      </c>
      <c r="D106" s="5" t="s">
        <v>8</v>
      </c>
      <c r="E106" s="5" t="s">
        <v>9</v>
      </c>
      <c r="F106" s="5">
        <v>1596</v>
      </c>
      <c r="G106" s="5" t="str">
        <f>VLOOKUP(C106,Sheet2!$C$3:$D$12,2,0)</f>
        <v>Variable</v>
      </c>
      <c r="H106" s="5" t="str">
        <f>IFERROR(VLOOKUP(E106,Sheet2!$G$3:$H$8,2,0),"unkwon")</f>
        <v>online</v>
      </c>
      <c r="I106" s="5">
        <f>VLOOKUP(B106,Sheet2!$J$4:$K$15,2,0)</f>
        <v>9</v>
      </c>
      <c r="J106" s="5">
        <f>IFERROR(VLOOKUP(C106,Sheet2!$M$4:$N$12,2,0),0)</f>
        <v>7000</v>
      </c>
      <c r="K106" s="5" t="str">
        <f t="shared" si="1"/>
        <v>within budget</v>
      </c>
    </row>
    <row r="107" spans="1:11" x14ac:dyDescent="0.3">
      <c r="A107" s="6">
        <v>45310</v>
      </c>
      <c r="B107" s="5" t="s">
        <v>37</v>
      </c>
      <c r="C107" s="5" t="s">
        <v>41</v>
      </c>
      <c r="D107" s="5" t="s">
        <v>20</v>
      </c>
      <c r="E107" s="5" t="s">
        <v>17</v>
      </c>
      <c r="F107" s="5">
        <v>2969</v>
      </c>
      <c r="G107" s="5" t="str">
        <f>VLOOKUP(C107,Sheet2!$C$3:$D$12,2,0)</f>
        <v>Variable</v>
      </c>
      <c r="H107" s="5" t="str">
        <f>IFERROR(VLOOKUP(E107,Sheet2!$G$3:$H$8,2,0),"unkwon")</f>
        <v>online</v>
      </c>
      <c r="I107" s="5">
        <f>VLOOKUP(B107,Sheet2!$J$4:$K$15,2,0)</f>
        <v>1</v>
      </c>
      <c r="J107" s="5">
        <f>IFERROR(VLOOKUP(C107,Sheet2!$M$4:$N$12,2,0),0)</f>
        <v>7000</v>
      </c>
      <c r="K107" s="5" t="str">
        <f t="shared" si="1"/>
        <v>within budget</v>
      </c>
    </row>
    <row r="108" spans="1:11" x14ac:dyDescent="0.3">
      <c r="A108" s="6">
        <v>45439</v>
      </c>
      <c r="B108" s="5" t="s">
        <v>28</v>
      </c>
      <c r="C108" s="5" t="s">
        <v>13</v>
      </c>
      <c r="D108" s="5" t="s">
        <v>14</v>
      </c>
      <c r="E108" s="5" t="s">
        <v>12</v>
      </c>
      <c r="F108" s="5">
        <v>4380</v>
      </c>
      <c r="G108" s="5" t="str">
        <f>VLOOKUP(C108,Sheet2!$C$3:$D$12,2,0)</f>
        <v>Variable</v>
      </c>
      <c r="H108" s="5" t="str">
        <f>IFERROR(VLOOKUP(E108,Sheet2!$G$3:$H$8,2,0),"unkwon")</f>
        <v>online</v>
      </c>
      <c r="I108" s="5">
        <f>VLOOKUP(B108,Sheet2!$J$4:$K$15,2,0)</f>
        <v>5</v>
      </c>
      <c r="J108" s="5">
        <f>IFERROR(VLOOKUP(C108,Sheet2!$M$4:$N$12,2,0),0)</f>
        <v>5000</v>
      </c>
      <c r="K108" s="5" t="str">
        <f t="shared" si="1"/>
        <v>within budget</v>
      </c>
    </row>
    <row r="109" spans="1:11" x14ac:dyDescent="0.3">
      <c r="A109" s="6">
        <v>44929</v>
      </c>
      <c r="B109" s="5" t="s">
        <v>37</v>
      </c>
      <c r="C109" s="5" t="s">
        <v>36</v>
      </c>
      <c r="D109" s="5" t="s">
        <v>8</v>
      </c>
      <c r="E109" s="5" t="s">
        <v>15</v>
      </c>
      <c r="F109" s="5">
        <v>661</v>
      </c>
      <c r="G109" s="5" t="str">
        <f>VLOOKUP(C109,Sheet2!$C$3:$D$12,2,0)</f>
        <v>Variable</v>
      </c>
      <c r="H109" s="5" t="str">
        <f>IFERROR(VLOOKUP(E109,Sheet2!$G$3:$H$8,2,0),"unkwon")</f>
        <v>online</v>
      </c>
      <c r="I109" s="5">
        <f>VLOOKUP(B109,Sheet2!$J$4:$K$15,2,0)</f>
        <v>1</v>
      </c>
      <c r="J109" s="5">
        <f>IFERROR(VLOOKUP(C109,Sheet2!$M$4:$N$12,2,0),0)</f>
        <v>10000</v>
      </c>
      <c r="K109" s="5" t="str">
        <f t="shared" si="1"/>
        <v>within budget</v>
      </c>
    </row>
    <row r="110" spans="1:11" x14ac:dyDescent="0.3">
      <c r="A110" s="6">
        <v>45415</v>
      </c>
      <c r="B110" s="5" t="s">
        <v>28</v>
      </c>
      <c r="C110" s="5" t="s">
        <v>36</v>
      </c>
      <c r="D110" s="5" t="s">
        <v>34</v>
      </c>
      <c r="E110" s="5" t="s">
        <v>32</v>
      </c>
      <c r="F110" s="5">
        <v>4528</v>
      </c>
      <c r="G110" s="5" t="str">
        <f>VLOOKUP(C110,Sheet2!$C$3:$D$12,2,0)</f>
        <v>Variable</v>
      </c>
      <c r="H110" s="5" t="str">
        <f>IFERROR(VLOOKUP(E110,Sheet2!$G$3:$H$8,2,0),"unkwon")</f>
        <v>offline</v>
      </c>
      <c r="I110" s="5">
        <f>VLOOKUP(B110,Sheet2!$J$4:$K$15,2,0)</f>
        <v>5</v>
      </c>
      <c r="J110" s="5">
        <f>IFERROR(VLOOKUP(C110,Sheet2!$M$4:$N$12,2,0),0)</f>
        <v>10000</v>
      </c>
      <c r="K110" s="5" t="str">
        <f t="shared" si="1"/>
        <v>within budget</v>
      </c>
    </row>
    <row r="111" spans="1:11" x14ac:dyDescent="0.3">
      <c r="A111" s="6">
        <v>45111</v>
      </c>
      <c r="B111" s="5" t="s">
        <v>21</v>
      </c>
      <c r="C111" s="5" t="s">
        <v>22</v>
      </c>
      <c r="D111" s="5" t="s">
        <v>23</v>
      </c>
      <c r="E111" s="5" t="s">
        <v>32</v>
      </c>
      <c r="F111" s="5">
        <v>3723</v>
      </c>
      <c r="G111" s="5" t="str">
        <f>VLOOKUP(C111,Sheet2!$C$3:$D$12,2,0)</f>
        <v>Variable</v>
      </c>
      <c r="H111" s="5" t="str">
        <f>IFERROR(VLOOKUP(E111,Sheet2!$G$3:$H$8,2,0),"unkwon")</f>
        <v>offline</v>
      </c>
      <c r="I111" s="5">
        <f>VLOOKUP(B111,Sheet2!$J$4:$K$15,2,0)</f>
        <v>7</v>
      </c>
      <c r="J111" s="5">
        <f>IFERROR(VLOOKUP(C111,Sheet2!$M$4:$N$12,2,0),0)</f>
        <v>1000</v>
      </c>
      <c r="K111" s="5" t="str">
        <f t="shared" si="1"/>
        <v>over budget</v>
      </c>
    </row>
    <row r="112" spans="1:11" x14ac:dyDescent="0.3">
      <c r="A112" s="6">
        <v>45616</v>
      </c>
      <c r="B112" s="5" t="s">
        <v>40</v>
      </c>
      <c r="C112" s="5" t="s">
        <v>36</v>
      </c>
      <c r="D112" s="5" t="s">
        <v>11</v>
      </c>
      <c r="E112" s="5" t="s">
        <v>9</v>
      </c>
      <c r="F112" s="5">
        <v>4669</v>
      </c>
      <c r="G112" s="5" t="str">
        <f>VLOOKUP(C112,Sheet2!$C$3:$D$12,2,0)</f>
        <v>Variable</v>
      </c>
      <c r="H112" s="5" t="str">
        <f>IFERROR(VLOOKUP(E112,Sheet2!$G$3:$H$8,2,0),"unkwon")</f>
        <v>online</v>
      </c>
      <c r="I112" s="5">
        <f>VLOOKUP(B112,Sheet2!$J$4:$K$15,2,0)</f>
        <v>11</v>
      </c>
      <c r="J112" s="5">
        <f>IFERROR(VLOOKUP(C112,Sheet2!$M$4:$N$12,2,0),0)</f>
        <v>10000</v>
      </c>
      <c r="K112" s="5" t="str">
        <f t="shared" si="1"/>
        <v>within budget</v>
      </c>
    </row>
    <row r="113" spans="1:11" x14ac:dyDescent="0.3">
      <c r="A113" s="6">
        <v>45054</v>
      </c>
      <c r="B113" s="5" t="s">
        <v>28</v>
      </c>
      <c r="C113" s="5" t="s">
        <v>10</v>
      </c>
      <c r="D113" s="5" t="s">
        <v>23</v>
      </c>
      <c r="E113" s="5" t="s">
        <v>32</v>
      </c>
      <c r="F113" s="5">
        <v>4127</v>
      </c>
      <c r="G113" s="5" t="str">
        <f>VLOOKUP(C113,Sheet2!$C$3:$D$12,2,0)</f>
        <v>Variable</v>
      </c>
      <c r="H113" s="5" t="str">
        <f>IFERROR(VLOOKUP(E113,Sheet2!$G$3:$H$8,2,0),"unkwon")</f>
        <v>offline</v>
      </c>
      <c r="I113" s="5">
        <f>VLOOKUP(B113,Sheet2!$J$4:$K$15,2,0)</f>
        <v>5</v>
      </c>
      <c r="J113" s="5">
        <f>IFERROR(VLOOKUP(C113,Sheet2!$M$4:$N$12,2,0),0)</f>
        <v>5000</v>
      </c>
      <c r="K113" s="5" t="str">
        <f t="shared" si="1"/>
        <v>within budget</v>
      </c>
    </row>
    <row r="114" spans="1:11" x14ac:dyDescent="0.3">
      <c r="A114" s="6">
        <v>45244</v>
      </c>
      <c r="B114" s="5" t="s">
        <v>40</v>
      </c>
      <c r="C114" s="5" t="s">
        <v>27</v>
      </c>
      <c r="D114" s="5" t="s">
        <v>23</v>
      </c>
      <c r="E114" s="5" t="s">
        <v>32</v>
      </c>
      <c r="F114" s="5">
        <v>2604</v>
      </c>
      <c r="G114" s="5" t="str">
        <f>VLOOKUP(C114,Sheet2!$C$3:$D$12,2,0)</f>
        <v>Variable</v>
      </c>
      <c r="H114" s="5" t="str">
        <f>IFERROR(VLOOKUP(E114,Sheet2!$G$3:$H$8,2,0),"unkwon")</f>
        <v>offline</v>
      </c>
      <c r="I114" s="5">
        <f>VLOOKUP(B114,Sheet2!$J$4:$K$15,2,0)</f>
        <v>11</v>
      </c>
      <c r="J114" s="5">
        <f>IFERROR(VLOOKUP(C114,Sheet2!$M$4:$N$12,2,0),0)</f>
        <v>4000</v>
      </c>
      <c r="K114" s="5" t="str">
        <f t="shared" si="1"/>
        <v>within budget</v>
      </c>
    </row>
    <row r="115" spans="1:11" x14ac:dyDescent="0.3">
      <c r="A115" s="6">
        <v>45373</v>
      </c>
      <c r="B115" s="5" t="s">
        <v>19</v>
      </c>
      <c r="C115" s="5" t="s">
        <v>35</v>
      </c>
      <c r="D115" s="5" t="s">
        <v>20</v>
      </c>
      <c r="E115" s="5" t="s">
        <v>17</v>
      </c>
      <c r="F115" s="5">
        <v>3960</v>
      </c>
      <c r="G115" s="5" t="str">
        <f>VLOOKUP(C115,Sheet2!$C$3:$D$12,2,0)</f>
        <v>Fixed</v>
      </c>
      <c r="H115" s="5" t="str">
        <f>IFERROR(VLOOKUP(E115,Sheet2!$G$3:$H$8,2,0),"unkwon")</f>
        <v>online</v>
      </c>
      <c r="I115" s="5">
        <f>VLOOKUP(B115,Sheet2!$J$4:$K$15,2,0)</f>
        <v>3</v>
      </c>
      <c r="J115" s="5">
        <f>IFERROR(VLOOKUP(C115,Sheet2!$M$4:$N$12,2,0),0)</f>
        <v>5500</v>
      </c>
      <c r="K115" s="5" t="str">
        <f t="shared" si="1"/>
        <v>within budget</v>
      </c>
    </row>
    <row r="116" spans="1:11" x14ac:dyDescent="0.3">
      <c r="A116" s="6">
        <v>44957</v>
      </c>
      <c r="B116" s="5" t="s">
        <v>37</v>
      </c>
      <c r="C116" s="5" t="s">
        <v>41</v>
      </c>
      <c r="D116" s="5" t="s">
        <v>24</v>
      </c>
      <c r="E116" s="5" t="s">
        <v>12</v>
      </c>
      <c r="F116" s="5">
        <v>3959</v>
      </c>
      <c r="G116" s="5" t="str">
        <f>VLOOKUP(C116,Sheet2!$C$3:$D$12,2,0)</f>
        <v>Variable</v>
      </c>
      <c r="H116" s="5" t="str">
        <f>IFERROR(VLOOKUP(E116,Sheet2!$G$3:$H$8,2,0),"unkwon")</f>
        <v>online</v>
      </c>
      <c r="I116" s="5">
        <f>VLOOKUP(B116,Sheet2!$J$4:$K$15,2,0)</f>
        <v>1</v>
      </c>
      <c r="J116" s="5">
        <f>IFERROR(VLOOKUP(C116,Sheet2!$M$4:$N$12,2,0),0)</f>
        <v>7000</v>
      </c>
      <c r="K116" s="5" t="str">
        <f t="shared" si="1"/>
        <v>within budget</v>
      </c>
    </row>
    <row r="117" spans="1:11" x14ac:dyDescent="0.3">
      <c r="A117" s="6">
        <v>45623</v>
      </c>
      <c r="B117" s="5" t="s">
        <v>40</v>
      </c>
      <c r="C117" s="5" t="s">
        <v>22</v>
      </c>
      <c r="D117" s="5" t="s">
        <v>24</v>
      </c>
      <c r="E117" s="5" t="s">
        <v>17</v>
      </c>
      <c r="F117" s="5">
        <v>3534</v>
      </c>
      <c r="G117" s="5" t="str">
        <f>VLOOKUP(C117,Sheet2!$C$3:$D$12,2,0)</f>
        <v>Variable</v>
      </c>
      <c r="H117" s="5" t="str">
        <f>IFERROR(VLOOKUP(E117,Sheet2!$G$3:$H$8,2,0),"unkwon")</f>
        <v>online</v>
      </c>
      <c r="I117" s="5">
        <f>VLOOKUP(B117,Sheet2!$J$4:$K$15,2,0)</f>
        <v>11</v>
      </c>
      <c r="J117" s="5">
        <f>IFERROR(VLOOKUP(C117,Sheet2!$M$4:$N$12,2,0),0)</f>
        <v>1000</v>
      </c>
      <c r="K117" s="5" t="str">
        <f t="shared" si="1"/>
        <v>over budget</v>
      </c>
    </row>
    <row r="118" spans="1:11" x14ac:dyDescent="0.3">
      <c r="A118" s="6">
        <v>45468</v>
      </c>
      <c r="B118" s="5" t="s">
        <v>39</v>
      </c>
      <c r="C118" s="5" t="s">
        <v>22</v>
      </c>
      <c r="D118" s="5" t="s">
        <v>11</v>
      </c>
      <c r="E118" s="5" t="s">
        <v>32</v>
      </c>
      <c r="F118" s="5">
        <v>2243</v>
      </c>
      <c r="G118" s="5" t="str">
        <f>VLOOKUP(C118,Sheet2!$C$3:$D$12,2,0)</f>
        <v>Variable</v>
      </c>
      <c r="H118" s="5" t="str">
        <f>IFERROR(VLOOKUP(E118,Sheet2!$G$3:$H$8,2,0),"unkwon")</f>
        <v>offline</v>
      </c>
      <c r="I118" s="5">
        <f>VLOOKUP(B118,Sheet2!$J$4:$K$15,2,0)</f>
        <v>6</v>
      </c>
      <c r="J118" s="5">
        <f>IFERROR(VLOOKUP(C118,Sheet2!$M$4:$N$12,2,0),0)</f>
        <v>1000</v>
      </c>
      <c r="K118" s="5" t="str">
        <f t="shared" si="1"/>
        <v>over budget</v>
      </c>
    </row>
    <row r="119" spans="1:11" x14ac:dyDescent="0.3">
      <c r="A119" s="6">
        <v>45535</v>
      </c>
      <c r="B119" s="5" t="s">
        <v>25</v>
      </c>
      <c r="C119" s="5" t="s">
        <v>30</v>
      </c>
      <c r="D119" s="5" t="s">
        <v>24</v>
      </c>
      <c r="E119" s="5" t="s">
        <v>12</v>
      </c>
      <c r="F119" s="5">
        <v>472</v>
      </c>
      <c r="G119" s="5" t="str">
        <f>VLOOKUP(C119,Sheet2!$C$3:$D$12,2,0)</f>
        <v>Fixed</v>
      </c>
      <c r="H119" s="5" t="str">
        <f>IFERROR(VLOOKUP(E119,Sheet2!$G$3:$H$8,2,0),"unkwon")</f>
        <v>online</v>
      </c>
      <c r="I119" s="5">
        <f>VLOOKUP(B119,Sheet2!$J$4:$K$15,2,0)</f>
        <v>8</v>
      </c>
      <c r="J119" s="5">
        <f>IFERROR(VLOOKUP(C119,Sheet2!$M$4:$N$12,2,0),0)</f>
        <v>3000</v>
      </c>
      <c r="K119" s="5" t="str">
        <f t="shared" si="1"/>
        <v>within budget</v>
      </c>
    </row>
    <row r="120" spans="1:11" x14ac:dyDescent="0.3">
      <c r="A120" s="6">
        <v>44950</v>
      </c>
      <c r="B120" s="5" t="s">
        <v>37</v>
      </c>
      <c r="C120" s="5" t="s">
        <v>13</v>
      </c>
      <c r="D120" s="5" t="s">
        <v>34</v>
      </c>
      <c r="E120" s="5" t="s">
        <v>12</v>
      </c>
      <c r="F120" s="5">
        <v>990</v>
      </c>
      <c r="G120" s="5" t="str">
        <f>VLOOKUP(C120,Sheet2!$C$3:$D$12,2,0)</f>
        <v>Variable</v>
      </c>
      <c r="H120" s="5" t="str">
        <f>IFERROR(VLOOKUP(E120,Sheet2!$G$3:$H$8,2,0),"unkwon")</f>
        <v>online</v>
      </c>
      <c r="I120" s="5">
        <f>VLOOKUP(B120,Sheet2!$J$4:$K$15,2,0)</f>
        <v>1</v>
      </c>
      <c r="J120" s="5">
        <f>IFERROR(VLOOKUP(C120,Sheet2!$M$4:$N$12,2,0),0)</f>
        <v>5000</v>
      </c>
      <c r="K120" s="5" t="str">
        <f t="shared" si="1"/>
        <v>within budget</v>
      </c>
    </row>
    <row r="121" spans="1:11" x14ac:dyDescent="0.3">
      <c r="A121" s="6">
        <v>44985</v>
      </c>
      <c r="B121" s="5" t="s">
        <v>33</v>
      </c>
      <c r="C121" s="5" t="s">
        <v>10</v>
      </c>
      <c r="D121" s="5" t="s">
        <v>23</v>
      </c>
      <c r="E121" s="5" t="s">
        <v>12</v>
      </c>
      <c r="F121" s="5">
        <v>3211</v>
      </c>
      <c r="G121" s="5" t="str">
        <f>VLOOKUP(C121,Sheet2!$C$3:$D$12,2,0)</f>
        <v>Variable</v>
      </c>
      <c r="H121" s="5" t="str">
        <f>IFERROR(VLOOKUP(E121,Sheet2!$G$3:$H$8,2,0),"unkwon")</f>
        <v>online</v>
      </c>
      <c r="I121" s="5">
        <f>VLOOKUP(B121,Sheet2!$J$4:$K$15,2,0)</f>
        <v>2</v>
      </c>
      <c r="J121" s="5">
        <f>IFERROR(VLOOKUP(C121,Sheet2!$M$4:$N$12,2,0),0)</f>
        <v>5000</v>
      </c>
      <c r="K121" s="5" t="str">
        <f t="shared" si="1"/>
        <v>within budget</v>
      </c>
    </row>
    <row r="122" spans="1:11" x14ac:dyDescent="0.3">
      <c r="A122" s="6">
        <v>45066</v>
      </c>
      <c r="B122" s="5" t="s">
        <v>28</v>
      </c>
      <c r="C122" s="5" t="s">
        <v>13</v>
      </c>
      <c r="D122" s="5" t="s">
        <v>11</v>
      </c>
      <c r="E122" s="5" t="s">
        <v>32</v>
      </c>
      <c r="F122" s="5">
        <v>2840</v>
      </c>
      <c r="G122" s="5" t="str">
        <f>VLOOKUP(C122,Sheet2!$C$3:$D$12,2,0)</f>
        <v>Variable</v>
      </c>
      <c r="H122" s="5" t="str">
        <f>IFERROR(VLOOKUP(E122,Sheet2!$G$3:$H$8,2,0),"unkwon")</f>
        <v>offline</v>
      </c>
      <c r="I122" s="5">
        <f>VLOOKUP(B122,Sheet2!$J$4:$K$15,2,0)</f>
        <v>5</v>
      </c>
      <c r="J122" s="5">
        <f>IFERROR(VLOOKUP(C122,Sheet2!$M$4:$N$12,2,0),0)</f>
        <v>5000</v>
      </c>
      <c r="K122" s="5" t="str">
        <f t="shared" si="1"/>
        <v>within budget</v>
      </c>
    </row>
    <row r="123" spans="1:11" x14ac:dyDescent="0.3">
      <c r="A123" s="6">
        <v>45521</v>
      </c>
      <c r="B123" s="5" t="s">
        <v>25</v>
      </c>
      <c r="C123" s="5" t="s">
        <v>30</v>
      </c>
      <c r="D123" s="5" t="s">
        <v>26</v>
      </c>
      <c r="E123" s="5" t="s">
        <v>12</v>
      </c>
      <c r="F123" s="5">
        <v>2559</v>
      </c>
      <c r="G123" s="5" t="str">
        <f>VLOOKUP(C123,Sheet2!$C$3:$D$12,2,0)</f>
        <v>Fixed</v>
      </c>
      <c r="H123" s="5" t="str">
        <f>IFERROR(VLOOKUP(E123,Sheet2!$G$3:$H$8,2,0),"unkwon")</f>
        <v>online</v>
      </c>
      <c r="I123" s="5">
        <f>VLOOKUP(B123,Sheet2!$J$4:$K$15,2,0)</f>
        <v>8</v>
      </c>
      <c r="J123" s="5">
        <f>IFERROR(VLOOKUP(C123,Sheet2!$M$4:$N$12,2,0),0)</f>
        <v>3000</v>
      </c>
      <c r="K123" s="5" t="str">
        <f t="shared" si="1"/>
        <v>within budget</v>
      </c>
    </row>
    <row r="124" spans="1:11" x14ac:dyDescent="0.3">
      <c r="A124" s="6">
        <v>45376</v>
      </c>
      <c r="B124" s="5" t="s">
        <v>19</v>
      </c>
      <c r="C124" s="5" t="s">
        <v>13</v>
      </c>
      <c r="D124" s="5" t="s">
        <v>31</v>
      </c>
      <c r="E124" s="5" t="s">
        <v>9</v>
      </c>
      <c r="F124" s="5">
        <v>3489</v>
      </c>
      <c r="G124" s="5" t="str">
        <f>VLOOKUP(C124,Sheet2!$C$3:$D$12,2,0)</f>
        <v>Variable</v>
      </c>
      <c r="H124" s="5" t="str">
        <f>IFERROR(VLOOKUP(E124,Sheet2!$G$3:$H$8,2,0),"unkwon")</f>
        <v>online</v>
      </c>
      <c r="I124" s="5">
        <f>VLOOKUP(B124,Sheet2!$J$4:$K$15,2,0)</f>
        <v>3</v>
      </c>
      <c r="J124" s="5">
        <f>IFERROR(VLOOKUP(C124,Sheet2!$M$4:$N$12,2,0),0)</f>
        <v>5000</v>
      </c>
      <c r="K124" s="5" t="str">
        <f t="shared" si="1"/>
        <v>within budget</v>
      </c>
    </row>
    <row r="125" spans="1:11" x14ac:dyDescent="0.3">
      <c r="A125" s="6">
        <v>44952</v>
      </c>
      <c r="B125" s="5" t="s">
        <v>37</v>
      </c>
      <c r="C125" s="5" t="s">
        <v>41</v>
      </c>
      <c r="D125" s="5" t="s">
        <v>18</v>
      </c>
      <c r="E125" s="5" t="s">
        <v>12</v>
      </c>
      <c r="F125" s="5">
        <v>689</v>
      </c>
      <c r="G125" s="5" t="str">
        <f>VLOOKUP(C125,Sheet2!$C$3:$D$12,2,0)</f>
        <v>Variable</v>
      </c>
      <c r="H125" s="5" t="str">
        <f>IFERROR(VLOOKUP(E125,Sheet2!$G$3:$H$8,2,0),"unkwon")</f>
        <v>online</v>
      </c>
      <c r="I125" s="5">
        <f>VLOOKUP(B125,Sheet2!$J$4:$K$15,2,0)</f>
        <v>1</v>
      </c>
      <c r="J125" s="5">
        <f>IFERROR(VLOOKUP(C125,Sheet2!$M$4:$N$12,2,0),0)</f>
        <v>7000</v>
      </c>
      <c r="K125" s="5" t="str">
        <f t="shared" si="1"/>
        <v>within budget</v>
      </c>
    </row>
    <row r="126" spans="1:11" x14ac:dyDescent="0.3">
      <c r="A126" s="6">
        <v>45135</v>
      </c>
      <c r="B126" s="5" t="s">
        <v>21</v>
      </c>
      <c r="C126" s="5" t="s">
        <v>41</v>
      </c>
      <c r="D126" s="5" t="s">
        <v>11</v>
      </c>
      <c r="E126" s="5" t="s">
        <v>12</v>
      </c>
      <c r="F126" s="5">
        <v>3222</v>
      </c>
      <c r="G126" s="5" t="str">
        <f>VLOOKUP(C126,Sheet2!$C$3:$D$12,2,0)</f>
        <v>Variable</v>
      </c>
      <c r="H126" s="5" t="str">
        <f>IFERROR(VLOOKUP(E126,Sheet2!$G$3:$H$8,2,0),"unkwon")</f>
        <v>online</v>
      </c>
      <c r="I126" s="5">
        <f>VLOOKUP(B126,Sheet2!$J$4:$K$15,2,0)</f>
        <v>7</v>
      </c>
      <c r="J126" s="5">
        <f>IFERROR(VLOOKUP(C126,Sheet2!$M$4:$N$12,2,0),0)</f>
        <v>7000</v>
      </c>
      <c r="K126" s="5" t="str">
        <f t="shared" si="1"/>
        <v>within budget</v>
      </c>
    </row>
    <row r="127" spans="1:11" x14ac:dyDescent="0.3">
      <c r="A127" s="6">
        <v>45387</v>
      </c>
      <c r="B127" s="5" t="s">
        <v>29</v>
      </c>
      <c r="C127" s="5" t="s">
        <v>27</v>
      </c>
      <c r="D127" s="5" t="s">
        <v>24</v>
      </c>
      <c r="E127" s="5" t="s">
        <v>15</v>
      </c>
      <c r="F127" s="5">
        <v>3594</v>
      </c>
      <c r="G127" s="5" t="str">
        <f>VLOOKUP(C127,Sheet2!$C$3:$D$12,2,0)</f>
        <v>Variable</v>
      </c>
      <c r="H127" s="5" t="str">
        <f>IFERROR(VLOOKUP(E127,Sheet2!$G$3:$H$8,2,0),"unkwon")</f>
        <v>online</v>
      </c>
      <c r="I127" s="5">
        <f>VLOOKUP(B127,Sheet2!$J$4:$K$15,2,0)</f>
        <v>4</v>
      </c>
      <c r="J127" s="5">
        <f>IFERROR(VLOOKUP(C127,Sheet2!$M$4:$N$12,2,0),0)</f>
        <v>4000</v>
      </c>
      <c r="K127" s="5" t="str">
        <f t="shared" si="1"/>
        <v>within budget</v>
      </c>
    </row>
    <row r="128" spans="1:11" x14ac:dyDescent="0.3">
      <c r="A128" s="6">
        <v>45426</v>
      </c>
      <c r="B128" s="5" t="s">
        <v>28</v>
      </c>
      <c r="C128" s="5" t="s">
        <v>41</v>
      </c>
      <c r="D128" s="5" t="s">
        <v>8</v>
      </c>
      <c r="E128" s="5" t="s">
        <v>15</v>
      </c>
      <c r="F128" s="5">
        <v>3827</v>
      </c>
      <c r="G128" s="5" t="str">
        <f>VLOOKUP(C128,Sheet2!$C$3:$D$12,2,0)</f>
        <v>Variable</v>
      </c>
      <c r="H128" s="5" t="str">
        <f>IFERROR(VLOOKUP(E128,Sheet2!$G$3:$H$8,2,0),"unkwon")</f>
        <v>online</v>
      </c>
      <c r="I128" s="5">
        <f>VLOOKUP(B128,Sheet2!$J$4:$K$15,2,0)</f>
        <v>5</v>
      </c>
      <c r="J128" s="5">
        <f>IFERROR(VLOOKUP(C128,Sheet2!$M$4:$N$12,2,0),0)</f>
        <v>7000</v>
      </c>
      <c r="K128" s="5" t="str">
        <f t="shared" si="1"/>
        <v>within budget</v>
      </c>
    </row>
    <row r="129" spans="1:11" x14ac:dyDescent="0.3">
      <c r="A129" s="6">
        <v>45038</v>
      </c>
      <c r="B129" s="5" t="s">
        <v>29</v>
      </c>
      <c r="C129" s="5" t="s">
        <v>13</v>
      </c>
      <c r="D129" s="5" t="s">
        <v>34</v>
      </c>
      <c r="E129" s="5" t="s">
        <v>32</v>
      </c>
      <c r="F129" s="5">
        <v>2311</v>
      </c>
      <c r="G129" s="5" t="str">
        <f>VLOOKUP(C129,Sheet2!$C$3:$D$12,2,0)</f>
        <v>Variable</v>
      </c>
      <c r="H129" s="5" t="str">
        <f>IFERROR(VLOOKUP(E129,Sheet2!$G$3:$H$8,2,0),"unkwon")</f>
        <v>offline</v>
      </c>
      <c r="I129" s="5">
        <f>VLOOKUP(B129,Sheet2!$J$4:$K$15,2,0)</f>
        <v>4</v>
      </c>
      <c r="J129" s="5">
        <f>IFERROR(VLOOKUP(C129,Sheet2!$M$4:$N$12,2,0),0)</f>
        <v>5000</v>
      </c>
      <c r="K129" s="5" t="str">
        <f t="shared" si="1"/>
        <v>within budget</v>
      </c>
    </row>
    <row r="130" spans="1:11" x14ac:dyDescent="0.3">
      <c r="A130" s="6">
        <v>45285</v>
      </c>
      <c r="B130" s="5" t="s">
        <v>16</v>
      </c>
      <c r="C130" s="5" t="s">
        <v>30</v>
      </c>
      <c r="D130" s="5" t="s">
        <v>11</v>
      </c>
      <c r="E130" s="5" t="s">
        <v>17</v>
      </c>
      <c r="F130" s="5">
        <v>4299</v>
      </c>
      <c r="G130" s="5" t="str">
        <f>VLOOKUP(C130,Sheet2!$C$3:$D$12,2,0)</f>
        <v>Fixed</v>
      </c>
      <c r="H130" s="5" t="str">
        <f>IFERROR(VLOOKUP(E130,Sheet2!$G$3:$H$8,2,0),"unkwon")</f>
        <v>online</v>
      </c>
      <c r="I130" s="5">
        <f>VLOOKUP(B130,Sheet2!$J$4:$K$15,2,0)</f>
        <v>12</v>
      </c>
      <c r="J130" s="5">
        <f>IFERROR(VLOOKUP(C130,Sheet2!$M$4:$N$12,2,0),0)</f>
        <v>3000</v>
      </c>
      <c r="K130" s="5" t="str">
        <f t="shared" si="1"/>
        <v>over budget</v>
      </c>
    </row>
    <row r="131" spans="1:11" x14ac:dyDescent="0.3">
      <c r="A131" s="6">
        <v>45027</v>
      </c>
      <c r="B131" s="5" t="s">
        <v>29</v>
      </c>
      <c r="C131" s="5" t="s">
        <v>27</v>
      </c>
      <c r="D131" s="5" t="s">
        <v>14</v>
      </c>
      <c r="E131" s="5" t="s">
        <v>12</v>
      </c>
      <c r="F131" s="5">
        <v>4563</v>
      </c>
      <c r="G131" s="5" t="str">
        <f>VLOOKUP(C131,Sheet2!$C$3:$D$12,2,0)</f>
        <v>Variable</v>
      </c>
      <c r="H131" s="5" t="str">
        <f>IFERROR(VLOOKUP(E131,Sheet2!$G$3:$H$8,2,0),"unkwon")</f>
        <v>online</v>
      </c>
      <c r="I131" s="5">
        <f>VLOOKUP(B131,Sheet2!$J$4:$K$15,2,0)</f>
        <v>4</v>
      </c>
      <c r="J131" s="5">
        <f>IFERROR(VLOOKUP(C131,Sheet2!$M$4:$N$12,2,0),0)</f>
        <v>4000</v>
      </c>
      <c r="K131" s="5" t="str">
        <f t="shared" ref="K131:K194" si="2">IF(F131&gt;J131,"over budget","within budget")</f>
        <v>over budget</v>
      </c>
    </row>
    <row r="132" spans="1:11" x14ac:dyDescent="0.3">
      <c r="A132" s="6">
        <v>45481</v>
      </c>
      <c r="B132" s="5" t="s">
        <v>21</v>
      </c>
      <c r="C132" s="5" t="s">
        <v>7</v>
      </c>
      <c r="D132" s="5" t="s">
        <v>24</v>
      </c>
      <c r="E132" s="5" t="s">
        <v>9</v>
      </c>
      <c r="F132" s="5">
        <v>2611</v>
      </c>
      <c r="G132" s="5" t="str">
        <f>VLOOKUP(C132,Sheet2!$C$3:$D$12,2,0)</f>
        <v>Fixed</v>
      </c>
      <c r="H132" s="5" t="str">
        <f>IFERROR(VLOOKUP(E132,Sheet2!$G$3:$H$8,2,0),"unkwon")</f>
        <v>online</v>
      </c>
      <c r="I132" s="5">
        <f>VLOOKUP(B132,Sheet2!$J$4:$K$15,2,0)</f>
        <v>7</v>
      </c>
      <c r="J132" s="5">
        <f>IFERROR(VLOOKUP(C132,Sheet2!$M$4:$N$12,2,0),0)</f>
        <v>2000</v>
      </c>
      <c r="K132" s="5" t="str">
        <f t="shared" si="2"/>
        <v>over budget</v>
      </c>
    </row>
    <row r="133" spans="1:11" x14ac:dyDescent="0.3">
      <c r="A133" s="6">
        <v>45333</v>
      </c>
      <c r="B133" s="5" t="s">
        <v>33</v>
      </c>
      <c r="C133" s="5" t="s">
        <v>41</v>
      </c>
      <c r="D133" s="5" t="s">
        <v>26</v>
      </c>
      <c r="E133" s="5" t="s">
        <v>17</v>
      </c>
      <c r="F133" s="5">
        <v>2010</v>
      </c>
      <c r="G133" s="5" t="str">
        <f>VLOOKUP(C133,Sheet2!$C$3:$D$12,2,0)</f>
        <v>Variable</v>
      </c>
      <c r="H133" s="5" t="str">
        <f>IFERROR(VLOOKUP(E133,Sheet2!$G$3:$H$8,2,0),"unkwon")</f>
        <v>online</v>
      </c>
      <c r="I133" s="5">
        <f>VLOOKUP(B133,Sheet2!$J$4:$K$15,2,0)</f>
        <v>2</v>
      </c>
      <c r="J133" s="5">
        <f>IFERROR(VLOOKUP(C133,Sheet2!$M$4:$N$12,2,0),0)</f>
        <v>7000</v>
      </c>
      <c r="K133" s="5" t="str">
        <f t="shared" si="2"/>
        <v>within budget</v>
      </c>
    </row>
    <row r="134" spans="1:11" x14ac:dyDescent="0.3">
      <c r="A134" s="6">
        <v>45121</v>
      </c>
      <c r="B134" s="5" t="s">
        <v>21</v>
      </c>
      <c r="C134" s="5" t="s">
        <v>41</v>
      </c>
      <c r="D134" s="5" t="s">
        <v>11</v>
      </c>
      <c r="E134" s="5" t="s">
        <v>32</v>
      </c>
      <c r="F134" s="5">
        <v>703</v>
      </c>
      <c r="G134" s="5" t="str">
        <f>VLOOKUP(C134,Sheet2!$C$3:$D$12,2,0)</f>
        <v>Variable</v>
      </c>
      <c r="H134" s="5" t="str">
        <f>IFERROR(VLOOKUP(E134,Sheet2!$G$3:$H$8,2,0),"unkwon")</f>
        <v>offline</v>
      </c>
      <c r="I134" s="5">
        <f>VLOOKUP(B134,Sheet2!$J$4:$K$15,2,0)</f>
        <v>7</v>
      </c>
      <c r="J134" s="5">
        <f>IFERROR(VLOOKUP(C134,Sheet2!$M$4:$N$12,2,0),0)</f>
        <v>7000</v>
      </c>
      <c r="K134" s="5" t="str">
        <f t="shared" si="2"/>
        <v>within budget</v>
      </c>
    </row>
    <row r="135" spans="1:11" x14ac:dyDescent="0.3">
      <c r="A135" s="6">
        <v>45337</v>
      </c>
      <c r="B135" s="5" t="s">
        <v>33</v>
      </c>
      <c r="C135" s="5" t="s">
        <v>41</v>
      </c>
      <c r="D135" s="5" t="s">
        <v>20</v>
      </c>
      <c r="E135" s="5" t="s">
        <v>12</v>
      </c>
      <c r="F135" s="5">
        <v>3965</v>
      </c>
      <c r="G135" s="5" t="str">
        <f>VLOOKUP(C135,Sheet2!$C$3:$D$12,2,0)</f>
        <v>Variable</v>
      </c>
      <c r="H135" s="5" t="str">
        <f>IFERROR(VLOOKUP(E135,Sheet2!$G$3:$H$8,2,0),"unkwon")</f>
        <v>online</v>
      </c>
      <c r="I135" s="5">
        <f>VLOOKUP(B135,Sheet2!$J$4:$K$15,2,0)</f>
        <v>2</v>
      </c>
      <c r="J135" s="5">
        <f>IFERROR(VLOOKUP(C135,Sheet2!$M$4:$N$12,2,0),0)</f>
        <v>7000</v>
      </c>
      <c r="K135" s="5" t="str">
        <f t="shared" si="2"/>
        <v>within budget</v>
      </c>
    </row>
    <row r="136" spans="1:11" x14ac:dyDescent="0.3">
      <c r="A136" s="6">
        <v>45480</v>
      </c>
      <c r="B136" s="5" t="s">
        <v>21</v>
      </c>
      <c r="C136" s="5" t="s">
        <v>7</v>
      </c>
      <c r="D136" s="5" t="s">
        <v>34</v>
      </c>
      <c r="E136" s="5" t="s">
        <v>32</v>
      </c>
      <c r="F136" s="5">
        <v>854</v>
      </c>
      <c r="G136" s="5" t="str">
        <f>VLOOKUP(C136,Sheet2!$C$3:$D$12,2,0)</f>
        <v>Fixed</v>
      </c>
      <c r="H136" s="5" t="str">
        <f>IFERROR(VLOOKUP(E136,Sheet2!$G$3:$H$8,2,0),"unkwon")</f>
        <v>offline</v>
      </c>
      <c r="I136" s="5">
        <f>VLOOKUP(B136,Sheet2!$J$4:$K$15,2,0)</f>
        <v>7</v>
      </c>
      <c r="J136" s="5">
        <f>IFERROR(VLOOKUP(C136,Sheet2!$M$4:$N$12,2,0),0)</f>
        <v>2000</v>
      </c>
      <c r="K136" s="5" t="str">
        <f t="shared" si="2"/>
        <v>within budget</v>
      </c>
    </row>
    <row r="137" spans="1:11" x14ac:dyDescent="0.3">
      <c r="A137" s="6">
        <v>44928</v>
      </c>
      <c r="B137" s="5" t="s">
        <v>37</v>
      </c>
      <c r="C137" s="5" t="s">
        <v>7</v>
      </c>
      <c r="D137" s="5" t="s">
        <v>18</v>
      </c>
      <c r="E137" s="5" t="s">
        <v>17</v>
      </c>
      <c r="F137" s="5">
        <v>4863</v>
      </c>
      <c r="G137" s="5" t="str">
        <f>VLOOKUP(C137,Sheet2!$C$3:$D$12,2,0)</f>
        <v>Fixed</v>
      </c>
      <c r="H137" s="5" t="str">
        <f>IFERROR(VLOOKUP(E137,Sheet2!$G$3:$H$8,2,0),"unkwon")</f>
        <v>online</v>
      </c>
      <c r="I137" s="5">
        <f>VLOOKUP(B137,Sheet2!$J$4:$K$15,2,0)</f>
        <v>1</v>
      </c>
      <c r="J137" s="5">
        <f>IFERROR(VLOOKUP(C137,Sheet2!$M$4:$N$12,2,0),0)</f>
        <v>2000</v>
      </c>
      <c r="K137" s="5" t="str">
        <f t="shared" si="2"/>
        <v>over budget</v>
      </c>
    </row>
    <row r="138" spans="1:11" x14ac:dyDescent="0.3">
      <c r="A138" s="6">
        <v>45311</v>
      </c>
      <c r="B138" s="5" t="s">
        <v>37</v>
      </c>
      <c r="C138" s="5" t="s">
        <v>22</v>
      </c>
      <c r="D138" s="5" t="s">
        <v>23</v>
      </c>
      <c r="E138" s="5" t="s">
        <v>17</v>
      </c>
      <c r="F138" s="5">
        <v>3609</v>
      </c>
      <c r="G138" s="5" t="str">
        <f>VLOOKUP(C138,Sheet2!$C$3:$D$12,2,0)</f>
        <v>Variable</v>
      </c>
      <c r="H138" s="5" t="str">
        <f>IFERROR(VLOOKUP(E138,Sheet2!$G$3:$H$8,2,0),"unkwon")</f>
        <v>online</v>
      </c>
      <c r="I138" s="5">
        <f>VLOOKUP(B138,Sheet2!$J$4:$K$15,2,0)</f>
        <v>1</v>
      </c>
      <c r="J138" s="5">
        <f>IFERROR(VLOOKUP(C138,Sheet2!$M$4:$N$12,2,0),0)</f>
        <v>1000</v>
      </c>
      <c r="K138" s="5" t="str">
        <f t="shared" si="2"/>
        <v>over budget</v>
      </c>
    </row>
    <row r="139" spans="1:11" x14ac:dyDescent="0.3">
      <c r="A139" s="6">
        <v>45644</v>
      </c>
      <c r="B139" s="5" t="s">
        <v>16</v>
      </c>
      <c r="C139" s="5" t="s">
        <v>41</v>
      </c>
      <c r="D139" s="5" t="s">
        <v>14</v>
      </c>
      <c r="E139" s="5" t="s">
        <v>17</v>
      </c>
      <c r="F139" s="5">
        <v>4953</v>
      </c>
      <c r="G139" s="5" t="str">
        <f>VLOOKUP(C139,Sheet2!$C$3:$D$12,2,0)</f>
        <v>Variable</v>
      </c>
      <c r="H139" s="5" t="str">
        <f>IFERROR(VLOOKUP(E139,Sheet2!$G$3:$H$8,2,0),"unkwon")</f>
        <v>online</v>
      </c>
      <c r="I139" s="5">
        <f>VLOOKUP(B139,Sheet2!$J$4:$K$15,2,0)</f>
        <v>12</v>
      </c>
      <c r="J139" s="5">
        <f>IFERROR(VLOOKUP(C139,Sheet2!$M$4:$N$12,2,0),0)</f>
        <v>7000</v>
      </c>
      <c r="K139" s="5" t="str">
        <f t="shared" si="2"/>
        <v>within budget</v>
      </c>
    </row>
    <row r="140" spans="1:11" x14ac:dyDescent="0.3">
      <c r="A140" s="6">
        <v>45463</v>
      </c>
      <c r="B140" s="5" t="s">
        <v>39</v>
      </c>
      <c r="C140" s="5" t="s">
        <v>7</v>
      </c>
      <c r="D140" s="5" t="s">
        <v>14</v>
      </c>
      <c r="E140" s="5" t="s">
        <v>9</v>
      </c>
      <c r="F140" s="5">
        <v>2939</v>
      </c>
      <c r="G140" s="5" t="str">
        <f>VLOOKUP(C140,Sheet2!$C$3:$D$12,2,0)</f>
        <v>Fixed</v>
      </c>
      <c r="H140" s="5" t="str">
        <f>IFERROR(VLOOKUP(E140,Sheet2!$G$3:$H$8,2,0),"unkwon")</f>
        <v>online</v>
      </c>
      <c r="I140" s="5">
        <f>VLOOKUP(B140,Sheet2!$J$4:$K$15,2,0)</f>
        <v>6</v>
      </c>
      <c r="J140" s="5">
        <f>IFERROR(VLOOKUP(C140,Sheet2!$M$4:$N$12,2,0),0)</f>
        <v>2000</v>
      </c>
      <c r="K140" s="5" t="str">
        <f t="shared" si="2"/>
        <v>over budget</v>
      </c>
    </row>
    <row r="141" spans="1:11" x14ac:dyDescent="0.3">
      <c r="A141" s="6">
        <v>45553</v>
      </c>
      <c r="B141" s="5" t="s">
        <v>38</v>
      </c>
      <c r="C141" s="5" t="s">
        <v>7</v>
      </c>
      <c r="D141" s="5" t="s">
        <v>24</v>
      </c>
      <c r="E141" s="5" t="s">
        <v>17</v>
      </c>
      <c r="F141" s="5">
        <v>497</v>
      </c>
      <c r="G141" s="5" t="str">
        <f>VLOOKUP(C141,Sheet2!$C$3:$D$12,2,0)</f>
        <v>Fixed</v>
      </c>
      <c r="H141" s="5" t="str">
        <f>IFERROR(VLOOKUP(E141,Sheet2!$G$3:$H$8,2,0),"unkwon")</f>
        <v>online</v>
      </c>
      <c r="I141" s="5">
        <f>VLOOKUP(B141,Sheet2!$J$4:$K$15,2,0)</f>
        <v>9</v>
      </c>
      <c r="J141" s="5">
        <f>IFERROR(VLOOKUP(C141,Sheet2!$M$4:$N$12,2,0),0)</f>
        <v>2000</v>
      </c>
      <c r="K141" s="5" t="str">
        <f t="shared" si="2"/>
        <v>within budget</v>
      </c>
    </row>
    <row r="142" spans="1:11" x14ac:dyDescent="0.3">
      <c r="A142" s="6">
        <v>45278</v>
      </c>
      <c r="B142" s="5" t="s">
        <v>16</v>
      </c>
      <c r="C142" s="5" t="s">
        <v>35</v>
      </c>
      <c r="D142" s="5" t="s">
        <v>18</v>
      </c>
      <c r="E142" s="5" t="s">
        <v>12</v>
      </c>
      <c r="F142" s="5">
        <v>2196</v>
      </c>
      <c r="G142" s="5" t="str">
        <f>VLOOKUP(C142,Sheet2!$C$3:$D$12,2,0)</f>
        <v>Fixed</v>
      </c>
      <c r="H142" s="5" t="str">
        <f>IFERROR(VLOOKUP(E142,Sheet2!$G$3:$H$8,2,0),"unkwon")</f>
        <v>online</v>
      </c>
      <c r="I142" s="5">
        <f>VLOOKUP(B142,Sheet2!$J$4:$K$15,2,0)</f>
        <v>12</v>
      </c>
      <c r="J142" s="5">
        <f>IFERROR(VLOOKUP(C142,Sheet2!$M$4:$N$12,2,0),0)</f>
        <v>5500</v>
      </c>
      <c r="K142" s="5" t="str">
        <f t="shared" si="2"/>
        <v>within budget</v>
      </c>
    </row>
    <row r="143" spans="1:11" x14ac:dyDescent="0.3">
      <c r="A143" s="6">
        <v>45521</v>
      </c>
      <c r="B143" s="5" t="s">
        <v>25</v>
      </c>
      <c r="C143" s="5" t="s">
        <v>13</v>
      </c>
      <c r="D143" s="5" t="s">
        <v>23</v>
      </c>
      <c r="E143" s="5" t="s">
        <v>15</v>
      </c>
      <c r="F143" s="5">
        <v>1316</v>
      </c>
      <c r="G143" s="5" t="str">
        <f>VLOOKUP(C143,Sheet2!$C$3:$D$12,2,0)</f>
        <v>Variable</v>
      </c>
      <c r="H143" s="5" t="str">
        <f>IFERROR(VLOOKUP(E143,Sheet2!$G$3:$H$8,2,0),"unkwon")</f>
        <v>online</v>
      </c>
      <c r="I143" s="5">
        <f>VLOOKUP(B143,Sheet2!$J$4:$K$15,2,0)</f>
        <v>8</v>
      </c>
      <c r="J143" s="5">
        <f>IFERROR(VLOOKUP(C143,Sheet2!$M$4:$N$12,2,0),0)</f>
        <v>5000</v>
      </c>
      <c r="K143" s="5" t="str">
        <f t="shared" si="2"/>
        <v>within budget</v>
      </c>
    </row>
    <row r="144" spans="1:11" x14ac:dyDescent="0.3">
      <c r="A144" s="6">
        <v>45004</v>
      </c>
      <c r="B144" s="5" t="s">
        <v>19</v>
      </c>
      <c r="C144" s="5" t="s">
        <v>35</v>
      </c>
      <c r="D144" s="5" t="s">
        <v>23</v>
      </c>
      <c r="E144" s="5" t="s">
        <v>12</v>
      </c>
      <c r="F144" s="5">
        <v>1980</v>
      </c>
      <c r="G144" s="5" t="str">
        <f>VLOOKUP(C144,Sheet2!$C$3:$D$12,2,0)</f>
        <v>Fixed</v>
      </c>
      <c r="H144" s="5" t="str">
        <f>IFERROR(VLOOKUP(E144,Sheet2!$G$3:$H$8,2,0),"unkwon")</f>
        <v>online</v>
      </c>
      <c r="I144" s="5">
        <f>VLOOKUP(B144,Sheet2!$J$4:$K$15,2,0)</f>
        <v>3</v>
      </c>
      <c r="J144" s="5">
        <f>IFERROR(VLOOKUP(C144,Sheet2!$M$4:$N$12,2,0),0)</f>
        <v>5500</v>
      </c>
      <c r="K144" s="5" t="str">
        <f t="shared" si="2"/>
        <v>within budget</v>
      </c>
    </row>
    <row r="145" spans="1:11" x14ac:dyDescent="0.3">
      <c r="A145" s="6">
        <v>45630</v>
      </c>
      <c r="B145" s="5" t="s">
        <v>16</v>
      </c>
      <c r="C145" s="5" t="s">
        <v>30</v>
      </c>
      <c r="D145" s="5" t="s">
        <v>26</v>
      </c>
      <c r="E145" s="5" t="s">
        <v>32</v>
      </c>
      <c r="F145" s="5">
        <v>2194</v>
      </c>
      <c r="G145" s="5" t="str">
        <f>VLOOKUP(C145,Sheet2!$C$3:$D$12,2,0)</f>
        <v>Fixed</v>
      </c>
      <c r="H145" s="5" t="str">
        <f>IFERROR(VLOOKUP(E145,Sheet2!$G$3:$H$8,2,0),"unkwon")</f>
        <v>offline</v>
      </c>
      <c r="I145" s="5">
        <f>VLOOKUP(B145,Sheet2!$J$4:$K$15,2,0)</f>
        <v>12</v>
      </c>
      <c r="J145" s="5">
        <f>IFERROR(VLOOKUP(C145,Sheet2!$M$4:$N$12,2,0),0)</f>
        <v>3000</v>
      </c>
      <c r="K145" s="5" t="str">
        <f t="shared" si="2"/>
        <v>within budget</v>
      </c>
    </row>
    <row r="146" spans="1:11" x14ac:dyDescent="0.3">
      <c r="A146" s="6">
        <v>44989</v>
      </c>
      <c r="B146" s="5" t="s">
        <v>19</v>
      </c>
      <c r="C146" s="5" t="s">
        <v>36</v>
      </c>
      <c r="D146" s="5" t="s">
        <v>20</v>
      </c>
      <c r="E146" s="5" t="s">
        <v>9</v>
      </c>
      <c r="F146" s="5">
        <v>1684</v>
      </c>
      <c r="G146" s="5" t="str">
        <f>VLOOKUP(C146,Sheet2!$C$3:$D$12,2,0)</f>
        <v>Variable</v>
      </c>
      <c r="H146" s="5" t="str">
        <f>IFERROR(VLOOKUP(E146,Sheet2!$G$3:$H$8,2,0),"unkwon")</f>
        <v>online</v>
      </c>
      <c r="I146" s="5">
        <f>VLOOKUP(B146,Sheet2!$J$4:$K$15,2,0)</f>
        <v>3</v>
      </c>
      <c r="J146" s="5">
        <f>IFERROR(VLOOKUP(C146,Sheet2!$M$4:$N$12,2,0),0)</f>
        <v>10000</v>
      </c>
      <c r="K146" s="5" t="str">
        <f t="shared" si="2"/>
        <v>within budget</v>
      </c>
    </row>
    <row r="147" spans="1:11" x14ac:dyDescent="0.3">
      <c r="A147" s="6">
        <v>44933</v>
      </c>
      <c r="B147" s="5" t="s">
        <v>37</v>
      </c>
      <c r="C147" s="5" t="s">
        <v>22</v>
      </c>
      <c r="D147" s="5" t="s">
        <v>34</v>
      </c>
      <c r="E147" s="5" t="s">
        <v>9</v>
      </c>
      <c r="F147" s="5">
        <v>167</v>
      </c>
      <c r="G147" s="5" t="str">
        <f>VLOOKUP(C147,Sheet2!$C$3:$D$12,2,0)</f>
        <v>Variable</v>
      </c>
      <c r="H147" s="5" t="str">
        <f>IFERROR(VLOOKUP(E147,Sheet2!$G$3:$H$8,2,0),"unkwon")</f>
        <v>online</v>
      </c>
      <c r="I147" s="5">
        <f>VLOOKUP(B147,Sheet2!$J$4:$K$15,2,0)</f>
        <v>1</v>
      </c>
      <c r="J147" s="5">
        <f>IFERROR(VLOOKUP(C147,Sheet2!$M$4:$N$12,2,0),0)</f>
        <v>1000</v>
      </c>
      <c r="K147" s="5" t="str">
        <f t="shared" si="2"/>
        <v>within budget</v>
      </c>
    </row>
    <row r="148" spans="1:11" x14ac:dyDescent="0.3">
      <c r="A148" s="6">
        <v>45099</v>
      </c>
      <c r="B148" s="5" t="s">
        <v>39</v>
      </c>
      <c r="C148" s="5" t="s">
        <v>30</v>
      </c>
      <c r="D148" s="5" t="s">
        <v>20</v>
      </c>
      <c r="E148" s="5" t="s">
        <v>15</v>
      </c>
      <c r="F148" s="5">
        <v>4833</v>
      </c>
      <c r="G148" s="5" t="str">
        <f>VLOOKUP(C148,Sheet2!$C$3:$D$12,2,0)</f>
        <v>Fixed</v>
      </c>
      <c r="H148" s="5" t="str">
        <f>IFERROR(VLOOKUP(E148,Sheet2!$G$3:$H$8,2,0),"unkwon")</f>
        <v>online</v>
      </c>
      <c r="I148" s="5">
        <f>VLOOKUP(B148,Sheet2!$J$4:$K$15,2,0)</f>
        <v>6</v>
      </c>
      <c r="J148" s="5">
        <f>IFERROR(VLOOKUP(C148,Sheet2!$M$4:$N$12,2,0),0)</f>
        <v>3000</v>
      </c>
      <c r="K148" s="5" t="str">
        <f t="shared" si="2"/>
        <v>over budget</v>
      </c>
    </row>
    <row r="149" spans="1:11" x14ac:dyDescent="0.3">
      <c r="A149" s="6">
        <v>45423</v>
      </c>
      <c r="B149" s="5" t="s">
        <v>28</v>
      </c>
      <c r="C149" s="5" t="s">
        <v>7</v>
      </c>
      <c r="D149" s="5" t="s">
        <v>14</v>
      </c>
      <c r="E149" s="5" t="s">
        <v>15</v>
      </c>
      <c r="F149" s="5">
        <v>1794</v>
      </c>
      <c r="G149" s="5" t="str">
        <f>VLOOKUP(C149,Sheet2!$C$3:$D$12,2,0)</f>
        <v>Fixed</v>
      </c>
      <c r="H149" s="5" t="str">
        <f>IFERROR(VLOOKUP(E149,Sheet2!$G$3:$H$8,2,0),"unkwon")</f>
        <v>online</v>
      </c>
      <c r="I149" s="5">
        <f>VLOOKUP(B149,Sheet2!$J$4:$K$15,2,0)</f>
        <v>5</v>
      </c>
      <c r="J149" s="5">
        <f>IFERROR(VLOOKUP(C149,Sheet2!$M$4:$N$12,2,0),0)</f>
        <v>2000</v>
      </c>
      <c r="K149" s="5" t="str">
        <f t="shared" si="2"/>
        <v>within budget</v>
      </c>
    </row>
    <row r="150" spans="1:11" x14ac:dyDescent="0.3">
      <c r="A150" s="6">
        <v>45112</v>
      </c>
      <c r="B150" s="5" t="s">
        <v>21</v>
      </c>
      <c r="C150" s="5" t="s">
        <v>30</v>
      </c>
      <c r="D150" s="5" t="s">
        <v>24</v>
      </c>
      <c r="E150" s="5" t="s">
        <v>9</v>
      </c>
      <c r="F150" s="5">
        <v>2965</v>
      </c>
      <c r="G150" s="5" t="str">
        <f>VLOOKUP(C150,Sheet2!$C$3:$D$12,2,0)</f>
        <v>Fixed</v>
      </c>
      <c r="H150" s="5" t="str">
        <f>IFERROR(VLOOKUP(E150,Sheet2!$G$3:$H$8,2,0),"unkwon")</f>
        <v>online</v>
      </c>
      <c r="I150" s="5">
        <f>VLOOKUP(B150,Sheet2!$J$4:$K$15,2,0)</f>
        <v>7</v>
      </c>
      <c r="J150" s="5">
        <f>IFERROR(VLOOKUP(C150,Sheet2!$M$4:$N$12,2,0),0)</f>
        <v>3000</v>
      </c>
      <c r="K150" s="5" t="str">
        <f t="shared" si="2"/>
        <v>within budget</v>
      </c>
    </row>
    <row r="151" spans="1:11" x14ac:dyDescent="0.3">
      <c r="A151" s="6">
        <v>45373</v>
      </c>
      <c r="B151" s="5" t="s">
        <v>19</v>
      </c>
      <c r="C151" s="5" t="s">
        <v>41</v>
      </c>
      <c r="D151" s="5" t="s">
        <v>31</v>
      </c>
      <c r="E151" s="5" t="s">
        <v>9</v>
      </c>
      <c r="F151" s="5">
        <v>2521</v>
      </c>
      <c r="G151" s="5" t="str">
        <f>VLOOKUP(C151,Sheet2!$C$3:$D$12,2,0)</f>
        <v>Variable</v>
      </c>
      <c r="H151" s="5" t="str">
        <f>IFERROR(VLOOKUP(E151,Sheet2!$G$3:$H$8,2,0),"unkwon")</f>
        <v>online</v>
      </c>
      <c r="I151" s="5">
        <f>VLOOKUP(B151,Sheet2!$J$4:$K$15,2,0)</f>
        <v>3</v>
      </c>
      <c r="J151" s="5">
        <f>IFERROR(VLOOKUP(C151,Sheet2!$M$4:$N$12,2,0),0)</f>
        <v>7000</v>
      </c>
      <c r="K151" s="5" t="str">
        <f t="shared" si="2"/>
        <v>within budget</v>
      </c>
    </row>
    <row r="152" spans="1:11" x14ac:dyDescent="0.3">
      <c r="A152" s="6">
        <v>45177</v>
      </c>
      <c r="B152" s="5" t="s">
        <v>38</v>
      </c>
      <c r="C152" s="5" t="s">
        <v>30</v>
      </c>
      <c r="D152" s="5" t="s">
        <v>34</v>
      </c>
      <c r="E152" s="5" t="s">
        <v>17</v>
      </c>
      <c r="F152" s="5">
        <v>4469</v>
      </c>
      <c r="G152" s="5" t="str">
        <f>VLOOKUP(C152,Sheet2!$C$3:$D$12,2,0)</f>
        <v>Fixed</v>
      </c>
      <c r="H152" s="5" t="str">
        <f>IFERROR(VLOOKUP(E152,Sheet2!$G$3:$H$8,2,0),"unkwon")</f>
        <v>online</v>
      </c>
      <c r="I152" s="5">
        <f>VLOOKUP(B152,Sheet2!$J$4:$K$15,2,0)</f>
        <v>9</v>
      </c>
      <c r="J152" s="5">
        <f>IFERROR(VLOOKUP(C152,Sheet2!$M$4:$N$12,2,0),0)</f>
        <v>3000</v>
      </c>
      <c r="K152" s="5" t="str">
        <f t="shared" si="2"/>
        <v>over budget</v>
      </c>
    </row>
    <row r="153" spans="1:11" x14ac:dyDescent="0.3">
      <c r="A153" s="6">
        <v>45327</v>
      </c>
      <c r="B153" s="5" t="s">
        <v>33</v>
      </c>
      <c r="C153" s="5" t="s">
        <v>27</v>
      </c>
      <c r="D153" s="5" t="s">
        <v>8</v>
      </c>
      <c r="E153" s="5" t="s">
        <v>15</v>
      </c>
      <c r="F153" s="5">
        <v>1733</v>
      </c>
      <c r="G153" s="5" t="str">
        <f>VLOOKUP(C153,Sheet2!$C$3:$D$12,2,0)</f>
        <v>Variable</v>
      </c>
      <c r="H153" s="5" t="str">
        <f>IFERROR(VLOOKUP(E153,Sheet2!$G$3:$H$8,2,0),"unkwon")</f>
        <v>online</v>
      </c>
      <c r="I153" s="5">
        <f>VLOOKUP(B153,Sheet2!$J$4:$K$15,2,0)</f>
        <v>2</v>
      </c>
      <c r="J153" s="5">
        <f>IFERROR(VLOOKUP(C153,Sheet2!$M$4:$N$12,2,0),0)</f>
        <v>4000</v>
      </c>
      <c r="K153" s="5" t="str">
        <f t="shared" si="2"/>
        <v>within budget</v>
      </c>
    </row>
    <row r="154" spans="1:11" x14ac:dyDescent="0.3">
      <c r="A154" s="6">
        <v>45192</v>
      </c>
      <c r="B154" s="5" t="s">
        <v>38</v>
      </c>
      <c r="C154" s="5" t="s">
        <v>35</v>
      </c>
      <c r="D154" s="5" t="s">
        <v>23</v>
      </c>
      <c r="E154" s="5" t="s">
        <v>15</v>
      </c>
      <c r="F154" s="5">
        <v>1987</v>
      </c>
      <c r="G154" s="5" t="str">
        <f>VLOOKUP(C154,Sheet2!$C$3:$D$12,2,0)</f>
        <v>Fixed</v>
      </c>
      <c r="H154" s="5" t="str">
        <f>IFERROR(VLOOKUP(E154,Sheet2!$G$3:$H$8,2,0),"unkwon")</f>
        <v>online</v>
      </c>
      <c r="I154" s="5">
        <f>VLOOKUP(B154,Sheet2!$J$4:$K$15,2,0)</f>
        <v>9</v>
      </c>
      <c r="J154" s="5">
        <f>IFERROR(VLOOKUP(C154,Sheet2!$M$4:$N$12,2,0),0)</f>
        <v>5500</v>
      </c>
      <c r="K154" s="5" t="str">
        <f t="shared" si="2"/>
        <v>within budget</v>
      </c>
    </row>
    <row r="155" spans="1:11" x14ac:dyDescent="0.3">
      <c r="A155" s="6">
        <v>45188</v>
      </c>
      <c r="B155" s="5" t="s">
        <v>38</v>
      </c>
      <c r="C155" s="5" t="s">
        <v>27</v>
      </c>
      <c r="D155" s="5" t="s">
        <v>11</v>
      </c>
      <c r="E155" s="5" t="s">
        <v>32</v>
      </c>
      <c r="F155" s="5">
        <v>2990</v>
      </c>
      <c r="G155" s="5" t="str">
        <f>VLOOKUP(C155,Sheet2!$C$3:$D$12,2,0)</f>
        <v>Variable</v>
      </c>
      <c r="H155" s="5" t="str">
        <f>IFERROR(VLOOKUP(E155,Sheet2!$G$3:$H$8,2,0),"unkwon")</f>
        <v>offline</v>
      </c>
      <c r="I155" s="5">
        <f>VLOOKUP(B155,Sheet2!$J$4:$K$15,2,0)</f>
        <v>9</v>
      </c>
      <c r="J155" s="5">
        <f>IFERROR(VLOOKUP(C155,Sheet2!$M$4:$N$12,2,0),0)</f>
        <v>4000</v>
      </c>
      <c r="K155" s="5" t="str">
        <f t="shared" si="2"/>
        <v>within budget</v>
      </c>
    </row>
    <row r="156" spans="1:11" x14ac:dyDescent="0.3">
      <c r="A156" s="6">
        <v>45279</v>
      </c>
      <c r="B156" s="5" t="s">
        <v>16</v>
      </c>
      <c r="C156" s="5" t="s">
        <v>35</v>
      </c>
      <c r="D156" s="5" t="s">
        <v>26</v>
      </c>
      <c r="E156" s="5" t="s">
        <v>12</v>
      </c>
      <c r="F156" s="5">
        <v>3304</v>
      </c>
      <c r="G156" s="5" t="str">
        <f>VLOOKUP(C156,Sheet2!$C$3:$D$12,2,0)</f>
        <v>Fixed</v>
      </c>
      <c r="H156" s="5" t="str">
        <f>IFERROR(VLOOKUP(E156,Sheet2!$G$3:$H$8,2,0),"unkwon")</f>
        <v>online</v>
      </c>
      <c r="I156" s="5">
        <f>VLOOKUP(B156,Sheet2!$J$4:$K$15,2,0)</f>
        <v>12</v>
      </c>
      <c r="J156" s="5">
        <f>IFERROR(VLOOKUP(C156,Sheet2!$M$4:$N$12,2,0),0)</f>
        <v>5500</v>
      </c>
      <c r="K156" s="5" t="str">
        <f t="shared" si="2"/>
        <v>within budget</v>
      </c>
    </row>
    <row r="157" spans="1:11" x14ac:dyDescent="0.3">
      <c r="A157" s="6">
        <v>45162</v>
      </c>
      <c r="B157" s="5" t="s">
        <v>25</v>
      </c>
      <c r="C157" s="5" t="s">
        <v>41</v>
      </c>
      <c r="D157" s="5" t="s">
        <v>26</v>
      </c>
      <c r="E157" s="5" t="s">
        <v>9</v>
      </c>
      <c r="F157" s="5">
        <v>278</v>
      </c>
      <c r="G157" s="5" t="str">
        <f>VLOOKUP(C157,Sheet2!$C$3:$D$12,2,0)</f>
        <v>Variable</v>
      </c>
      <c r="H157" s="5" t="str">
        <f>IFERROR(VLOOKUP(E157,Sheet2!$G$3:$H$8,2,0),"unkwon")</f>
        <v>online</v>
      </c>
      <c r="I157" s="5">
        <f>VLOOKUP(B157,Sheet2!$J$4:$K$15,2,0)</f>
        <v>8</v>
      </c>
      <c r="J157" s="5">
        <f>IFERROR(VLOOKUP(C157,Sheet2!$M$4:$N$12,2,0),0)</f>
        <v>7000</v>
      </c>
      <c r="K157" s="5" t="str">
        <f t="shared" si="2"/>
        <v>within budget</v>
      </c>
    </row>
    <row r="158" spans="1:11" x14ac:dyDescent="0.3">
      <c r="A158" s="6">
        <v>45362</v>
      </c>
      <c r="B158" s="5" t="s">
        <v>19</v>
      </c>
      <c r="C158" s="5" t="s">
        <v>27</v>
      </c>
      <c r="D158" s="5" t="s">
        <v>20</v>
      </c>
      <c r="E158" s="5" t="s">
        <v>12</v>
      </c>
      <c r="F158" s="5">
        <v>1216</v>
      </c>
      <c r="G158" s="5" t="str">
        <f>VLOOKUP(C158,Sheet2!$C$3:$D$12,2,0)</f>
        <v>Variable</v>
      </c>
      <c r="H158" s="5" t="str">
        <f>IFERROR(VLOOKUP(E158,Sheet2!$G$3:$H$8,2,0),"unkwon")</f>
        <v>online</v>
      </c>
      <c r="I158" s="5">
        <f>VLOOKUP(B158,Sheet2!$J$4:$K$15,2,0)</f>
        <v>3</v>
      </c>
      <c r="J158" s="5">
        <f>IFERROR(VLOOKUP(C158,Sheet2!$M$4:$N$12,2,0),0)</f>
        <v>4000</v>
      </c>
      <c r="K158" s="5" t="str">
        <f t="shared" si="2"/>
        <v>within budget</v>
      </c>
    </row>
    <row r="159" spans="1:11" x14ac:dyDescent="0.3">
      <c r="A159" s="6">
        <v>45118</v>
      </c>
      <c r="B159" s="5" t="s">
        <v>21</v>
      </c>
      <c r="C159" s="5" t="s">
        <v>22</v>
      </c>
      <c r="D159" s="5" t="s">
        <v>34</v>
      </c>
      <c r="E159" s="5" t="s">
        <v>32</v>
      </c>
      <c r="F159" s="5">
        <v>2531</v>
      </c>
      <c r="G159" s="5" t="str">
        <f>VLOOKUP(C159,Sheet2!$C$3:$D$12,2,0)</f>
        <v>Variable</v>
      </c>
      <c r="H159" s="5" t="str">
        <f>IFERROR(VLOOKUP(E159,Sheet2!$G$3:$H$8,2,0),"unkwon")</f>
        <v>offline</v>
      </c>
      <c r="I159" s="5">
        <f>VLOOKUP(B159,Sheet2!$J$4:$K$15,2,0)</f>
        <v>7</v>
      </c>
      <c r="J159" s="5">
        <f>IFERROR(VLOOKUP(C159,Sheet2!$M$4:$N$12,2,0),0)</f>
        <v>1000</v>
      </c>
      <c r="K159" s="5" t="str">
        <f t="shared" si="2"/>
        <v>over budget</v>
      </c>
    </row>
    <row r="160" spans="1:11" x14ac:dyDescent="0.3">
      <c r="A160" s="6">
        <v>45506</v>
      </c>
      <c r="B160" s="5" t="s">
        <v>25</v>
      </c>
      <c r="C160" s="5" t="s">
        <v>10</v>
      </c>
      <c r="D160" s="5" t="s">
        <v>18</v>
      </c>
      <c r="E160" s="5" t="s">
        <v>9</v>
      </c>
      <c r="F160" s="5">
        <v>4606</v>
      </c>
      <c r="G160" s="5" t="str">
        <f>VLOOKUP(C160,Sheet2!$C$3:$D$12,2,0)</f>
        <v>Variable</v>
      </c>
      <c r="H160" s="5" t="str">
        <f>IFERROR(VLOOKUP(E160,Sheet2!$G$3:$H$8,2,0),"unkwon")</f>
        <v>online</v>
      </c>
      <c r="I160" s="5">
        <f>VLOOKUP(B160,Sheet2!$J$4:$K$15,2,0)</f>
        <v>8</v>
      </c>
      <c r="J160" s="5">
        <f>IFERROR(VLOOKUP(C160,Sheet2!$M$4:$N$12,2,0),0)</f>
        <v>5000</v>
      </c>
      <c r="K160" s="5" t="str">
        <f t="shared" si="2"/>
        <v>within budget</v>
      </c>
    </row>
    <row r="161" spans="1:11" x14ac:dyDescent="0.3">
      <c r="A161" s="6">
        <v>45088</v>
      </c>
      <c r="B161" s="5" t="s">
        <v>39</v>
      </c>
      <c r="C161" s="5" t="s">
        <v>27</v>
      </c>
      <c r="D161" s="5" t="s">
        <v>18</v>
      </c>
      <c r="E161" s="5" t="s">
        <v>15</v>
      </c>
      <c r="F161" s="5">
        <v>4598</v>
      </c>
      <c r="G161" s="5" t="str">
        <f>VLOOKUP(C161,Sheet2!$C$3:$D$12,2,0)</f>
        <v>Variable</v>
      </c>
      <c r="H161" s="5" t="str">
        <f>IFERROR(VLOOKUP(E161,Sheet2!$G$3:$H$8,2,0),"unkwon")</f>
        <v>online</v>
      </c>
      <c r="I161" s="5">
        <f>VLOOKUP(B161,Sheet2!$J$4:$K$15,2,0)</f>
        <v>6</v>
      </c>
      <c r="J161" s="5">
        <f>IFERROR(VLOOKUP(C161,Sheet2!$M$4:$N$12,2,0),0)</f>
        <v>4000</v>
      </c>
      <c r="K161" s="5" t="str">
        <f t="shared" si="2"/>
        <v>over budget</v>
      </c>
    </row>
    <row r="162" spans="1:11" x14ac:dyDescent="0.3">
      <c r="A162" s="6">
        <v>45309</v>
      </c>
      <c r="B162" s="5" t="s">
        <v>37</v>
      </c>
      <c r="C162" s="5" t="s">
        <v>13</v>
      </c>
      <c r="D162" s="5" t="s">
        <v>14</v>
      </c>
      <c r="E162" s="5" t="s">
        <v>32</v>
      </c>
      <c r="F162" s="5">
        <v>3822</v>
      </c>
      <c r="G162" s="5" t="str">
        <f>VLOOKUP(C162,Sheet2!$C$3:$D$12,2,0)</f>
        <v>Variable</v>
      </c>
      <c r="H162" s="5" t="str">
        <f>IFERROR(VLOOKUP(E162,Sheet2!$G$3:$H$8,2,0),"unkwon")</f>
        <v>offline</v>
      </c>
      <c r="I162" s="5">
        <f>VLOOKUP(B162,Sheet2!$J$4:$K$15,2,0)</f>
        <v>1</v>
      </c>
      <c r="J162" s="5">
        <f>IFERROR(VLOOKUP(C162,Sheet2!$M$4:$N$12,2,0),0)</f>
        <v>5000</v>
      </c>
      <c r="K162" s="5" t="str">
        <f t="shared" si="2"/>
        <v>within budget</v>
      </c>
    </row>
    <row r="163" spans="1:11" x14ac:dyDescent="0.3">
      <c r="A163" s="6">
        <v>45579</v>
      </c>
      <c r="B163" s="5" t="s">
        <v>6</v>
      </c>
      <c r="C163" s="5" t="s">
        <v>35</v>
      </c>
      <c r="D163" s="5" t="s">
        <v>24</v>
      </c>
      <c r="E163" s="5" t="s">
        <v>17</v>
      </c>
      <c r="F163" s="5">
        <v>4679</v>
      </c>
      <c r="G163" s="5" t="str">
        <f>VLOOKUP(C163,Sheet2!$C$3:$D$12,2,0)</f>
        <v>Fixed</v>
      </c>
      <c r="H163" s="5" t="str">
        <f>IFERROR(VLOOKUP(E163,Sheet2!$G$3:$H$8,2,0),"unkwon")</f>
        <v>online</v>
      </c>
      <c r="I163" s="5">
        <f>VLOOKUP(B163,Sheet2!$J$4:$K$15,2,0)</f>
        <v>10</v>
      </c>
      <c r="J163" s="5">
        <f>IFERROR(VLOOKUP(C163,Sheet2!$M$4:$N$12,2,0),0)</f>
        <v>5500</v>
      </c>
      <c r="K163" s="5" t="str">
        <f t="shared" si="2"/>
        <v>within budget</v>
      </c>
    </row>
    <row r="164" spans="1:11" x14ac:dyDescent="0.3">
      <c r="A164" s="6">
        <v>45147</v>
      </c>
      <c r="B164" s="5" t="s">
        <v>25</v>
      </c>
      <c r="C164" s="5" t="s">
        <v>35</v>
      </c>
      <c r="D164" s="5" t="s">
        <v>18</v>
      </c>
      <c r="E164" s="5" t="s">
        <v>12</v>
      </c>
      <c r="F164" s="5">
        <v>4212</v>
      </c>
      <c r="G164" s="5" t="str">
        <f>VLOOKUP(C164,Sheet2!$C$3:$D$12,2,0)</f>
        <v>Fixed</v>
      </c>
      <c r="H164" s="5" t="str">
        <f>IFERROR(VLOOKUP(E164,Sheet2!$G$3:$H$8,2,0),"unkwon")</f>
        <v>online</v>
      </c>
      <c r="I164" s="5">
        <f>VLOOKUP(B164,Sheet2!$J$4:$K$15,2,0)</f>
        <v>8</v>
      </c>
      <c r="J164" s="5">
        <f>IFERROR(VLOOKUP(C164,Sheet2!$M$4:$N$12,2,0),0)</f>
        <v>5500</v>
      </c>
      <c r="K164" s="5" t="str">
        <f t="shared" si="2"/>
        <v>within budget</v>
      </c>
    </row>
    <row r="165" spans="1:11" x14ac:dyDescent="0.3">
      <c r="A165" s="6">
        <v>44974</v>
      </c>
      <c r="B165" s="5" t="s">
        <v>33</v>
      </c>
      <c r="C165" s="5" t="s">
        <v>41</v>
      </c>
      <c r="D165" s="5" t="s">
        <v>34</v>
      </c>
      <c r="E165" s="5" t="s">
        <v>12</v>
      </c>
      <c r="F165" s="5">
        <v>1262</v>
      </c>
      <c r="G165" s="5" t="str">
        <f>VLOOKUP(C165,Sheet2!$C$3:$D$12,2,0)</f>
        <v>Variable</v>
      </c>
      <c r="H165" s="5" t="str">
        <f>IFERROR(VLOOKUP(E165,Sheet2!$G$3:$H$8,2,0),"unkwon")</f>
        <v>online</v>
      </c>
      <c r="I165" s="5">
        <f>VLOOKUP(B165,Sheet2!$J$4:$K$15,2,0)</f>
        <v>2</v>
      </c>
      <c r="J165" s="5">
        <f>IFERROR(VLOOKUP(C165,Sheet2!$M$4:$N$12,2,0),0)</f>
        <v>7000</v>
      </c>
      <c r="K165" s="5" t="str">
        <f t="shared" si="2"/>
        <v>within budget</v>
      </c>
    </row>
    <row r="166" spans="1:11" x14ac:dyDescent="0.3">
      <c r="A166" s="6">
        <v>45343</v>
      </c>
      <c r="B166" s="5" t="s">
        <v>33</v>
      </c>
      <c r="C166" s="5" t="s">
        <v>41</v>
      </c>
      <c r="D166" s="5" t="s">
        <v>26</v>
      </c>
      <c r="E166" s="5" t="s">
        <v>32</v>
      </c>
      <c r="F166" s="5">
        <v>4626</v>
      </c>
      <c r="G166" s="5" t="str">
        <f>VLOOKUP(C166,Sheet2!$C$3:$D$12,2,0)</f>
        <v>Variable</v>
      </c>
      <c r="H166" s="5" t="str">
        <f>IFERROR(VLOOKUP(E166,Sheet2!$G$3:$H$8,2,0),"unkwon")</f>
        <v>offline</v>
      </c>
      <c r="I166" s="5">
        <f>VLOOKUP(B166,Sheet2!$J$4:$K$15,2,0)</f>
        <v>2</v>
      </c>
      <c r="J166" s="5">
        <f>IFERROR(VLOOKUP(C166,Sheet2!$M$4:$N$12,2,0),0)</f>
        <v>7000</v>
      </c>
      <c r="K166" s="5" t="str">
        <f t="shared" si="2"/>
        <v>within budget</v>
      </c>
    </row>
    <row r="167" spans="1:11" x14ac:dyDescent="0.3">
      <c r="A167" s="6">
        <v>45607</v>
      </c>
      <c r="B167" s="5" t="s">
        <v>40</v>
      </c>
      <c r="C167" s="5" t="s">
        <v>41</v>
      </c>
      <c r="D167" s="5" t="s">
        <v>14</v>
      </c>
      <c r="E167" s="5" t="s">
        <v>12</v>
      </c>
      <c r="F167" s="5">
        <v>58</v>
      </c>
      <c r="G167" s="5" t="str">
        <f>VLOOKUP(C167,Sheet2!$C$3:$D$12,2,0)</f>
        <v>Variable</v>
      </c>
      <c r="H167" s="5" t="str">
        <f>IFERROR(VLOOKUP(E167,Sheet2!$G$3:$H$8,2,0),"unkwon")</f>
        <v>online</v>
      </c>
      <c r="I167" s="5">
        <f>VLOOKUP(B167,Sheet2!$J$4:$K$15,2,0)</f>
        <v>11</v>
      </c>
      <c r="J167" s="5">
        <f>IFERROR(VLOOKUP(C167,Sheet2!$M$4:$N$12,2,0),0)</f>
        <v>7000</v>
      </c>
      <c r="K167" s="5" t="str">
        <f t="shared" si="2"/>
        <v>within budget</v>
      </c>
    </row>
    <row r="168" spans="1:11" x14ac:dyDescent="0.3">
      <c r="A168" s="6">
        <v>45544</v>
      </c>
      <c r="B168" s="5" t="s">
        <v>38</v>
      </c>
      <c r="C168" s="5" t="s">
        <v>7</v>
      </c>
      <c r="D168" s="5" t="s">
        <v>23</v>
      </c>
      <c r="E168" s="5" t="s">
        <v>15</v>
      </c>
      <c r="F168" s="5">
        <v>3784</v>
      </c>
      <c r="G168" s="5" t="str">
        <f>VLOOKUP(C168,Sheet2!$C$3:$D$12,2,0)</f>
        <v>Fixed</v>
      </c>
      <c r="H168" s="5" t="str">
        <f>IFERROR(VLOOKUP(E168,Sheet2!$G$3:$H$8,2,0),"unkwon")</f>
        <v>online</v>
      </c>
      <c r="I168" s="5">
        <f>VLOOKUP(B168,Sheet2!$J$4:$K$15,2,0)</f>
        <v>9</v>
      </c>
      <c r="J168" s="5">
        <f>IFERROR(VLOOKUP(C168,Sheet2!$M$4:$N$12,2,0),0)</f>
        <v>2000</v>
      </c>
      <c r="K168" s="5" t="str">
        <f t="shared" si="2"/>
        <v>over budget</v>
      </c>
    </row>
    <row r="169" spans="1:11" x14ac:dyDescent="0.3">
      <c r="A169" s="6">
        <v>45333</v>
      </c>
      <c r="B169" s="5" t="s">
        <v>33</v>
      </c>
      <c r="C169" s="5" t="s">
        <v>27</v>
      </c>
      <c r="D169" s="5" t="s">
        <v>18</v>
      </c>
      <c r="E169" s="5" t="s">
        <v>12</v>
      </c>
      <c r="F169" s="5">
        <v>3740</v>
      </c>
      <c r="G169" s="5" t="str">
        <f>VLOOKUP(C169,Sheet2!$C$3:$D$12,2,0)</f>
        <v>Variable</v>
      </c>
      <c r="H169" s="5" t="str">
        <f>IFERROR(VLOOKUP(E169,Sheet2!$G$3:$H$8,2,0),"unkwon")</f>
        <v>online</v>
      </c>
      <c r="I169" s="5">
        <f>VLOOKUP(B169,Sheet2!$J$4:$K$15,2,0)</f>
        <v>2</v>
      </c>
      <c r="J169" s="5">
        <f>IFERROR(VLOOKUP(C169,Sheet2!$M$4:$N$12,2,0),0)</f>
        <v>4000</v>
      </c>
      <c r="K169" s="5" t="str">
        <f t="shared" si="2"/>
        <v>within budget</v>
      </c>
    </row>
    <row r="170" spans="1:11" x14ac:dyDescent="0.3">
      <c r="A170" s="6">
        <v>45633</v>
      </c>
      <c r="B170" s="5" t="s">
        <v>16</v>
      </c>
      <c r="C170" s="5" t="s">
        <v>35</v>
      </c>
      <c r="D170" s="5" t="s">
        <v>14</v>
      </c>
      <c r="E170" s="5" t="s">
        <v>12</v>
      </c>
      <c r="F170" s="5">
        <v>53</v>
      </c>
      <c r="G170" s="5" t="str">
        <f>VLOOKUP(C170,Sheet2!$C$3:$D$12,2,0)</f>
        <v>Fixed</v>
      </c>
      <c r="H170" s="5" t="str">
        <f>IFERROR(VLOOKUP(E170,Sheet2!$G$3:$H$8,2,0),"unkwon")</f>
        <v>online</v>
      </c>
      <c r="I170" s="5">
        <f>VLOOKUP(B170,Sheet2!$J$4:$K$15,2,0)</f>
        <v>12</v>
      </c>
      <c r="J170" s="5">
        <f>IFERROR(VLOOKUP(C170,Sheet2!$M$4:$N$12,2,0),0)</f>
        <v>5500</v>
      </c>
      <c r="K170" s="5" t="str">
        <f t="shared" si="2"/>
        <v>within budget</v>
      </c>
    </row>
    <row r="171" spans="1:11" x14ac:dyDescent="0.3">
      <c r="A171" s="6">
        <v>45372</v>
      </c>
      <c r="B171" s="5" t="s">
        <v>19</v>
      </c>
      <c r="C171" s="5" t="s">
        <v>41</v>
      </c>
      <c r="D171" s="5" t="s">
        <v>14</v>
      </c>
      <c r="E171" s="5" t="s">
        <v>12</v>
      </c>
      <c r="F171" s="5">
        <v>1062</v>
      </c>
      <c r="G171" s="5" t="str">
        <f>VLOOKUP(C171,Sheet2!$C$3:$D$12,2,0)</f>
        <v>Variable</v>
      </c>
      <c r="H171" s="5" t="str">
        <f>IFERROR(VLOOKUP(E171,Sheet2!$G$3:$H$8,2,0),"unkwon")</f>
        <v>online</v>
      </c>
      <c r="I171" s="5">
        <f>VLOOKUP(B171,Sheet2!$J$4:$K$15,2,0)</f>
        <v>3</v>
      </c>
      <c r="J171" s="5">
        <f>IFERROR(VLOOKUP(C171,Sheet2!$M$4:$N$12,2,0),0)</f>
        <v>7000</v>
      </c>
      <c r="K171" s="5" t="str">
        <f t="shared" si="2"/>
        <v>within budget</v>
      </c>
    </row>
    <row r="172" spans="1:11" x14ac:dyDescent="0.3">
      <c r="A172" s="6">
        <v>45314</v>
      </c>
      <c r="B172" s="5" t="s">
        <v>37</v>
      </c>
      <c r="C172" s="5" t="s">
        <v>13</v>
      </c>
      <c r="D172" s="5" t="s">
        <v>31</v>
      </c>
      <c r="E172" s="5" t="s">
        <v>12</v>
      </c>
      <c r="F172" s="5">
        <v>2868</v>
      </c>
      <c r="G172" s="5" t="str">
        <f>VLOOKUP(C172,Sheet2!$C$3:$D$12,2,0)</f>
        <v>Variable</v>
      </c>
      <c r="H172" s="5" t="str">
        <f>IFERROR(VLOOKUP(E172,Sheet2!$G$3:$H$8,2,0),"unkwon")</f>
        <v>online</v>
      </c>
      <c r="I172" s="5">
        <f>VLOOKUP(B172,Sheet2!$J$4:$K$15,2,0)</f>
        <v>1</v>
      </c>
      <c r="J172" s="5">
        <f>IFERROR(VLOOKUP(C172,Sheet2!$M$4:$N$12,2,0),0)</f>
        <v>5000</v>
      </c>
      <c r="K172" s="5" t="str">
        <f t="shared" si="2"/>
        <v>within budget</v>
      </c>
    </row>
    <row r="173" spans="1:11" x14ac:dyDescent="0.3">
      <c r="A173" s="6">
        <v>45568</v>
      </c>
      <c r="B173" s="5" t="s">
        <v>6</v>
      </c>
      <c r="C173" s="5" t="s">
        <v>41</v>
      </c>
      <c r="D173" s="5" t="s">
        <v>23</v>
      </c>
      <c r="E173" s="5" t="s">
        <v>17</v>
      </c>
      <c r="F173" s="5">
        <v>1001</v>
      </c>
      <c r="G173" s="5" t="str">
        <f>VLOOKUP(C173,Sheet2!$C$3:$D$12,2,0)</f>
        <v>Variable</v>
      </c>
      <c r="H173" s="5" t="str">
        <f>IFERROR(VLOOKUP(E173,Sheet2!$G$3:$H$8,2,0),"unkwon")</f>
        <v>online</v>
      </c>
      <c r="I173" s="5">
        <f>VLOOKUP(B173,Sheet2!$J$4:$K$15,2,0)</f>
        <v>10</v>
      </c>
      <c r="J173" s="5">
        <f>IFERROR(VLOOKUP(C173,Sheet2!$M$4:$N$12,2,0),0)</f>
        <v>7000</v>
      </c>
      <c r="K173" s="5" t="str">
        <f t="shared" si="2"/>
        <v>within budget</v>
      </c>
    </row>
    <row r="174" spans="1:11" x14ac:dyDescent="0.3">
      <c r="A174" s="6">
        <v>45207</v>
      </c>
      <c r="B174" s="5" t="s">
        <v>6</v>
      </c>
      <c r="C174" s="5" t="s">
        <v>35</v>
      </c>
      <c r="D174" s="5" t="s">
        <v>23</v>
      </c>
      <c r="E174" s="5" t="s">
        <v>17</v>
      </c>
      <c r="F174" s="5">
        <v>3886</v>
      </c>
      <c r="G174" s="5" t="str">
        <f>VLOOKUP(C174,Sheet2!$C$3:$D$12,2,0)</f>
        <v>Fixed</v>
      </c>
      <c r="H174" s="5" t="str">
        <f>IFERROR(VLOOKUP(E174,Sheet2!$G$3:$H$8,2,0),"unkwon")</f>
        <v>online</v>
      </c>
      <c r="I174" s="5">
        <f>VLOOKUP(B174,Sheet2!$J$4:$K$15,2,0)</f>
        <v>10</v>
      </c>
      <c r="J174" s="5">
        <f>IFERROR(VLOOKUP(C174,Sheet2!$M$4:$N$12,2,0),0)</f>
        <v>5500</v>
      </c>
      <c r="K174" s="5" t="str">
        <f t="shared" si="2"/>
        <v>within budget</v>
      </c>
    </row>
    <row r="175" spans="1:11" x14ac:dyDescent="0.3">
      <c r="A175" s="6">
        <v>45402</v>
      </c>
      <c r="B175" s="5" t="s">
        <v>29</v>
      </c>
      <c r="C175" s="5" t="s">
        <v>36</v>
      </c>
      <c r="D175" s="5" t="s">
        <v>34</v>
      </c>
      <c r="E175" s="5" t="s">
        <v>12</v>
      </c>
      <c r="F175" s="5">
        <v>3939</v>
      </c>
      <c r="G175" s="5" t="str">
        <f>VLOOKUP(C175,Sheet2!$C$3:$D$12,2,0)</f>
        <v>Variable</v>
      </c>
      <c r="H175" s="5" t="str">
        <f>IFERROR(VLOOKUP(E175,Sheet2!$G$3:$H$8,2,0),"unkwon")</f>
        <v>online</v>
      </c>
      <c r="I175" s="5">
        <f>VLOOKUP(B175,Sheet2!$J$4:$K$15,2,0)</f>
        <v>4</v>
      </c>
      <c r="J175" s="5">
        <f>IFERROR(VLOOKUP(C175,Sheet2!$M$4:$N$12,2,0),0)</f>
        <v>10000</v>
      </c>
      <c r="K175" s="5" t="str">
        <f t="shared" si="2"/>
        <v>within budget</v>
      </c>
    </row>
    <row r="176" spans="1:11" x14ac:dyDescent="0.3">
      <c r="A176" s="6">
        <v>45228</v>
      </c>
      <c r="B176" s="5" t="s">
        <v>6</v>
      </c>
      <c r="C176" s="5" t="s">
        <v>41</v>
      </c>
      <c r="D176" s="5" t="s">
        <v>11</v>
      </c>
      <c r="E176" s="5" t="s">
        <v>32</v>
      </c>
      <c r="F176" s="5">
        <v>1252</v>
      </c>
      <c r="G176" s="5" t="str">
        <f>VLOOKUP(C176,Sheet2!$C$3:$D$12,2,0)</f>
        <v>Variable</v>
      </c>
      <c r="H176" s="5" t="str">
        <f>IFERROR(VLOOKUP(E176,Sheet2!$G$3:$H$8,2,0),"unkwon")</f>
        <v>offline</v>
      </c>
      <c r="I176" s="5">
        <f>VLOOKUP(B176,Sheet2!$J$4:$K$15,2,0)</f>
        <v>10</v>
      </c>
      <c r="J176" s="5">
        <f>IFERROR(VLOOKUP(C176,Sheet2!$M$4:$N$12,2,0),0)</f>
        <v>7000</v>
      </c>
      <c r="K176" s="5" t="str">
        <f t="shared" si="2"/>
        <v>within budget</v>
      </c>
    </row>
    <row r="177" spans="1:11" x14ac:dyDescent="0.3">
      <c r="A177" s="6">
        <v>44985</v>
      </c>
      <c r="B177" s="5" t="s">
        <v>33</v>
      </c>
      <c r="C177" s="5" t="s">
        <v>35</v>
      </c>
      <c r="D177" s="5" t="s">
        <v>34</v>
      </c>
      <c r="E177" s="5" t="s">
        <v>9</v>
      </c>
      <c r="F177" s="5">
        <v>766</v>
      </c>
      <c r="G177" s="5" t="str">
        <f>VLOOKUP(C177,Sheet2!$C$3:$D$12,2,0)</f>
        <v>Fixed</v>
      </c>
      <c r="H177" s="5" t="str">
        <f>IFERROR(VLOOKUP(E177,Sheet2!$G$3:$H$8,2,0),"unkwon")</f>
        <v>online</v>
      </c>
      <c r="I177" s="5">
        <f>VLOOKUP(B177,Sheet2!$J$4:$K$15,2,0)</f>
        <v>2</v>
      </c>
      <c r="J177" s="5">
        <f>IFERROR(VLOOKUP(C177,Sheet2!$M$4:$N$12,2,0),0)</f>
        <v>5500</v>
      </c>
      <c r="K177" s="5" t="str">
        <f t="shared" si="2"/>
        <v>within budget</v>
      </c>
    </row>
    <row r="178" spans="1:11" x14ac:dyDescent="0.3">
      <c r="A178" s="6">
        <v>45093</v>
      </c>
      <c r="B178" s="5" t="s">
        <v>39</v>
      </c>
      <c r="C178" s="5" t="s">
        <v>35</v>
      </c>
      <c r="D178" s="5" t="s">
        <v>34</v>
      </c>
      <c r="E178" s="5" t="s">
        <v>17</v>
      </c>
      <c r="F178" s="5">
        <v>1803</v>
      </c>
      <c r="G178" s="5" t="str">
        <f>VLOOKUP(C178,Sheet2!$C$3:$D$12,2,0)</f>
        <v>Fixed</v>
      </c>
      <c r="H178" s="5" t="str">
        <f>IFERROR(VLOOKUP(E178,Sheet2!$G$3:$H$8,2,0),"unkwon")</f>
        <v>online</v>
      </c>
      <c r="I178" s="5">
        <f>VLOOKUP(B178,Sheet2!$J$4:$K$15,2,0)</f>
        <v>6</v>
      </c>
      <c r="J178" s="5">
        <f>IFERROR(VLOOKUP(C178,Sheet2!$M$4:$N$12,2,0),0)</f>
        <v>5500</v>
      </c>
      <c r="K178" s="5" t="str">
        <f t="shared" si="2"/>
        <v>within budget</v>
      </c>
    </row>
    <row r="179" spans="1:11" x14ac:dyDescent="0.3">
      <c r="A179" s="6">
        <v>44939</v>
      </c>
      <c r="B179" s="5" t="s">
        <v>37</v>
      </c>
      <c r="C179" s="5" t="s">
        <v>7</v>
      </c>
      <c r="D179" s="5" t="s">
        <v>8</v>
      </c>
      <c r="E179" s="5" t="s">
        <v>12</v>
      </c>
      <c r="F179" s="5">
        <v>723</v>
      </c>
      <c r="G179" s="5" t="str">
        <f>VLOOKUP(C179,Sheet2!$C$3:$D$12,2,0)</f>
        <v>Fixed</v>
      </c>
      <c r="H179" s="5" t="str">
        <f>IFERROR(VLOOKUP(E179,Sheet2!$G$3:$H$8,2,0),"unkwon")</f>
        <v>online</v>
      </c>
      <c r="I179" s="5">
        <f>VLOOKUP(B179,Sheet2!$J$4:$K$15,2,0)</f>
        <v>1</v>
      </c>
      <c r="J179" s="5">
        <f>IFERROR(VLOOKUP(C179,Sheet2!$M$4:$N$12,2,0),0)</f>
        <v>2000</v>
      </c>
      <c r="K179" s="5" t="str">
        <f t="shared" si="2"/>
        <v>within budget</v>
      </c>
    </row>
    <row r="180" spans="1:11" x14ac:dyDescent="0.3">
      <c r="A180" s="6">
        <v>45356</v>
      </c>
      <c r="B180" s="5" t="s">
        <v>19</v>
      </c>
      <c r="C180" s="5" t="s">
        <v>7</v>
      </c>
      <c r="D180" s="5" t="s">
        <v>11</v>
      </c>
      <c r="E180" s="5" t="s">
        <v>17</v>
      </c>
      <c r="F180" s="5">
        <v>3835</v>
      </c>
      <c r="G180" s="5" t="str">
        <f>VLOOKUP(C180,Sheet2!$C$3:$D$12,2,0)</f>
        <v>Fixed</v>
      </c>
      <c r="H180" s="5" t="str">
        <f>IFERROR(VLOOKUP(E180,Sheet2!$G$3:$H$8,2,0),"unkwon")</f>
        <v>online</v>
      </c>
      <c r="I180" s="5">
        <f>VLOOKUP(B180,Sheet2!$J$4:$K$15,2,0)</f>
        <v>3</v>
      </c>
      <c r="J180" s="5">
        <f>IFERROR(VLOOKUP(C180,Sheet2!$M$4:$N$12,2,0),0)</f>
        <v>2000</v>
      </c>
      <c r="K180" s="5" t="str">
        <f t="shared" si="2"/>
        <v>over budget</v>
      </c>
    </row>
    <row r="181" spans="1:11" x14ac:dyDescent="0.3">
      <c r="A181" s="6">
        <v>45041</v>
      </c>
      <c r="B181" s="5" t="s">
        <v>29</v>
      </c>
      <c r="C181" s="5" t="s">
        <v>22</v>
      </c>
      <c r="D181" s="5" t="s">
        <v>24</v>
      </c>
      <c r="E181" s="5" t="s">
        <v>9</v>
      </c>
      <c r="F181" s="5">
        <v>3323</v>
      </c>
      <c r="G181" s="5" t="str">
        <f>VLOOKUP(C181,Sheet2!$C$3:$D$12,2,0)</f>
        <v>Variable</v>
      </c>
      <c r="H181" s="5" t="str">
        <f>IFERROR(VLOOKUP(E181,Sheet2!$G$3:$H$8,2,0),"unkwon")</f>
        <v>online</v>
      </c>
      <c r="I181" s="5">
        <f>VLOOKUP(B181,Sheet2!$J$4:$K$15,2,0)</f>
        <v>4</v>
      </c>
      <c r="J181" s="5">
        <f>IFERROR(VLOOKUP(C181,Sheet2!$M$4:$N$12,2,0),0)</f>
        <v>1000</v>
      </c>
      <c r="K181" s="5" t="str">
        <f t="shared" si="2"/>
        <v>over budget</v>
      </c>
    </row>
    <row r="182" spans="1:11" x14ac:dyDescent="0.3">
      <c r="A182" s="6">
        <v>45135</v>
      </c>
      <c r="B182" s="5" t="s">
        <v>21</v>
      </c>
      <c r="C182" s="5" t="s">
        <v>41</v>
      </c>
      <c r="D182" s="5" t="s">
        <v>20</v>
      </c>
      <c r="E182" s="5" t="s">
        <v>32</v>
      </c>
      <c r="F182" s="5">
        <v>4266</v>
      </c>
      <c r="G182" s="5" t="str">
        <f>VLOOKUP(C182,Sheet2!$C$3:$D$12,2,0)</f>
        <v>Variable</v>
      </c>
      <c r="H182" s="5" t="str">
        <f>IFERROR(VLOOKUP(E182,Sheet2!$G$3:$H$8,2,0),"unkwon")</f>
        <v>offline</v>
      </c>
      <c r="I182" s="5">
        <f>VLOOKUP(B182,Sheet2!$J$4:$K$15,2,0)</f>
        <v>7</v>
      </c>
      <c r="J182" s="5">
        <f>IFERROR(VLOOKUP(C182,Sheet2!$M$4:$N$12,2,0),0)</f>
        <v>7000</v>
      </c>
      <c r="K182" s="5" t="str">
        <f t="shared" si="2"/>
        <v>within budget</v>
      </c>
    </row>
    <row r="183" spans="1:11" x14ac:dyDescent="0.3">
      <c r="A183" s="6">
        <v>45070</v>
      </c>
      <c r="B183" s="5" t="s">
        <v>28</v>
      </c>
      <c r="C183" s="5" t="s">
        <v>27</v>
      </c>
      <c r="D183" s="5" t="s">
        <v>20</v>
      </c>
      <c r="E183" s="5" t="s">
        <v>9</v>
      </c>
      <c r="F183" s="5">
        <v>2758</v>
      </c>
      <c r="G183" s="5" t="str">
        <f>VLOOKUP(C183,Sheet2!$C$3:$D$12,2,0)</f>
        <v>Variable</v>
      </c>
      <c r="H183" s="5" t="str">
        <f>IFERROR(VLOOKUP(E183,Sheet2!$G$3:$H$8,2,0),"unkwon")</f>
        <v>online</v>
      </c>
      <c r="I183" s="5">
        <f>VLOOKUP(B183,Sheet2!$J$4:$K$15,2,0)</f>
        <v>5</v>
      </c>
      <c r="J183" s="5">
        <f>IFERROR(VLOOKUP(C183,Sheet2!$M$4:$N$12,2,0),0)</f>
        <v>4000</v>
      </c>
      <c r="K183" s="5" t="str">
        <f t="shared" si="2"/>
        <v>within budget</v>
      </c>
    </row>
    <row r="184" spans="1:11" x14ac:dyDescent="0.3">
      <c r="A184" s="6">
        <v>45320</v>
      </c>
      <c r="B184" s="5" t="s">
        <v>37</v>
      </c>
      <c r="C184" s="5" t="s">
        <v>13</v>
      </c>
      <c r="D184" s="5" t="s">
        <v>14</v>
      </c>
      <c r="E184" s="5" t="s">
        <v>17</v>
      </c>
      <c r="F184" s="5">
        <v>1932</v>
      </c>
      <c r="G184" s="5" t="str">
        <f>VLOOKUP(C184,Sheet2!$C$3:$D$12,2,0)</f>
        <v>Variable</v>
      </c>
      <c r="H184" s="5" t="str">
        <f>IFERROR(VLOOKUP(E184,Sheet2!$G$3:$H$8,2,0),"unkwon")</f>
        <v>online</v>
      </c>
      <c r="I184" s="5">
        <f>VLOOKUP(B184,Sheet2!$J$4:$K$15,2,0)</f>
        <v>1</v>
      </c>
      <c r="J184" s="5">
        <f>IFERROR(VLOOKUP(C184,Sheet2!$M$4:$N$12,2,0),0)</f>
        <v>5000</v>
      </c>
      <c r="K184" s="5" t="str">
        <f t="shared" si="2"/>
        <v>within budget</v>
      </c>
    </row>
    <row r="185" spans="1:11" x14ac:dyDescent="0.3">
      <c r="A185" s="6">
        <v>45580</v>
      </c>
      <c r="B185" s="5" t="s">
        <v>6</v>
      </c>
      <c r="C185" s="5" t="s">
        <v>35</v>
      </c>
      <c r="D185" s="5" t="s">
        <v>26</v>
      </c>
      <c r="E185" s="5" t="s">
        <v>17</v>
      </c>
      <c r="F185" s="5">
        <v>3963</v>
      </c>
      <c r="G185" s="5" t="str">
        <f>VLOOKUP(C185,Sheet2!$C$3:$D$12,2,0)</f>
        <v>Fixed</v>
      </c>
      <c r="H185" s="5" t="str">
        <f>IFERROR(VLOOKUP(E185,Sheet2!$G$3:$H$8,2,0),"unkwon")</f>
        <v>online</v>
      </c>
      <c r="I185" s="5">
        <f>VLOOKUP(B185,Sheet2!$J$4:$K$15,2,0)</f>
        <v>10</v>
      </c>
      <c r="J185" s="5">
        <f>IFERROR(VLOOKUP(C185,Sheet2!$M$4:$N$12,2,0),0)</f>
        <v>5500</v>
      </c>
      <c r="K185" s="5" t="str">
        <f t="shared" si="2"/>
        <v>within budget</v>
      </c>
    </row>
    <row r="186" spans="1:11" x14ac:dyDescent="0.3">
      <c r="A186" s="6">
        <v>45271</v>
      </c>
      <c r="B186" s="5" t="s">
        <v>16</v>
      </c>
      <c r="C186" s="5" t="s">
        <v>10</v>
      </c>
      <c r="D186" s="5" t="s">
        <v>11</v>
      </c>
      <c r="E186" s="5" t="s">
        <v>12</v>
      </c>
      <c r="F186" s="5">
        <v>1745</v>
      </c>
      <c r="G186" s="5" t="str">
        <f>VLOOKUP(C186,Sheet2!$C$3:$D$12,2,0)</f>
        <v>Variable</v>
      </c>
      <c r="H186" s="5" t="str">
        <f>IFERROR(VLOOKUP(E186,Sheet2!$G$3:$H$8,2,0),"unkwon")</f>
        <v>online</v>
      </c>
      <c r="I186" s="5">
        <f>VLOOKUP(B186,Sheet2!$J$4:$K$15,2,0)</f>
        <v>12</v>
      </c>
      <c r="J186" s="5">
        <f>IFERROR(VLOOKUP(C186,Sheet2!$M$4:$N$12,2,0),0)</f>
        <v>5000</v>
      </c>
      <c r="K186" s="5" t="str">
        <f t="shared" si="2"/>
        <v>within budget</v>
      </c>
    </row>
    <row r="187" spans="1:11" x14ac:dyDescent="0.3">
      <c r="A187" s="6">
        <v>45195</v>
      </c>
      <c r="B187" s="5" t="s">
        <v>38</v>
      </c>
      <c r="C187" s="5" t="s">
        <v>36</v>
      </c>
      <c r="D187" s="5" t="s">
        <v>23</v>
      </c>
      <c r="E187" s="5" t="s">
        <v>12</v>
      </c>
      <c r="F187" s="5">
        <v>471</v>
      </c>
      <c r="G187" s="5" t="str">
        <f>VLOOKUP(C187,Sheet2!$C$3:$D$12,2,0)</f>
        <v>Variable</v>
      </c>
      <c r="H187" s="5" t="str">
        <f>IFERROR(VLOOKUP(E187,Sheet2!$G$3:$H$8,2,0),"unkwon")</f>
        <v>online</v>
      </c>
      <c r="I187" s="5">
        <f>VLOOKUP(B187,Sheet2!$J$4:$K$15,2,0)</f>
        <v>9</v>
      </c>
      <c r="J187" s="5">
        <f>IFERROR(VLOOKUP(C187,Sheet2!$M$4:$N$12,2,0),0)</f>
        <v>10000</v>
      </c>
      <c r="K187" s="5" t="str">
        <f t="shared" si="2"/>
        <v>within budget</v>
      </c>
    </row>
    <row r="188" spans="1:11" x14ac:dyDescent="0.3">
      <c r="A188" s="6">
        <v>44980</v>
      </c>
      <c r="B188" s="5" t="s">
        <v>33</v>
      </c>
      <c r="C188" s="5" t="s">
        <v>30</v>
      </c>
      <c r="D188" s="5" t="s">
        <v>20</v>
      </c>
      <c r="E188" s="5" t="s">
        <v>32</v>
      </c>
      <c r="F188" s="5">
        <v>1635</v>
      </c>
      <c r="G188" s="5" t="str">
        <f>VLOOKUP(C188,Sheet2!$C$3:$D$12,2,0)</f>
        <v>Fixed</v>
      </c>
      <c r="H188" s="5" t="str">
        <f>IFERROR(VLOOKUP(E188,Sheet2!$G$3:$H$8,2,0),"unkwon")</f>
        <v>offline</v>
      </c>
      <c r="I188" s="5">
        <f>VLOOKUP(B188,Sheet2!$J$4:$K$15,2,0)</f>
        <v>2</v>
      </c>
      <c r="J188" s="5">
        <f>IFERROR(VLOOKUP(C188,Sheet2!$M$4:$N$12,2,0),0)</f>
        <v>3000</v>
      </c>
      <c r="K188" s="5" t="str">
        <f t="shared" si="2"/>
        <v>within budget</v>
      </c>
    </row>
    <row r="189" spans="1:11" x14ac:dyDescent="0.3">
      <c r="A189" s="6">
        <v>45353</v>
      </c>
      <c r="B189" s="5" t="s">
        <v>19</v>
      </c>
      <c r="C189" s="5" t="s">
        <v>27</v>
      </c>
      <c r="D189" s="5" t="s">
        <v>24</v>
      </c>
      <c r="E189" s="5" t="s">
        <v>32</v>
      </c>
      <c r="F189" s="5">
        <v>2830</v>
      </c>
      <c r="G189" s="5" t="str">
        <f>VLOOKUP(C189,Sheet2!$C$3:$D$12,2,0)</f>
        <v>Variable</v>
      </c>
      <c r="H189" s="5" t="str">
        <f>IFERROR(VLOOKUP(E189,Sheet2!$G$3:$H$8,2,0),"unkwon")</f>
        <v>offline</v>
      </c>
      <c r="I189" s="5">
        <f>VLOOKUP(B189,Sheet2!$J$4:$K$15,2,0)</f>
        <v>3</v>
      </c>
      <c r="J189" s="5">
        <f>IFERROR(VLOOKUP(C189,Sheet2!$M$4:$N$12,2,0),0)</f>
        <v>4000</v>
      </c>
      <c r="K189" s="5" t="str">
        <f t="shared" si="2"/>
        <v>within budget</v>
      </c>
    </row>
    <row r="190" spans="1:11" x14ac:dyDescent="0.3">
      <c r="A190" s="6">
        <v>45062</v>
      </c>
      <c r="B190" s="5" t="s">
        <v>28</v>
      </c>
      <c r="C190" s="5" t="s">
        <v>35</v>
      </c>
      <c r="D190" s="5" t="s">
        <v>14</v>
      </c>
      <c r="E190" s="5" t="s">
        <v>9</v>
      </c>
      <c r="F190" s="5">
        <v>386</v>
      </c>
      <c r="G190" s="5" t="str">
        <f>VLOOKUP(C190,Sheet2!$C$3:$D$12,2,0)</f>
        <v>Fixed</v>
      </c>
      <c r="H190" s="5" t="str">
        <f>IFERROR(VLOOKUP(E190,Sheet2!$G$3:$H$8,2,0),"unkwon")</f>
        <v>online</v>
      </c>
      <c r="I190" s="5">
        <f>VLOOKUP(B190,Sheet2!$J$4:$K$15,2,0)</f>
        <v>5</v>
      </c>
      <c r="J190" s="5">
        <f>IFERROR(VLOOKUP(C190,Sheet2!$M$4:$N$12,2,0),0)</f>
        <v>5500</v>
      </c>
      <c r="K190" s="5" t="str">
        <f t="shared" si="2"/>
        <v>within budget</v>
      </c>
    </row>
    <row r="191" spans="1:11" x14ac:dyDescent="0.3">
      <c r="A191" s="6">
        <v>45412</v>
      </c>
      <c r="B191" s="5" t="s">
        <v>29</v>
      </c>
      <c r="C191" s="5" t="s">
        <v>27</v>
      </c>
      <c r="D191" s="5" t="s">
        <v>26</v>
      </c>
      <c r="E191" s="5" t="s">
        <v>12</v>
      </c>
      <c r="F191" s="5">
        <v>1201</v>
      </c>
      <c r="G191" s="5" t="str">
        <f>VLOOKUP(C191,Sheet2!$C$3:$D$12,2,0)</f>
        <v>Variable</v>
      </c>
      <c r="H191" s="5" t="str">
        <f>IFERROR(VLOOKUP(E191,Sheet2!$G$3:$H$8,2,0),"unkwon")</f>
        <v>online</v>
      </c>
      <c r="I191" s="5">
        <f>VLOOKUP(B191,Sheet2!$J$4:$K$15,2,0)</f>
        <v>4</v>
      </c>
      <c r="J191" s="5">
        <f>IFERROR(VLOOKUP(C191,Sheet2!$M$4:$N$12,2,0),0)</f>
        <v>4000</v>
      </c>
      <c r="K191" s="5" t="str">
        <f t="shared" si="2"/>
        <v>within budget</v>
      </c>
    </row>
    <row r="192" spans="1:11" x14ac:dyDescent="0.3">
      <c r="A192" s="6">
        <v>44935</v>
      </c>
      <c r="B192" s="5" t="s">
        <v>37</v>
      </c>
      <c r="C192" s="5" t="s">
        <v>7</v>
      </c>
      <c r="D192" s="5" t="s">
        <v>11</v>
      </c>
      <c r="E192" s="5" t="s">
        <v>17</v>
      </c>
      <c r="F192" s="5">
        <v>4801</v>
      </c>
      <c r="G192" s="5" t="str">
        <f>VLOOKUP(C192,Sheet2!$C$3:$D$12,2,0)</f>
        <v>Fixed</v>
      </c>
      <c r="H192" s="5" t="str">
        <f>IFERROR(VLOOKUP(E192,Sheet2!$G$3:$H$8,2,0),"unkwon")</f>
        <v>online</v>
      </c>
      <c r="I192" s="5">
        <f>VLOOKUP(B192,Sheet2!$J$4:$K$15,2,0)</f>
        <v>1</v>
      </c>
      <c r="J192" s="5">
        <f>IFERROR(VLOOKUP(C192,Sheet2!$M$4:$N$12,2,0),0)</f>
        <v>2000</v>
      </c>
      <c r="K192" s="5" t="str">
        <f t="shared" si="2"/>
        <v>over budget</v>
      </c>
    </row>
    <row r="193" spans="1:11" x14ac:dyDescent="0.3">
      <c r="A193" s="6">
        <v>45226</v>
      </c>
      <c r="B193" s="5" t="s">
        <v>6</v>
      </c>
      <c r="C193" s="5" t="s">
        <v>35</v>
      </c>
      <c r="D193" s="5" t="s">
        <v>8</v>
      </c>
      <c r="E193" s="5" t="s">
        <v>15</v>
      </c>
      <c r="F193" s="5">
        <v>4149</v>
      </c>
      <c r="G193" s="5" t="str">
        <f>VLOOKUP(C193,Sheet2!$C$3:$D$12,2,0)</f>
        <v>Fixed</v>
      </c>
      <c r="H193" s="5" t="str">
        <f>IFERROR(VLOOKUP(E193,Sheet2!$G$3:$H$8,2,0),"unkwon")</f>
        <v>online</v>
      </c>
      <c r="I193" s="5">
        <f>VLOOKUP(B193,Sheet2!$J$4:$K$15,2,0)</f>
        <v>10</v>
      </c>
      <c r="J193" s="5">
        <f>IFERROR(VLOOKUP(C193,Sheet2!$M$4:$N$12,2,0),0)</f>
        <v>5500</v>
      </c>
      <c r="K193" s="5" t="str">
        <f t="shared" si="2"/>
        <v>within budget</v>
      </c>
    </row>
    <row r="194" spans="1:11" x14ac:dyDescent="0.3">
      <c r="A194" s="6">
        <v>44928</v>
      </c>
      <c r="B194" s="5" t="s">
        <v>37</v>
      </c>
      <c r="C194" s="5" t="s">
        <v>22</v>
      </c>
      <c r="D194" s="5" t="s">
        <v>14</v>
      </c>
      <c r="E194" s="5" t="s">
        <v>12</v>
      </c>
      <c r="F194" s="5">
        <v>2287</v>
      </c>
      <c r="G194" s="5" t="str">
        <f>VLOOKUP(C194,Sheet2!$C$3:$D$12,2,0)</f>
        <v>Variable</v>
      </c>
      <c r="H194" s="5" t="str">
        <f>IFERROR(VLOOKUP(E194,Sheet2!$G$3:$H$8,2,0),"unkwon")</f>
        <v>online</v>
      </c>
      <c r="I194" s="5">
        <f>VLOOKUP(B194,Sheet2!$J$4:$K$15,2,0)</f>
        <v>1</v>
      </c>
      <c r="J194" s="5">
        <f>IFERROR(VLOOKUP(C194,Sheet2!$M$4:$N$12,2,0),0)</f>
        <v>1000</v>
      </c>
      <c r="K194" s="5" t="str">
        <f t="shared" si="2"/>
        <v>over budget</v>
      </c>
    </row>
    <row r="195" spans="1:11" x14ac:dyDescent="0.3">
      <c r="A195" s="6">
        <v>44985</v>
      </c>
      <c r="B195" s="5" t="s">
        <v>33</v>
      </c>
      <c r="C195" s="5" t="s">
        <v>7</v>
      </c>
      <c r="D195" s="5" t="s">
        <v>31</v>
      </c>
      <c r="E195" s="5" t="s">
        <v>17</v>
      </c>
      <c r="F195" s="5">
        <v>4670</v>
      </c>
      <c r="G195" s="5" t="str">
        <f>VLOOKUP(C195,Sheet2!$C$3:$D$12,2,0)</f>
        <v>Fixed</v>
      </c>
      <c r="H195" s="5" t="str">
        <f>IFERROR(VLOOKUP(E195,Sheet2!$G$3:$H$8,2,0),"unkwon")</f>
        <v>online</v>
      </c>
      <c r="I195" s="5">
        <f>VLOOKUP(B195,Sheet2!$J$4:$K$15,2,0)</f>
        <v>2</v>
      </c>
      <c r="J195" s="5">
        <f>IFERROR(VLOOKUP(C195,Sheet2!$M$4:$N$12,2,0),0)</f>
        <v>2000</v>
      </c>
      <c r="K195" s="5" t="str">
        <f t="shared" ref="K195:K258" si="3">IF(F195&gt;J195,"over budget","within budget")</f>
        <v>over budget</v>
      </c>
    </row>
    <row r="196" spans="1:11" x14ac:dyDescent="0.3">
      <c r="A196" s="6">
        <v>45393</v>
      </c>
      <c r="B196" s="5" t="s">
        <v>29</v>
      </c>
      <c r="C196" s="5" t="s">
        <v>30</v>
      </c>
      <c r="D196" s="5" t="s">
        <v>20</v>
      </c>
      <c r="E196" s="5" t="s">
        <v>9</v>
      </c>
      <c r="F196" s="5">
        <v>2043</v>
      </c>
      <c r="G196" s="5" t="str">
        <f>VLOOKUP(C196,Sheet2!$C$3:$D$12,2,0)</f>
        <v>Fixed</v>
      </c>
      <c r="H196" s="5" t="str">
        <f>IFERROR(VLOOKUP(E196,Sheet2!$G$3:$H$8,2,0),"unkwon")</f>
        <v>online</v>
      </c>
      <c r="I196" s="5">
        <f>VLOOKUP(B196,Sheet2!$J$4:$K$15,2,0)</f>
        <v>4</v>
      </c>
      <c r="J196" s="5">
        <f>IFERROR(VLOOKUP(C196,Sheet2!$M$4:$N$12,2,0),0)</f>
        <v>3000</v>
      </c>
      <c r="K196" s="5" t="str">
        <f t="shared" si="3"/>
        <v>within budget</v>
      </c>
    </row>
    <row r="197" spans="1:11" x14ac:dyDescent="0.3">
      <c r="A197" s="6">
        <v>45087</v>
      </c>
      <c r="B197" s="5" t="s">
        <v>39</v>
      </c>
      <c r="C197" s="5" t="s">
        <v>7</v>
      </c>
      <c r="D197" s="5" t="s">
        <v>18</v>
      </c>
      <c r="E197" s="5" t="s">
        <v>17</v>
      </c>
      <c r="F197" s="5">
        <v>4974</v>
      </c>
      <c r="G197" s="5" t="str">
        <f>VLOOKUP(C197,Sheet2!$C$3:$D$12,2,0)</f>
        <v>Fixed</v>
      </c>
      <c r="H197" s="5" t="str">
        <f>IFERROR(VLOOKUP(E197,Sheet2!$G$3:$H$8,2,0),"unkwon")</f>
        <v>online</v>
      </c>
      <c r="I197" s="5">
        <f>VLOOKUP(B197,Sheet2!$J$4:$K$15,2,0)</f>
        <v>6</v>
      </c>
      <c r="J197" s="5">
        <f>IFERROR(VLOOKUP(C197,Sheet2!$M$4:$N$12,2,0),0)</f>
        <v>2000</v>
      </c>
      <c r="K197" s="5" t="str">
        <f t="shared" si="3"/>
        <v>over budget</v>
      </c>
    </row>
    <row r="198" spans="1:11" x14ac:dyDescent="0.3">
      <c r="A198" s="6">
        <v>45046</v>
      </c>
      <c r="B198" s="5" t="s">
        <v>29</v>
      </c>
      <c r="C198" s="5" t="s">
        <v>13</v>
      </c>
      <c r="D198" s="5" t="s">
        <v>8</v>
      </c>
      <c r="E198" s="5" t="s">
        <v>15</v>
      </c>
      <c r="F198" s="5">
        <v>2372</v>
      </c>
      <c r="G198" s="5" t="str">
        <f>VLOOKUP(C198,Sheet2!$C$3:$D$12,2,0)</f>
        <v>Variable</v>
      </c>
      <c r="H198" s="5" t="str">
        <f>IFERROR(VLOOKUP(E198,Sheet2!$G$3:$H$8,2,0),"unkwon")</f>
        <v>online</v>
      </c>
      <c r="I198" s="5">
        <f>VLOOKUP(B198,Sheet2!$J$4:$K$15,2,0)</f>
        <v>4</v>
      </c>
      <c r="J198" s="5">
        <f>IFERROR(VLOOKUP(C198,Sheet2!$M$4:$N$12,2,0),0)</f>
        <v>5000</v>
      </c>
      <c r="K198" s="5" t="str">
        <f t="shared" si="3"/>
        <v>within budget</v>
      </c>
    </row>
    <row r="199" spans="1:11" x14ac:dyDescent="0.3">
      <c r="A199" s="6">
        <v>45485</v>
      </c>
      <c r="B199" s="5" t="s">
        <v>21</v>
      </c>
      <c r="C199" s="5" t="s">
        <v>10</v>
      </c>
      <c r="D199" s="5" t="s">
        <v>23</v>
      </c>
      <c r="E199" s="5" t="s">
        <v>17</v>
      </c>
      <c r="F199" s="5">
        <v>1330</v>
      </c>
      <c r="G199" s="5" t="str">
        <f>VLOOKUP(C199,Sheet2!$C$3:$D$12,2,0)</f>
        <v>Variable</v>
      </c>
      <c r="H199" s="5" t="str">
        <f>IFERROR(VLOOKUP(E199,Sheet2!$G$3:$H$8,2,0),"unkwon")</f>
        <v>online</v>
      </c>
      <c r="I199" s="5">
        <f>VLOOKUP(B199,Sheet2!$J$4:$K$15,2,0)</f>
        <v>7</v>
      </c>
      <c r="J199" s="5">
        <f>IFERROR(VLOOKUP(C199,Sheet2!$M$4:$N$12,2,0),0)</f>
        <v>5000</v>
      </c>
      <c r="K199" s="5" t="str">
        <f t="shared" si="3"/>
        <v>within budget</v>
      </c>
    </row>
    <row r="200" spans="1:11" x14ac:dyDescent="0.3">
      <c r="A200" s="6">
        <v>45279</v>
      </c>
      <c r="B200" s="5" t="s">
        <v>16</v>
      </c>
      <c r="C200" s="5" t="s">
        <v>35</v>
      </c>
      <c r="D200" s="5" t="s">
        <v>34</v>
      </c>
      <c r="E200" s="5" t="s">
        <v>32</v>
      </c>
      <c r="F200" s="5">
        <v>3527</v>
      </c>
      <c r="G200" s="5" t="str">
        <f>VLOOKUP(C200,Sheet2!$C$3:$D$12,2,0)</f>
        <v>Fixed</v>
      </c>
      <c r="H200" s="5" t="str">
        <f>IFERROR(VLOOKUP(E200,Sheet2!$G$3:$H$8,2,0),"unkwon")</f>
        <v>offline</v>
      </c>
      <c r="I200" s="5">
        <f>VLOOKUP(B200,Sheet2!$J$4:$K$15,2,0)</f>
        <v>12</v>
      </c>
      <c r="J200" s="5">
        <f>IFERROR(VLOOKUP(C200,Sheet2!$M$4:$N$12,2,0),0)</f>
        <v>5500</v>
      </c>
      <c r="K200" s="5" t="str">
        <f t="shared" si="3"/>
        <v>within budget</v>
      </c>
    </row>
    <row r="201" spans="1:11" x14ac:dyDescent="0.3">
      <c r="A201" s="6">
        <v>45299</v>
      </c>
      <c r="B201" s="5" t="s">
        <v>37</v>
      </c>
      <c r="C201" s="5" t="s">
        <v>30</v>
      </c>
      <c r="D201" s="5" t="s">
        <v>20</v>
      </c>
      <c r="E201" s="5" t="s">
        <v>32</v>
      </c>
      <c r="F201" s="5">
        <v>4639</v>
      </c>
      <c r="G201" s="5" t="str">
        <f>VLOOKUP(C201,Sheet2!$C$3:$D$12,2,0)</f>
        <v>Fixed</v>
      </c>
      <c r="H201" s="5" t="str">
        <f>IFERROR(VLOOKUP(E201,Sheet2!$G$3:$H$8,2,0),"unkwon")</f>
        <v>offline</v>
      </c>
      <c r="I201" s="5">
        <f>VLOOKUP(B201,Sheet2!$J$4:$K$15,2,0)</f>
        <v>1</v>
      </c>
      <c r="J201" s="5">
        <f>IFERROR(VLOOKUP(C201,Sheet2!$M$4:$N$12,2,0),0)</f>
        <v>3000</v>
      </c>
      <c r="K201" s="5" t="str">
        <f t="shared" si="3"/>
        <v>over budget</v>
      </c>
    </row>
    <row r="202" spans="1:11" x14ac:dyDescent="0.3">
      <c r="A202" s="6">
        <v>45357</v>
      </c>
      <c r="B202" s="5" t="s">
        <v>19</v>
      </c>
      <c r="C202" s="5" t="s">
        <v>35</v>
      </c>
      <c r="D202" s="5" t="s">
        <v>14</v>
      </c>
      <c r="E202" s="5" t="s">
        <v>32</v>
      </c>
      <c r="F202" s="5">
        <v>4819</v>
      </c>
      <c r="G202" s="5" t="str">
        <f>VLOOKUP(C202,Sheet2!$C$3:$D$12,2,0)</f>
        <v>Fixed</v>
      </c>
      <c r="H202" s="5" t="str">
        <f>IFERROR(VLOOKUP(E202,Sheet2!$G$3:$H$8,2,0),"unkwon")</f>
        <v>offline</v>
      </c>
      <c r="I202" s="5">
        <f>VLOOKUP(B202,Sheet2!$J$4:$K$15,2,0)</f>
        <v>3</v>
      </c>
      <c r="J202" s="5">
        <f>IFERROR(VLOOKUP(C202,Sheet2!$M$4:$N$12,2,0),0)</f>
        <v>5500</v>
      </c>
      <c r="K202" s="5" t="str">
        <f t="shared" si="3"/>
        <v>within budget</v>
      </c>
    </row>
    <row r="203" spans="1:11" x14ac:dyDescent="0.3">
      <c r="A203" s="6">
        <v>45143</v>
      </c>
      <c r="B203" s="5" t="s">
        <v>25</v>
      </c>
      <c r="C203" s="5" t="s">
        <v>41</v>
      </c>
      <c r="D203" s="5" t="s">
        <v>8</v>
      </c>
      <c r="E203" s="5" t="s">
        <v>15</v>
      </c>
      <c r="F203" s="5">
        <v>4444</v>
      </c>
      <c r="G203" s="5" t="str">
        <f>VLOOKUP(C203,Sheet2!$C$3:$D$12,2,0)</f>
        <v>Variable</v>
      </c>
      <c r="H203" s="5" t="str">
        <f>IFERROR(VLOOKUP(E203,Sheet2!$G$3:$H$8,2,0),"unkwon")</f>
        <v>online</v>
      </c>
      <c r="I203" s="5">
        <f>VLOOKUP(B203,Sheet2!$J$4:$K$15,2,0)</f>
        <v>8</v>
      </c>
      <c r="J203" s="5">
        <f>IFERROR(VLOOKUP(C203,Sheet2!$M$4:$N$12,2,0),0)</f>
        <v>7000</v>
      </c>
      <c r="K203" s="5" t="str">
        <f t="shared" si="3"/>
        <v>within budget</v>
      </c>
    </row>
    <row r="204" spans="1:11" x14ac:dyDescent="0.3">
      <c r="A204" s="6">
        <v>45411</v>
      </c>
      <c r="B204" s="5" t="s">
        <v>29</v>
      </c>
      <c r="C204" s="5" t="s">
        <v>22</v>
      </c>
      <c r="D204" s="5" t="s">
        <v>11</v>
      </c>
      <c r="E204" s="5" t="s">
        <v>12</v>
      </c>
      <c r="F204" s="5">
        <v>1928</v>
      </c>
      <c r="G204" s="5" t="str">
        <f>VLOOKUP(C204,Sheet2!$C$3:$D$12,2,0)</f>
        <v>Variable</v>
      </c>
      <c r="H204" s="5" t="str">
        <f>IFERROR(VLOOKUP(E204,Sheet2!$G$3:$H$8,2,0),"unkwon")</f>
        <v>online</v>
      </c>
      <c r="I204" s="5">
        <f>VLOOKUP(B204,Sheet2!$J$4:$K$15,2,0)</f>
        <v>4</v>
      </c>
      <c r="J204" s="5">
        <f>IFERROR(VLOOKUP(C204,Sheet2!$M$4:$N$12,2,0),0)</f>
        <v>1000</v>
      </c>
      <c r="K204" s="5" t="str">
        <f t="shared" si="3"/>
        <v>over budget</v>
      </c>
    </row>
    <row r="205" spans="1:11" x14ac:dyDescent="0.3">
      <c r="A205" s="6">
        <v>45477</v>
      </c>
      <c r="B205" s="5" t="s">
        <v>21</v>
      </c>
      <c r="C205" s="5" t="s">
        <v>36</v>
      </c>
      <c r="D205" s="5" t="s">
        <v>18</v>
      </c>
      <c r="E205" s="5" t="s">
        <v>17</v>
      </c>
      <c r="F205" s="5">
        <v>4221</v>
      </c>
      <c r="G205" s="5" t="str">
        <f>VLOOKUP(C205,Sheet2!$C$3:$D$12,2,0)</f>
        <v>Variable</v>
      </c>
      <c r="H205" s="5" t="str">
        <f>IFERROR(VLOOKUP(E205,Sheet2!$G$3:$H$8,2,0),"unkwon")</f>
        <v>online</v>
      </c>
      <c r="I205" s="5">
        <f>VLOOKUP(B205,Sheet2!$J$4:$K$15,2,0)</f>
        <v>7</v>
      </c>
      <c r="J205" s="5">
        <f>IFERROR(VLOOKUP(C205,Sheet2!$M$4:$N$12,2,0),0)</f>
        <v>10000</v>
      </c>
      <c r="K205" s="5" t="str">
        <f t="shared" si="3"/>
        <v>within budget</v>
      </c>
    </row>
    <row r="206" spans="1:11" x14ac:dyDescent="0.3">
      <c r="A206" s="6">
        <v>45479</v>
      </c>
      <c r="B206" s="5" t="s">
        <v>21</v>
      </c>
      <c r="C206" s="5" t="s">
        <v>35</v>
      </c>
      <c r="D206" s="5" t="s">
        <v>23</v>
      </c>
      <c r="E206" s="5" t="s">
        <v>9</v>
      </c>
      <c r="F206" s="5">
        <v>893</v>
      </c>
      <c r="G206" s="5" t="str">
        <f>VLOOKUP(C206,Sheet2!$C$3:$D$12,2,0)</f>
        <v>Fixed</v>
      </c>
      <c r="H206" s="5" t="str">
        <f>IFERROR(VLOOKUP(E206,Sheet2!$G$3:$H$8,2,0),"unkwon")</f>
        <v>online</v>
      </c>
      <c r="I206" s="5">
        <f>VLOOKUP(B206,Sheet2!$J$4:$K$15,2,0)</f>
        <v>7</v>
      </c>
      <c r="J206" s="5">
        <f>IFERROR(VLOOKUP(C206,Sheet2!$M$4:$N$12,2,0),0)</f>
        <v>5500</v>
      </c>
      <c r="K206" s="5" t="str">
        <f t="shared" si="3"/>
        <v>within budget</v>
      </c>
    </row>
    <row r="207" spans="1:11" x14ac:dyDescent="0.3">
      <c r="A207" s="6">
        <v>45301</v>
      </c>
      <c r="B207" s="5" t="s">
        <v>37</v>
      </c>
      <c r="C207" s="5" t="s">
        <v>22</v>
      </c>
      <c r="D207" s="5" t="s">
        <v>23</v>
      </c>
      <c r="E207" s="5" t="s">
        <v>17</v>
      </c>
      <c r="F207" s="5">
        <v>900</v>
      </c>
      <c r="G207" s="5" t="str">
        <f>VLOOKUP(C207,Sheet2!$C$3:$D$12,2,0)</f>
        <v>Variable</v>
      </c>
      <c r="H207" s="5" t="str">
        <f>IFERROR(VLOOKUP(E207,Sheet2!$G$3:$H$8,2,0),"unkwon")</f>
        <v>online</v>
      </c>
      <c r="I207" s="5">
        <f>VLOOKUP(B207,Sheet2!$J$4:$K$15,2,0)</f>
        <v>1</v>
      </c>
      <c r="J207" s="5">
        <f>IFERROR(VLOOKUP(C207,Sheet2!$M$4:$N$12,2,0),0)</f>
        <v>1000</v>
      </c>
      <c r="K207" s="5" t="str">
        <f t="shared" si="3"/>
        <v>within budget</v>
      </c>
    </row>
    <row r="208" spans="1:11" x14ac:dyDescent="0.3">
      <c r="A208" s="6">
        <v>45066</v>
      </c>
      <c r="B208" s="5" t="s">
        <v>28</v>
      </c>
      <c r="C208" s="5" t="s">
        <v>41</v>
      </c>
      <c r="D208" s="5" t="s">
        <v>14</v>
      </c>
      <c r="E208" s="5" t="s">
        <v>17</v>
      </c>
      <c r="F208" s="5">
        <v>2829</v>
      </c>
      <c r="G208" s="5" t="str">
        <f>VLOOKUP(C208,Sheet2!$C$3:$D$12,2,0)</f>
        <v>Variable</v>
      </c>
      <c r="H208" s="5" t="str">
        <f>IFERROR(VLOOKUP(E208,Sheet2!$G$3:$H$8,2,0),"unkwon")</f>
        <v>online</v>
      </c>
      <c r="I208" s="5">
        <f>VLOOKUP(B208,Sheet2!$J$4:$K$15,2,0)</f>
        <v>5</v>
      </c>
      <c r="J208" s="5">
        <f>IFERROR(VLOOKUP(C208,Sheet2!$M$4:$N$12,2,0),0)</f>
        <v>7000</v>
      </c>
      <c r="K208" s="5" t="str">
        <f t="shared" si="3"/>
        <v>within budget</v>
      </c>
    </row>
    <row r="209" spans="1:11" x14ac:dyDescent="0.3">
      <c r="A209" s="6">
        <v>45477</v>
      </c>
      <c r="B209" s="5" t="s">
        <v>21</v>
      </c>
      <c r="C209" s="5" t="s">
        <v>7</v>
      </c>
      <c r="D209" s="5" t="s">
        <v>18</v>
      </c>
      <c r="E209" s="5" t="s">
        <v>32</v>
      </c>
      <c r="F209" s="5">
        <v>2291</v>
      </c>
      <c r="G209" s="5" t="str">
        <f>VLOOKUP(C209,Sheet2!$C$3:$D$12,2,0)</f>
        <v>Fixed</v>
      </c>
      <c r="H209" s="5" t="str">
        <f>IFERROR(VLOOKUP(E209,Sheet2!$G$3:$H$8,2,0),"unkwon")</f>
        <v>offline</v>
      </c>
      <c r="I209" s="5">
        <f>VLOOKUP(B209,Sheet2!$J$4:$K$15,2,0)</f>
        <v>7</v>
      </c>
      <c r="J209" s="5">
        <f>IFERROR(VLOOKUP(C209,Sheet2!$M$4:$N$12,2,0),0)</f>
        <v>2000</v>
      </c>
      <c r="K209" s="5" t="str">
        <f t="shared" si="3"/>
        <v>over budget</v>
      </c>
    </row>
    <row r="210" spans="1:11" x14ac:dyDescent="0.3">
      <c r="A210" s="6">
        <v>45292</v>
      </c>
      <c r="B210" s="5" t="s">
        <v>37</v>
      </c>
      <c r="C210" s="5" t="s">
        <v>41</v>
      </c>
      <c r="D210" s="5" t="s">
        <v>26</v>
      </c>
      <c r="E210" s="5" t="s">
        <v>12</v>
      </c>
      <c r="F210" s="5">
        <v>3466</v>
      </c>
      <c r="G210" s="5" t="str">
        <f>VLOOKUP(C210,Sheet2!$C$3:$D$12,2,0)</f>
        <v>Variable</v>
      </c>
      <c r="H210" s="5" t="str">
        <f>IFERROR(VLOOKUP(E210,Sheet2!$G$3:$H$8,2,0),"unkwon")</f>
        <v>online</v>
      </c>
      <c r="I210" s="5">
        <f>VLOOKUP(B210,Sheet2!$J$4:$K$15,2,0)</f>
        <v>1</v>
      </c>
      <c r="J210" s="5">
        <f>IFERROR(VLOOKUP(C210,Sheet2!$M$4:$N$12,2,0),0)</f>
        <v>7000</v>
      </c>
      <c r="K210" s="5" t="str">
        <f t="shared" si="3"/>
        <v>within budget</v>
      </c>
    </row>
    <row r="211" spans="1:11" x14ac:dyDescent="0.3">
      <c r="A211" s="6">
        <v>45235</v>
      </c>
      <c r="B211" s="5" t="s">
        <v>40</v>
      </c>
      <c r="C211" s="5" t="s">
        <v>22</v>
      </c>
      <c r="D211" s="5" t="s">
        <v>20</v>
      </c>
      <c r="E211" s="5" t="s">
        <v>32</v>
      </c>
      <c r="F211" s="5">
        <v>4895</v>
      </c>
      <c r="G211" s="5" t="str">
        <f>VLOOKUP(C211,Sheet2!$C$3:$D$12,2,0)</f>
        <v>Variable</v>
      </c>
      <c r="H211" s="5" t="str">
        <f>IFERROR(VLOOKUP(E211,Sheet2!$G$3:$H$8,2,0),"unkwon")</f>
        <v>offline</v>
      </c>
      <c r="I211" s="5">
        <f>VLOOKUP(B211,Sheet2!$J$4:$K$15,2,0)</f>
        <v>11</v>
      </c>
      <c r="J211" s="5">
        <f>IFERROR(VLOOKUP(C211,Sheet2!$M$4:$N$12,2,0),0)</f>
        <v>1000</v>
      </c>
      <c r="K211" s="5" t="str">
        <f t="shared" si="3"/>
        <v>over budget</v>
      </c>
    </row>
    <row r="212" spans="1:11" x14ac:dyDescent="0.3">
      <c r="A212" s="6">
        <v>45108</v>
      </c>
      <c r="B212" s="5" t="s">
        <v>21</v>
      </c>
      <c r="C212" s="5" t="s">
        <v>41</v>
      </c>
      <c r="D212" s="5" t="s">
        <v>31</v>
      </c>
      <c r="E212" s="5" t="s">
        <v>9</v>
      </c>
      <c r="F212" s="5">
        <v>4476</v>
      </c>
      <c r="G212" s="5" t="str">
        <f>VLOOKUP(C212,Sheet2!$C$3:$D$12,2,0)</f>
        <v>Variable</v>
      </c>
      <c r="H212" s="5" t="str">
        <f>IFERROR(VLOOKUP(E212,Sheet2!$G$3:$H$8,2,0),"unkwon")</f>
        <v>online</v>
      </c>
      <c r="I212" s="5">
        <f>VLOOKUP(B212,Sheet2!$J$4:$K$15,2,0)</f>
        <v>7</v>
      </c>
      <c r="J212" s="5">
        <f>IFERROR(VLOOKUP(C212,Sheet2!$M$4:$N$12,2,0),0)</f>
        <v>7000</v>
      </c>
      <c r="K212" s="5" t="str">
        <f t="shared" si="3"/>
        <v>within budget</v>
      </c>
    </row>
    <row r="213" spans="1:11" x14ac:dyDescent="0.3">
      <c r="A213" s="6">
        <v>45246</v>
      </c>
      <c r="B213" s="5" t="s">
        <v>40</v>
      </c>
      <c r="C213" s="5" t="s">
        <v>13</v>
      </c>
      <c r="D213" s="5" t="s">
        <v>24</v>
      </c>
      <c r="E213" s="5" t="s">
        <v>17</v>
      </c>
      <c r="F213" s="5">
        <v>1269</v>
      </c>
      <c r="G213" s="5" t="str">
        <f>VLOOKUP(C213,Sheet2!$C$3:$D$12,2,0)</f>
        <v>Variable</v>
      </c>
      <c r="H213" s="5" t="str">
        <f>IFERROR(VLOOKUP(E213,Sheet2!$G$3:$H$8,2,0),"unkwon")</f>
        <v>online</v>
      </c>
      <c r="I213" s="5">
        <f>VLOOKUP(B213,Sheet2!$J$4:$K$15,2,0)</f>
        <v>11</v>
      </c>
      <c r="J213" s="5">
        <f>IFERROR(VLOOKUP(C213,Sheet2!$M$4:$N$12,2,0),0)</f>
        <v>5000</v>
      </c>
      <c r="K213" s="5" t="str">
        <f t="shared" si="3"/>
        <v>within budget</v>
      </c>
    </row>
    <row r="214" spans="1:11" x14ac:dyDescent="0.3">
      <c r="A214" s="6">
        <v>44997</v>
      </c>
      <c r="B214" s="5" t="s">
        <v>19</v>
      </c>
      <c r="C214" s="5" t="s">
        <v>7</v>
      </c>
      <c r="D214" s="5" t="s">
        <v>20</v>
      </c>
      <c r="E214" s="5" t="s">
        <v>9</v>
      </c>
      <c r="F214" s="5">
        <v>2638</v>
      </c>
      <c r="G214" s="5" t="str">
        <f>VLOOKUP(C214,Sheet2!$C$3:$D$12,2,0)</f>
        <v>Fixed</v>
      </c>
      <c r="H214" s="5" t="str">
        <f>IFERROR(VLOOKUP(E214,Sheet2!$G$3:$H$8,2,0),"unkwon")</f>
        <v>online</v>
      </c>
      <c r="I214" s="5">
        <f>VLOOKUP(B214,Sheet2!$J$4:$K$15,2,0)</f>
        <v>3</v>
      </c>
      <c r="J214" s="5">
        <f>IFERROR(VLOOKUP(C214,Sheet2!$M$4:$N$12,2,0),0)</f>
        <v>2000</v>
      </c>
      <c r="K214" s="5" t="str">
        <f t="shared" si="3"/>
        <v>over budget</v>
      </c>
    </row>
    <row r="215" spans="1:11" x14ac:dyDescent="0.3">
      <c r="A215" s="6">
        <v>44975</v>
      </c>
      <c r="B215" s="5" t="s">
        <v>33</v>
      </c>
      <c r="C215" s="5" t="s">
        <v>30</v>
      </c>
      <c r="D215" s="5" t="s">
        <v>34</v>
      </c>
      <c r="E215" s="5" t="s">
        <v>32</v>
      </c>
      <c r="F215" s="5">
        <v>1777</v>
      </c>
      <c r="G215" s="5" t="str">
        <f>VLOOKUP(C215,Sheet2!$C$3:$D$12,2,0)</f>
        <v>Fixed</v>
      </c>
      <c r="H215" s="5" t="str">
        <f>IFERROR(VLOOKUP(E215,Sheet2!$G$3:$H$8,2,0),"unkwon")</f>
        <v>offline</v>
      </c>
      <c r="I215" s="5">
        <f>VLOOKUP(B215,Sheet2!$J$4:$K$15,2,0)</f>
        <v>2</v>
      </c>
      <c r="J215" s="5">
        <f>IFERROR(VLOOKUP(C215,Sheet2!$M$4:$N$12,2,0),0)</f>
        <v>3000</v>
      </c>
      <c r="K215" s="5" t="str">
        <f t="shared" si="3"/>
        <v>within budget</v>
      </c>
    </row>
    <row r="216" spans="1:11" x14ac:dyDescent="0.3">
      <c r="A216" s="6">
        <v>45462</v>
      </c>
      <c r="B216" s="5" t="s">
        <v>39</v>
      </c>
      <c r="C216" s="5" t="s">
        <v>36</v>
      </c>
      <c r="D216" s="5" t="s">
        <v>11</v>
      </c>
      <c r="E216" s="5" t="s">
        <v>15</v>
      </c>
      <c r="F216" s="5">
        <v>480</v>
      </c>
      <c r="G216" s="5" t="str">
        <f>VLOOKUP(C216,Sheet2!$C$3:$D$12,2,0)</f>
        <v>Variable</v>
      </c>
      <c r="H216" s="5" t="str">
        <f>IFERROR(VLOOKUP(E216,Sheet2!$G$3:$H$8,2,0),"unkwon")</f>
        <v>online</v>
      </c>
      <c r="I216" s="5">
        <f>VLOOKUP(B216,Sheet2!$J$4:$K$15,2,0)</f>
        <v>6</v>
      </c>
      <c r="J216" s="5">
        <f>IFERROR(VLOOKUP(C216,Sheet2!$M$4:$N$12,2,0),0)</f>
        <v>10000</v>
      </c>
      <c r="K216" s="5" t="str">
        <f t="shared" si="3"/>
        <v>within budget</v>
      </c>
    </row>
    <row r="217" spans="1:11" x14ac:dyDescent="0.3">
      <c r="A217" s="6">
        <v>45027</v>
      </c>
      <c r="B217" s="5" t="s">
        <v>29</v>
      </c>
      <c r="C217" s="5" t="s">
        <v>35</v>
      </c>
      <c r="D217" s="5" t="s">
        <v>8</v>
      </c>
      <c r="E217" s="5" t="s">
        <v>17</v>
      </c>
      <c r="F217" s="5">
        <v>1561</v>
      </c>
      <c r="G217" s="5" t="str">
        <f>VLOOKUP(C217,Sheet2!$C$3:$D$12,2,0)</f>
        <v>Fixed</v>
      </c>
      <c r="H217" s="5" t="str">
        <f>IFERROR(VLOOKUP(E217,Sheet2!$G$3:$H$8,2,0),"unkwon")</f>
        <v>online</v>
      </c>
      <c r="I217" s="5">
        <f>VLOOKUP(B217,Sheet2!$J$4:$K$15,2,0)</f>
        <v>4</v>
      </c>
      <c r="J217" s="5">
        <f>IFERROR(VLOOKUP(C217,Sheet2!$M$4:$N$12,2,0),0)</f>
        <v>5500</v>
      </c>
      <c r="K217" s="5" t="str">
        <f t="shared" si="3"/>
        <v>within budget</v>
      </c>
    </row>
    <row r="218" spans="1:11" x14ac:dyDescent="0.3">
      <c r="A218" s="6">
        <v>44989</v>
      </c>
      <c r="B218" s="5" t="s">
        <v>19</v>
      </c>
      <c r="C218" s="5" t="s">
        <v>27</v>
      </c>
      <c r="D218" s="5" t="s">
        <v>14</v>
      </c>
      <c r="E218" s="5" t="s">
        <v>9</v>
      </c>
      <c r="F218" s="5">
        <v>4480</v>
      </c>
      <c r="G218" s="5" t="str">
        <f>VLOOKUP(C218,Sheet2!$C$3:$D$12,2,0)</f>
        <v>Variable</v>
      </c>
      <c r="H218" s="5" t="str">
        <f>IFERROR(VLOOKUP(E218,Sheet2!$G$3:$H$8,2,0),"unkwon")</f>
        <v>online</v>
      </c>
      <c r="I218" s="5">
        <f>VLOOKUP(B218,Sheet2!$J$4:$K$15,2,0)</f>
        <v>3</v>
      </c>
      <c r="J218" s="5">
        <f>IFERROR(VLOOKUP(C218,Sheet2!$M$4:$N$12,2,0),0)</f>
        <v>4000</v>
      </c>
      <c r="K218" s="5" t="str">
        <f t="shared" si="3"/>
        <v>over budget</v>
      </c>
    </row>
    <row r="219" spans="1:11" x14ac:dyDescent="0.3">
      <c r="A219" s="6">
        <v>45620</v>
      </c>
      <c r="B219" s="5" t="s">
        <v>40</v>
      </c>
      <c r="C219" s="5" t="s">
        <v>35</v>
      </c>
      <c r="D219" s="5" t="s">
        <v>34</v>
      </c>
      <c r="E219" s="5" t="s">
        <v>17</v>
      </c>
      <c r="F219" s="5">
        <v>1668</v>
      </c>
      <c r="G219" s="5" t="str">
        <f>VLOOKUP(C219,Sheet2!$C$3:$D$12,2,0)</f>
        <v>Fixed</v>
      </c>
      <c r="H219" s="5" t="str">
        <f>IFERROR(VLOOKUP(E219,Sheet2!$G$3:$H$8,2,0),"unkwon")</f>
        <v>online</v>
      </c>
      <c r="I219" s="5">
        <f>VLOOKUP(B219,Sheet2!$J$4:$K$15,2,0)</f>
        <v>11</v>
      </c>
      <c r="J219" s="5">
        <f>IFERROR(VLOOKUP(C219,Sheet2!$M$4:$N$12,2,0),0)</f>
        <v>5500</v>
      </c>
      <c r="K219" s="5" t="str">
        <f t="shared" si="3"/>
        <v>within budget</v>
      </c>
    </row>
    <row r="220" spans="1:11" x14ac:dyDescent="0.3">
      <c r="A220" s="6">
        <v>45194</v>
      </c>
      <c r="B220" s="5" t="s">
        <v>38</v>
      </c>
      <c r="C220" s="5" t="s">
        <v>7</v>
      </c>
      <c r="D220" s="5" t="s">
        <v>24</v>
      </c>
      <c r="E220" s="5" t="s">
        <v>9</v>
      </c>
      <c r="F220" s="5">
        <v>2081</v>
      </c>
      <c r="G220" s="5" t="str">
        <f>VLOOKUP(C220,Sheet2!$C$3:$D$12,2,0)</f>
        <v>Fixed</v>
      </c>
      <c r="H220" s="5" t="str">
        <f>IFERROR(VLOOKUP(E220,Sheet2!$G$3:$H$8,2,0),"unkwon")</f>
        <v>online</v>
      </c>
      <c r="I220" s="5">
        <f>VLOOKUP(B220,Sheet2!$J$4:$K$15,2,0)</f>
        <v>9</v>
      </c>
      <c r="J220" s="5">
        <f>IFERROR(VLOOKUP(C220,Sheet2!$M$4:$N$12,2,0),0)</f>
        <v>2000</v>
      </c>
      <c r="K220" s="5" t="str">
        <f t="shared" si="3"/>
        <v>over budget</v>
      </c>
    </row>
    <row r="221" spans="1:11" x14ac:dyDescent="0.3">
      <c r="A221" s="6">
        <v>45513</v>
      </c>
      <c r="B221" s="5" t="s">
        <v>25</v>
      </c>
      <c r="C221" s="5" t="s">
        <v>7</v>
      </c>
      <c r="D221" s="5" t="s">
        <v>20</v>
      </c>
      <c r="E221" s="5" t="s">
        <v>12</v>
      </c>
      <c r="F221" s="5">
        <v>680</v>
      </c>
      <c r="G221" s="5" t="str">
        <f>VLOOKUP(C221,Sheet2!$C$3:$D$12,2,0)</f>
        <v>Fixed</v>
      </c>
      <c r="H221" s="5" t="str">
        <f>IFERROR(VLOOKUP(E221,Sheet2!$G$3:$H$8,2,0),"unkwon")</f>
        <v>online</v>
      </c>
      <c r="I221" s="5">
        <f>VLOOKUP(B221,Sheet2!$J$4:$K$15,2,0)</f>
        <v>8</v>
      </c>
      <c r="J221" s="5">
        <f>IFERROR(VLOOKUP(C221,Sheet2!$M$4:$N$12,2,0),0)</f>
        <v>2000</v>
      </c>
      <c r="K221" s="5" t="str">
        <f t="shared" si="3"/>
        <v>within budget</v>
      </c>
    </row>
    <row r="222" spans="1:11" x14ac:dyDescent="0.3">
      <c r="A222" s="6">
        <v>45263</v>
      </c>
      <c r="B222" s="5" t="s">
        <v>16</v>
      </c>
      <c r="C222" s="5" t="s">
        <v>30</v>
      </c>
      <c r="D222" s="5" t="s">
        <v>24</v>
      </c>
      <c r="E222" s="5" t="s">
        <v>15</v>
      </c>
      <c r="F222" s="5">
        <v>4538</v>
      </c>
      <c r="G222" s="5" t="str">
        <f>VLOOKUP(C222,Sheet2!$C$3:$D$12,2,0)</f>
        <v>Fixed</v>
      </c>
      <c r="H222" s="5" t="str">
        <f>IFERROR(VLOOKUP(E222,Sheet2!$G$3:$H$8,2,0),"unkwon")</f>
        <v>online</v>
      </c>
      <c r="I222" s="5">
        <f>VLOOKUP(B222,Sheet2!$J$4:$K$15,2,0)</f>
        <v>12</v>
      </c>
      <c r="J222" s="5">
        <f>IFERROR(VLOOKUP(C222,Sheet2!$M$4:$N$12,2,0),0)</f>
        <v>3000</v>
      </c>
      <c r="K222" s="5" t="str">
        <f t="shared" si="3"/>
        <v>over budget</v>
      </c>
    </row>
    <row r="223" spans="1:11" x14ac:dyDescent="0.3">
      <c r="A223" s="6">
        <v>45120</v>
      </c>
      <c r="B223" s="5" t="s">
        <v>21</v>
      </c>
      <c r="C223" s="5" t="s">
        <v>35</v>
      </c>
      <c r="D223" s="5" t="s">
        <v>23</v>
      </c>
      <c r="E223" s="5" t="s">
        <v>15</v>
      </c>
      <c r="F223" s="5">
        <v>599</v>
      </c>
      <c r="G223" s="5" t="str">
        <f>VLOOKUP(C223,Sheet2!$C$3:$D$12,2,0)</f>
        <v>Fixed</v>
      </c>
      <c r="H223" s="5" t="str">
        <f>IFERROR(VLOOKUP(E223,Sheet2!$G$3:$H$8,2,0),"unkwon")</f>
        <v>online</v>
      </c>
      <c r="I223" s="5">
        <f>VLOOKUP(B223,Sheet2!$J$4:$K$15,2,0)</f>
        <v>7</v>
      </c>
      <c r="J223" s="5">
        <f>IFERROR(VLOOKUP(C223,Sheet2!$M$4:$N$12,2,0),0)</f>
        <v>5500</v>
      </c>
      <c r="K223" s="5" t="str">
        <f t="shared" si="3"/>
        <v>within budget</v>
      </c>
    </row>
    <row r="224" spans="1:11" x14ac:dyDescent="0.3">
      <c r="A224" s="6">
        <v>45301</v>
      </c>
      <c r="B224" s="5" t="s">
        <v>37</v>
      </c>
      <c r="C224" s="5" t="s">
        <v>22</v>
      </c>
      <c r="D224" s="5" t="s">
        <v>18</v>
      </c>
      <c r="E224" s="5" t="s">
        <v>12</v>
      </c>
      <c r="F224" s="5">
        <v>4088</v>
      </c>
      <c r="G224" s="5" t="str">
        <f>VLOOKUP(C224,Sheet2!$C$3:$D$12,2,0)</f>
        <v>Variable</v>
      </c>
      <c r="H224" s="5" t="str">
        <f>IFERROR(VLOOKUP(E224,Sheet2!$G$3:$H$8,2,0),"unkwon")</f>
        <v>online</v>
      </c>
      <c r="I224" s="5">
        <f>VLOOKUP(B224,Sheet2!$J$4:$K$15,2,0)</f>
        <v>1</v>
      </c>
      <c r="J224" s="5">
        <f>IFERROR(VLOOKUP(C224,Sheet2!$M$4:$N$12,2,0),0)</f>
        <v>1000</v>
      </c>
      <c r="K224" s="5" t="str">
        <f t="shared" si="3"/>
        <v>over budget</v>
      </c>
    </row>
    <row r="225" spans="1:11" x14ac:dyDescent="0.3">
      <c r="A225" s="6">
        <v>45141</v>
      </c>
      <c r="B225" s="5" t="s">
        <v>25</v>
      </c>
      <c r="C225" s="5" t="s">
        <v>13</v>
      </c>
      <c r="D225" s="5" t="s">
        <v>14</v>
      </c>
      <c r="E225" s="5" t="s">
        <v>12</v>
      </c>
      <c r="F225" s="5">
        <v>4297</v>
      </c>
      <c r="G225" s="5" t="str">
        <f>VLOOKUP(C225,Sheet2!$C$3:$D$12,2,0)</f>
        <v>Variable</v>
      </c>
      <c r="H225" s="5" t="str">
        <f>IFERROR(VLOOKUP(E225,Sheet2!$G$3:$H$8,2,0),"unkwon")</f>
        <v>online</v>
      </c>
      <c r="I225" s="5">
        <f>VLOOKUP(B225,Sheet2!$J$4:$K$15,2,0)</f>
        <v>8</v>
      </c>
      <c r="J225" s="5">
        <f>IFERROR(VLOOKUP(C225,Sheet2!$M$4:$N$12,2,0),0)</f>
        <v>5000</v>
      </c>
      <c r="K225" s="5" t="str">
        <f t="shared" si="3"/>
        <v>within budget</v>
      </c>
    </row>
    <row r="226" spans="1:11" x14ac:dyDescent="0.3">
      <c r="A226" s="6">
        <v>44992</v>
      </c>
      <c r="B226" s="5" t="s">
        <v>19</v>
      </c>
      <c r="C226" s="5" t="s">
        <v>13</v>
      </c>
      <c r="D226" s="5" t="s">
        <v>11</v>
      </c>
      <c r="E226" s="5" t="s">
        <v>12</v>
      </c>
      <c r="F226" s="5">
        <v>310</v>
      </c>
      <c r="G226" s="5" t="str">
        <f>VLOOKUP(C226,Sheet2!$C$3:$D$12,2,0)</f>
        <v>Variable</v>
      </c>
      <c r="H226" s="5" t="str">
        <f>IFERROR(VLOOKUP(E226,Sheet2!$G$3:$H$8,2,0),"unkwon")</f>
        <v>online</v>
      </c>
      <c r="I226" s="5">
        <f>VLOOKUP(B226,Sheet2!$J$4:$K$15,2,0)</f>
        <v>3</v>
      </c>
      <c r="J226" s="5">
        <f>IFERROR(VLOOKUP(C226,Sheet2!$M$4:$N$12,2,0),0)</f>
        <v>5000</v>
      </c>
      <c r="K226" s="5" t="str">
        <f t="shared" si="3"/>
        <v>within budget</v>
      </c>
    </row>
    <row r="227" spans="1:11" x14ac:dyDescent="0.3">
      <c r="A227" s="6">
        <v>45354</v>
      </c>
      <c r="B227" s="5" t="s">
        <v>19</v>
      </c>
      <c r="C227" s="5" t="s">
        <v>13</v>
      </c>
      <c r="D227" s="5" t="s">
        <v>11</v>
      </c>
      <c r="E227" s="5" t="s">
        <v>17</v>
      </c>
      <c r="F227" s="5">
        <v>3340</v>
      </c>
      <c r="G227" s="5" t="str">
        <f>VLOOKUP(C227,Sheet2!$C$3:$D$12,2,0)</f>
        <v>Variable</v>
      </c>
      <c r="H227" s="5" t="str">
        <f>IFERROR(VLOOKUP(E227,Sheet2!$G$3:$H$8,2,0),"unkwon")</f>
        <v>online</v>
      </c>
      <c r="I227" s="5">
        <f>VLOOKUP(B227,Sheet2!$J$4:$K$15,2,0)</f>
        <v>3</v>
      </c>
      <c r="J227" s="5">
        <f>IFERROR(VLOOKUP(C227,Sheet2!$M$4:$N$12,2,0),0)</f>
        <v>5000</v>
      </c>
      <c r="K227" s="5" t="str">
        <f t="shared" si="3"/>
        <v>within budget</v>
      </c>
    </row>
    <row r="228" spans="1:11" x14ac:dyDescent="0.3">
      <c r="A228" s="6">
        <v>45612</v>
      </c>
      <c r="B228" s="5" t="s">
        <v>40</v>
      </c>
      <c r="C228" s="5" t="s">
        <v>35</v>
      </c>
      <c r="D228" s="5" t="s">
        <v>31</v>
      </c>
      <c r="E228" s="5" t="s">
        <v>9</v>
      </c>
      <c r="F228" s="5">
        <v>679</v>
      </c>
      <c r="G228" s="5" t="str">
        <f>VLOOKUP(C228,Sheet2!$C$3:$D$12,2,0)</f>
        <v>Fixed</v>
      </c>
      <c r="H228" s="5" t="str">
        <f>IFERROR(VLOOKUP(E228,Sheet2!$G$3:$H$8,2,0),"unkwon")</f>
        <v>online</v>
      </c>
      <c r="I228" s="5">
        <f>VLOOKUP(B228,Sheet2!$J$4:$K$15,2,0)</f>
        <v>11</v>
      </c>
      <c r="J228" s="5">
        <f>IFERROR(VLOOKUP(C228,Sheet2!$M$4:$N$12,2,0),0)</f>
        <v>5500</v>
      </c>
      <c r="K228" s="5" t="str">
        <f t="shared" si="3"/>
        <v>within budget</v>
      </c>
    </row>
    <row r="229" spans="1:11" x14ac:dyDescent="0.3">
      <c r="A229" s="6">
        <v>45558</v>
      </c>
      <c r="B229" s="5" t="s">
        <v>38</v>
      </c>
      <c r="C229" s="5" t="s">
        <v>7</v>
      </c>
      <c r="D229" s="5" t="s">
        <v>26</v>
      </c>
      <c r="E229" s="5" t="s">
        <v>15</v>
      </c>
      <c r="F229" s="5">
        <v>2525</v>
      </c>
      <c r="G229" s="5" t="str">
        <f>VLOOKUP(C229,Sheet2!$C$3:$D$12,2,0)</f>
        <v>Fixed</v>
      </c>
      <c r="H229" s="5" t="str">
        <f>IFERROR(VLOOKUP(E229,Sheet2!$G$3:$H$8,2,0),"unkwon")</f>
        <v>online</v>
      </c>
      <c r="I229" s="5">
        <f>VLOOKUP(B229,Sheet2!$J$4:$K$15,2,0)</f>
        <v>9</v>
      </c>
      <c r="J229" s="5">
        <f>IFERROR(VLOOKUP(C229,Sheet2!$M$4:$N$12,2,0),0)</f>
        <v>2000</v>
      </c>
      <c r="K229" s="5" t="str">
        <f t="shared" si="3"/>
        <v>over budget</v>
      </c>
    </row>
    <row r="230" spans="1:11" x14ac:dyDescent="0.3">
      <c r="A230" s="6">
        <v>45579</v>
      </c>
      <c r="B230" s="5" t="s">
        <v>6</v>
      </c>
      <c r="C230" s="5" t="s">
        <v>22</v>
      </c>
      <c r="D230" s="5" t="s">
        <v>14</v>
      </c>
      <c r="E230" s="5" t="s">
        <v>17</v>
      </c>
      <c r="F230" s="5">
        <v>4050</v>
      </c>
      <c r="G230" s="5" t="str">
        <f>VLOOKUP(C230,Sheet2!$C$3:$D$12,2,0)</f>
        <v>Variable</v>
      </c>
      <c r="H230" s="5" t="str">
        <f>IFERROR(VLOOKUP(E230,Sheet2!$G$3:$H$8,2,0),"unkwon")</f>
        <v>online</v>
      </c>
      <c r="I230" s="5">
        <f>VLOOKUP(B230,Sheet2!$J$4:$K$15,2,0)</f>
        <v>10</v>
      </c>
      <c r="J230" s="5">
        <f>IFERROR(VLOOKUP(C230,Sheet2!$M$4:$N$12,2,0),0)</f>
        <v>1000</v>
      </c>
      <c r="K230" s="5" t="str">
        <f t="shared" si="3"/>
        <v>over budget</v>
      </c>
    </row>
    <row r="231" spans="1:11" x14ac:dyDescent="0.3">
      <c r="A231" s="6">
        <v>45077</v>
      </c>
      <c r="B231" s="5" t="s">
        <v>28</v>
      </c>
      <c r="C231" s="5" t="s">
        <v>41</v>
      </c>
      <c r="D231" s="5" t="s">
        <v>20</v>
      </c>
      <c r="E231" s="5" t="s">
        <v>9</v>
      </c>
      <c r="F231" s="5">
        <v>721</v>
      </c>
      <c r="G231" s="5" t="str">
        <f>VLOOKUP(C231,Sheet2!$C$3:$D$12,2,0)</f>
        <v>Variable</v>
      </c>
      <c r="H231" s="5" t="str">
        <f>IFERROR(VLOOKUP(E231,Sheet2!$G$3:$H$8,2,0),"unkwon")</f>
        <v>online</v>
      </c>
      <c r="I231" s="5">
        <f>VLOOKUP(B231,Sheet2!$J$4:$K$15,2,0)</f>
        <v>5</v>
      </c>
      <c r="J231" s="5">
        <f>IFERROR(VLOOKUP(C231,Sheet2!$M$4:$N$12,2,0),0)</f>
        <v>7000</v>
      </c>
      <c r="K231" s="5" t="str">
        <f t="shared" si="3"/>
        <v>within budget</v>
      </c>
    </row>
    <row r="232" spans="1:11" x14ac:dyDescent="0.3">
      <c r="A232" s="6">
        <v>44987</v>
      </c>
      <c r="B232" s="5" t="s">
        <v>19</v>
      </c>
      <c r="C232" s="5" t="s">
        <v>30</v>
      </c>
      <c r="D232" s="5" t="s">
        <v>31</v>
      </c>
      <c r="E232" s="5" t="s">
        <v>17</v>
      </c>
      <c r="F232" s="5">
        <v>2833</v>
      </c>
      <c r="G232" s="5" t="str">
        <f>VLOOKUP(C232,Sheet2!$C$3:$D$12,2,0)</f>
        <v>Fixed</v>
      </c>
      <c r="H232" s="5" t="str">
        <f>IFERROR(VLOOKUP(E232,Sheet2!$G$3:$H$8,2,0),"unkwon")</f>
        <v>online</v>
      </c>
      <c r="I232" s="5">
        <f>VLOOKUP(B232,Sheet2!$J$4:$K$15,2,0)</f>
        <v>3</v>
      </c>
      <c r="J232" s="5">
        <f>IFERROR(VLOOKUP(C232,Sheet2!$M$4:$N$12,2,0),0)</f>
        <v>3000</v>
      </c>
      <c r="K232" s="5" t="str">
        <f t="shared" si="3"/>
        <v>within budget</v>
      </c>
    </row>
    <row r="233" spans="1:11" x14ac:dyDescent="0.3">
      <c r="A233" s="6">
        <v>45640</v>
      </c>
      <c r="B233" s="5" t="s">
        <v>16</v>
      </c>
      <c r="C233" s="5" t="s">
        <v>13</v>
      </c>
      <c r="D233" s="5" t="s">
        <v>31</v>
      </c>
      <c r="E233" s="5" t="s">
        <v>32</v>
      </c>
      <c r="F233" s="5">
        <v>1471</v>
      </c>
      <c r="G233" s="5" t="str">
        <f>VLOOKUP(C233,Sheet2!$C$3:$D$12,2,0)</f>
        <v>Variable</v>
      </c>
      <c r="H233" s="5" t="str">
        <f>IFERROR(VLOOKUP(E233,Sheet2!$G$3:$H$8,2,0),"unkwon")</f>
        <v>offline</v>
      </c>
      <c r="I233" s="5">
        <f>VLOOKUP(B233,Sheet2!$J$4:$K$15,2,0)</f>
        <v>12</v>
      </c>
      <c r="J233" s="5">
        <f>IFERROR(VLOOKUP(C233,Sheet2!$M$4:$N$12,2,0),0)</f>
        <v>5000</v>
      </c>
      <c r="K233" s="5" t="str">
        <f t="shared" si="3"/>
        <v>within budget</v>
      </c>
    </row>
    <row r="234" spans="1:11" x14ac:dyDescent="0.3">
      <c r="A234" s="6">
        <v>45408</v>
      </c>
      <c r="B234" s="5" t="s">
        <v>29</v>
      </c>
      <c r="C234" s="5" t="s">
        <v>35</v>
      </c>
      <c r="D234" s="5" t="s">
        <v>31</v>
      </c>
      <c r="E234" s="5" t="s">
        <v>17</v>
      </c>
      <c r="F234" s="5">
        <v>3236</v>
      </c>
      <c r="G234" s="5" t="str">
        <f>VLOOKUP(C234,Sheet2!$C$3:$D$12,2,0)</f>
        <v>Fixed</v>
      </c>
      <c r="H234" s="5" t="str">
        <f>IFERROR(VLOOKUP(E234,Sheet2!$G$3:$H$8,2,0),"unkwon")</f>
        <v>online</v>
      </c>
      <c r="I234" s="5">
        <f>VLOOKUP(B234,Sheet2!$J$4:$K$15,2,0)</f>
        <v>4</v>
      </c>
      <c r="J234" s="5">
        <f>IFERROR(VLOOKUP(C234,Sheet2!$M$4:$N$12,2,0),0)</f>
        <v>5500</v>
      </c>
      <c r="K234" s="5" t="str">
        <f t="shared" si="3"/>
        <v>within budget</v>
      </c>
    </row>
    <row r="235" spans="1:11" x14ac:dyDescent="0.3">
      <c r="A235" s="6">
        <v>45204</v>
      </c>
      <c r="B235" s="5" t="s">
        <v>6</v>
      </c>
      <c r="C235" s="5" t="s">
        <v>27</v>
      </c>
      <c r="D235" s="5" t="s">
        <v>11</v>
      </c>
      <c r="E235" s="5" t="s">
        <v>15</v>
      </c>
      <c r="F235" s="5">
        <v>2735</v>
      </c>
      <c r="G235" s="5" t="str">
        <f>VLOOKUP(C235,Sheet2!$C$3:$D$12,2,0)</f>
        <v>Variable</v>
      </c>
      <c r="H235" s="5" t="str">
        <f>IFERROR(VLOOKUP(E235,Sheet2!$G$3:$H$8,2,0),"unkwon")</f>
        <v>online</v>
      </c>
      <c r="I235" s="5">
        <f>VLOOKUP(B235,Sheet2!$J$4:$K$15,2,0)</f>
        <v>10</v>
      </c>
      <c r="J235" s="5">
        <f>IFERROR(VLOOKUP(C235,Sheet2!$M$4:$N$12,2,0),0)</f>
        <v>4000</v>
      </c>
      <c r="K235" s="5" t="str">
        <f t="shared" si="3"/>
        <v>within budget</v>
      </c>
    </row>
    <row r="236" spans="1:11" x14ac:dyDescent="0.3">
      <c r="A236" s="6">
        <v>45221</v>
      </c>
      <c r="B236" s="5" t="s">
        <v>6</v>
      </c>
      <c r="C236" s="5" t="s">
        <v>7</v>
      </c>
      <c r="D236" s="5" t="s">
        <v>34</v>
      </c>
      <c r="E236" s="5" t="s">
        <v>15</v>
      </c>
      <c r="F236" s="5">
        <v>4794</v>
      </c>
      <c r="G236" s="5" t="str">
        <f>VLOOKUP(C236,Sheet2!$C$3:$D$12,2,0)</f>
        <v>Fixed</v>
      </c>
      <c r="H236" s="5" t="str">
        <f>IFERROR(VLOOKUP(E236,Sheet2!$G$3:$H$8,2,0),"unkwon")</f>
        <v>online</v>
      </c>
      <c r="I236" s="5">
        <f>VLOOKUP(B236,Sheet2!$J$4:$K$15,2,0)</f>
        <v>10</v>
      </c>
      <c r="J236" s="5">
        <f>IFERROR(VLOOKUP(C236,Sheet2!$M$4:$N$12,2,0),0)</f>
        <v>2000</v>
      </c>
      <c r="K236" s="5" t="str">
        <f t="shared" si="3"/>
        <v>over budget</v>
      </c>
    </row>
    <row r="237" spans="1:11" x14ac:dyDescent="0.3">
      <c r="A237" s="6">
        <v>45349</v>
      </c>
      <c r="B237" s="5" t="s">
        <v>33</v>
      </c>
      <c r="C237" s="5" t="s">
        <v>27</v>
      </c>
      <c r="D237" s="5" t="s">
        <v>20</v>
      </c>
      <c r="E237" s="5" t="s">
        <v>17</v>
      </c>
      <c r="F237" s="5">
        <v>3408</v>
      </c>
      <c r="G237" s="5" t="str">
        <f>VLOOKUP(C237,Sheet2!$C$3:$D$12,2,0)</f>
        <v>Variable</v>
      </c>
      <c r="H237" s="5" t="str">
        <f>IFERROR(VLOOKUP(E237,Sheet2!$G$3:$H$8,2,0),"unkwon")</f>
        <v>online</v>
      </c>
      <c r="I237" s="5">
        <f>VLOOKUP(B237,Sheet2!$J$4:$K$15,2,0)</f>
        <v>2</v>
      </c>
      <c r="J237" s="5">
        <f>IFERROR(VLOOKUP(C237,Sheet2!$M$4:$N$12,2,0),0)</f>
        <v>4000</v>
      </c>
      <c r="K237" s="5" t="str">
        <f t="shared" si="3"/>
        <v>within budget</v>
      </c>
    </row>
    <row r="238" spans="1:11" x14ac:dyDescent="0.3">
      <c r="A238" s="6">
        <v>45357</v>
      </c>
      <c r="B238" s="5" t="s">
        <v>19</v>
      </c>
      <c r="C238" s="5" t="s">
        <v>41</v>
      </c>
      <c r="D238" s="5" t="s">
        <v>26</v>
      </c>
      <c r="E238" s="5" t="s">
        <v>17</v>
      </c>
      <c r="F238" s="5">
        <v>3550</v>
      </c>
      <c r="G238" s="5" t="str">
        <f>VLOOKUP(C238,Sheet2!$C$3:$D$12,2,0)</f>
        <v>Variable</v>
      </c>
      <c r="H238" s="5" t="str">
        <f>IFERROR(VLOOKUP(E238,Sheet2!$G$3:$H$8,2,0),"unkwon")</f>
        <v>online</v>
      </c>
      <c r="I238" s="5">
        <f>VLOOKUP(B238,Sheet2!$J$4:$K$15,2,0)</f>
        <v>3</v>
      </c>
      <c r="J238" s="5">
        <f>IFERROR(VLOOKUP(C238,Sheet2!$M$4:$N$12,2,0),0)</f>
        <v>7000</v>
      </c>
      <c r="K238" s="5" t="str">
        <f t="shared" si="3"/>
        <v>within budget</v>
      </c>
    </row>
    <row r="239" spans="1:11" x14ac:dyDescent="0.3">
      <c r="A239" s="6">
        <v>45247</v>
      </c>
      <c r="B239" s="5" t="s">
        <v>40</v>
      </c>
      <c r="C239" s="5" t="s">
        <v>13</v>
      </c>
      <c r="D239" s="5" t="s">
        <v>23</v>
      </c>
      <c r="E239" s="5" t="s">
        <v>12</v>
      </c>
      <c r="F239" s="5">
        <v>2960</v>
      </c>
      <c r="G239" s="5" t="str">
        <f>VLOOKUP(C239,Sheet2!$C$3:$D$12,2,0)</f>
        <v>Variable</v>
      </c>
      <c r="H239" s="5" t="str">
        <f>IFERROR(VLOOKUP(E239,Sheet2!$G$3:$H$8,2,0),"unkwon")</f>
        <v>online</v>
      </c>
      <c r="I239" s="5">
        <f>VLOOKUP(B239,Sheet2!$J$4:$K$15,2,0)</f>
        <v>11</v>
      </c>
      <c r="J239" s="5">
        <f>IFERROR(VLOOKUP(C239,Sheet2!$M$4:$N$12,2,0),0)</f>
        <v>5000</v>
      </c>
      <c r="K239" s="5" t="str">
        <f t="shared" si="3"/>
        <v>within budget</v>
      </c>
    </row>
    <row r="240" spans="1:11" x14ac:dyDescent="0.3">
      <c r="A240" s="6">
        <v>45457</v>
      </c>
      <c r="B240" s="5" t="s">
        <v>39</v>
      </c>
      <c r="C240" s="5" t="s">
        <v>30</v>
      </c>
      <c r="D240" s="5" t="s">
        <v>23</v>
      </c>
      <c r="E240" s="5" t="s">
        <v>12</v>
      </c>
      <c r="F240" s="5">
        <v>1645</v>
      </c>
      <c r="G240" s="5" t="str">
        <f>VLOOKUP(C240,Sheet2!$C$3:$D$12,2,0)</f>
        <v>Fixed</v>
      </c>
      <c r="H240" s="5" t="str">
        <f>IFERROR(VLOOKUP(E240,Sheet2!$G$3:$H$8,2,0),"unkwon")</f>
        <v>online</v>
      </c>
      <c r="I240" s="5">
        <f>VLOOKUP(B240,Sheet2!$J$4:$K$15,2,0)</f>
        <v>6</v>
      </c>
      <c r="J240" s="5">
        <f>IFERROR(VLOOKUP(C240,Sheet2!$M$4:$N$12,2,0),0)</f>
        <v>3000</v>
      </c>
      <c r="K240" s="5" t="str">
        <f t="shared" si="3"/>
        <v>within budget</v>
      </c>
    </row>
    <row r="241" spans="1:11" x14ac:dyDescent="0.3">
      <c r="A241" s="6">
        <v>45226</v>
      </c>
      <c r="B241" s="5" t="s">
        <v>6</v>
      </c>
      <c r="C241" s="5" t="s">
        <v>27</v>
      </c>
      <c r="D241" s="5" t="s">
        <v>14</v>
      </c>
      <c r="E241" s="5" t="s">
        <v>12</v>
      </c>
      <c r="F241" s="5">
        <v>886</v>
      </c>
      <c r="G241" s="5" t="str">
        <f>VLOOKUP(C241,Sheet2!$C$3:$D$12,2,0)</f>
        <v>Variable</v>
      </c>
      <c r="H241" s="5" t="str">
        <f>IFERROR(VLOOKUP(E241,Sheet2!$G$3:$H$8,2,0),"unkwon")</f>
        <v>online</v>
      </c>
      <c r="I241" s="5">
        <f>VLOOKUP(B241,Sheet2!$J$4:$K$15,2,0)</f>
        <v>10</v>
      </c>
      <c r="J241" s="5">
        <f>IFERROR(VLOOKUP(C241,Sheet2!$M$4:$N$12,2,0),0)</f>
        <v>4000</v>
      </c>
      <c r="K241" s="5" t="str">
        <f t="shared" si="3"/>
        <v>within budget</v>
      </c>
    </row>
    <row r="242" spans="1:11" x14ac:dyDescent="0.3">
      <c r="A242" s="6">
        <v>44966</v>
      </c>
      <c r="B242" s="5" t="s">
        <v>33</v>
      </c>
      <c r="C242" s="5" t="s">
        <v>27</v>
      </c>
      <c r="D242" s="5" t="s">
        <v>34</v>
      </c>
      <c r="E242" s="5" t="s">
        <v>32</v>
      </c>
      <c r="F242" s="5">
        <v>4920</v>
      </c>
      <c r="G242" s="5" t="str">
        <f>VLOOKUP(C242,Sheet2!$C$3:$D$12,2,0)</f>
        <v>Variable</v>
      </c>
      <c r="H242" s="5" t="str">
        <f>IFERROR(VLOOKUP(E242,Sheet2!$G$3:$H$8,2,0),"unkwon")</f>
        <v>offline</v>
      </c>
      <c r="I242" s="5">
        <f>VLOOKUP(B242,Sheet2!$J$4:$K$15,2,0)</f>
        <v>2</v>
      </c>
      <c r="J242" s="5">
        <f>IFERROR(VLOOKUP(C242,Sheet2!$M$4:$N$12,2,0),0)</f>
        <v>4000</v>
      </c>
      <c r="K242" s="5" t="str">
        <f t="shared" si="3"/>
        <v>over budget</v>
      </c>
    </row>
    <row r="243" spans="1:11" x14ac:dyDescent="0.3">
      <c r="A243" s="6">
        <v>44928</v>
      </c>
      <c r="B243" s="5" t="s">
        <v>37</v>
      </c>
      <c r="C243" s="5" t="s">
        <v>36</v>
      </c>
      <c r="D243" s="5" t="s">
        <v>11</v>
      </c>
      <c r="E243" s="5" t="s">
        <v>32</v>
      </c>
      <c r="F243" s="5">
        <v>3880</v>
      </c>
      <c r="G243" s="5" t="str">
        <f>VLOOKUP(C243,Sheet2!$C$3:$D$12,2,0)</f>
        <v>Variable</v>
      </c>
      <c r="H243" s="5" t="str">
        <f>IFERROR(VLOOKUP(E243,Sheet2!$G$3:$H$8,2,0),"unkwon")</f>
        <v>offline</v>
      </c>
      <c r="I243" s="5">
        <f>VLOOKUP(B243,Sheet2!$J$4:$K$15,2,0)</f>
        <v>1</v>
      </c>
      <c r="J243" s="5">
        <f>IFERROR(VLOOKUP(C243,Sheet2!$M$4:$N$12,2,0),0)</f>
        <v>10000</v>
      </c>
      <c r="K243" s="5" t="str">
        <f t="shared" si="3"/>
        <v>within budget</v>
      </c>
    </row>
    <row r="244" spans="1:11" x14ac:dyDescent="0.3">
      <c r="A244" s="6">
        <v>45642</v>
      </c>
      <c r="B244" s="5" t="s">
        <v>16</v>
      </c>
      <c r="C244" s="5" t="s">
        <v>41</v>
      </c>
      <c r="D244" s="5" t="s">
        <v>11</v>
      </c>
      <c r="E244" s="5" t="s">
        <v>17</v>
      </c>
      <c r="F244" s="5">
        <v>3466</v>
      </c>
      <c r="G244" s="5" t="str">
        <f>VLOOKUP(C244,Sheet2!$C$3:$D$12,2,0)</f>
        <v>Variable</v>
      </c>
      <c r="H244" s="5" t="str">
        <f>IFERROR(VLOOKUP(E244,Sheet2!$G$3:$H$8,2,0),"unkwon")</f>
        <v>online</v>
      </c>
      <c r="I244" s="5">
        <f>VLOOKUP(B244,Sheet2!$J$4:$K$15,2,0)</f>
        <v>12</v>
      </c>
      <c r="J244" s="5">
        <f>IFERROR(VLOOKUP(C244,Sheet2!$M$4:$N$12,2,0),0)</f>
        <v>7000</v>
      </c>
      <c r="K244" s="5" t="str">
        <f t="shared" si="3"/>
        <v>within budget</v>
      </c>
    </row>
    <row r="245" spans="1:11" x14ac:dyDescent="0.3">
      <c r="A245" s="6">
        <v>45175</v>
      </c>
      <c r="B245" s="5" t="s">
        <v>38</v>
      </c>
      <c r="C245" s="5" t="s">
        <v>36</v>
      </c>
      <c r="D245" s="5" t="s">
        <v>24</v>
      </c>
      <c r="E245" s="5" t="s">
        <v>15</v>
      </c>
      <c r="F245" s="5">
        <v>2688</v>
      </c>
      <c r="G245" s="5" t="str">
        <f>VLOOKUP(C245,Sheet2!$C$3:$D$12,2,0)</f>
        <v>Variable</v>
      </c>
      <c r="H245" s="5" t="str">
        <f>IFERROR(VLOOKUP(E245,Sheet2!$G$3:$H$8,2,0),"unkwon")</f>
        <v>online</v>
      </c>
      <c r="I245" s="5">
        <f>VLOOKUP(B245,Sheet2!$J$4:$K$15,2,0)</f>
        <v>9</v>
      </c>
      <c r="J245" s="5">
        <f>IFERROR(VLOOKUP(C245,Sheet2!$M$4:$N$12,2,0),0)</f>
        <v>10000</v>
      </c>
      <c r="K245" s="5" t="str">
        <f t="shared" si="3"/>
        <v>within budget</v>
      </c>
    </row>
    <row r="246" spans="1:11" x14ac:dyDescent="0.3">
      <c r="A246" s="6">
        <v>45113</v>
      </c>
      <c r="B246" s="5" t="s">
        <v>21</v>
      </c>
      <c r="C246" s="5" t="s">
        <v>7</v>
      </c>
      <c r="D246" s="5" t="s">
        <v>23</v>
      </c>
      <c r="E246" s="5" t="s">
        <v>12</v>
      </c>
      <c r="F246" s="5">
        <v>1654</v>
      </c>
      <c r="G246" s="5" t="str">
        <f>VLOOKUP(C246,Sheet2!$C$3:$D$12,2,0)</f>
        <v>Fixed</v>
      </c>
      <c r="H246" s="5" t="str">
        <f>IFERROR(VLOOKUP(E246,Sheet2!$G$3:$H$8,2,0),"unkwon")</f>
        <v>online</v>
      </c>
      <c r="I246" s="5">
        <f>VLOOKUP(B246,Sheet2!$J$4:$K$15,2,0)</f>
        <v>7</v>
      </c>
      <c r="J246" s="5">
        <f>IFERROR(VLOOKUP(C246,Sheet2!$M$4:$N$12,2,0),0)</f>
        <v>2000</v>
      </c>
      <c r="K246" s="5" t="str">
        <f t="shared" si="3"/>
        <v>within budget</v>
      </c>
    </row>
    <row r="247" spans="1:11" x14ac:dyDescent="0.3">
      <c r="A247" s="6">
        <v>45244</v>
      </c>
      <c r="B247" s="5" t="s">
        <v>40</v>
      </c>
      <c r="C247" s="5" t="s">
        <v>41</v>
      </c>
      <c r="D247" s="5" t="s">
        <v>23</v>
      </c>
      <c r="E247" s="5" t="s">
        <v>17</v>
      </c>
      <c r="F247" s="5">
        <v>2418</v>
      </c>
      <c r="G247" s="5" t="str">
        <f>VLOOKUP(C247,Sheet2!$C$3:$D$12,2,0)</f>
        <v>Variable</v>
      </c>
      <c r="H247" s="5" t="str">
        <f>IFERROR(VLOOKUP(E247,Sheet2!$G$3:$H$8,2,0),"unkwon")</f>
        <v>online</v>
      </c>
      <c r="I247" s="5">
        <f>VLOOKUP(B247,Sheet2!$J$4:$K$15,2,0)</f>
        <v>11</v>
      </c>
      <c r="J247" s="5">
        <f>IFERROR(VLOOKUP(C247,Sheet2!$M$4:$N$12,2,0),0)</f>
        <v>7000</v>
      </c>
      <c r="K247" s="5" t="str">
        <f t="shared" si="3"/>
        <v>within budget</v>
      </c>
    </row>
    <row r="248" spans="1:11" x14ac:dyDescent="0.3">
      <c r="A248" s="6">
        <v>45173</v>
      </c>
      <c r="B248" s="5" t="s">
        <v>38</v>
      </c>
      <c r="C248" s="5" t="s">
        <v>36</v>
      </c>
      <c r="D248" s="5" t="s">
        <v>11</v>
      </c>
      <c r="E248" s="5" t="s">
        <v>17</v>
      </c>
      <c r="F248" s="5">
        <v>1440</v>
      </c>
      <c r="G248" s="5" t="str">
        <f>VLOOKUP(C248,Sheet2!$C$3:$D$12,2,0)</f>
        <v>Variable</v>
      </c>
      <c r="H248" s="5" t="str">
        <f>IFERROR(VLOOKUP(E248,Sheet2!$G$3:$H$8,2,0),"unkwon")</f>
        <v>online</v>
      </c>
      <c r="I248" s="5">
        <f>VLOOKUP(B248,Sheet2!$J$4:$K$15,2,0)</f>
        <v>9</v>
      </c>
      <c r="J248" s="5">
        <f>IFERROR(VLOOKUP(C248,Sheet2!$M$4:$N$12,2,0),0)</f>
        <v>10000</v>
      </c>
      <c r="K248" s="5" t="str">
        <f t="shared" si="3"/>
        <v>within budget</v>
      </c>
    </row>
    <row r="249" spans="1:11" x14ac:dyDescent="0.3">
      <c r="A249" s="6">
        <v>45295</v>
      </c>
      <c r="B249" s="5" t="s">
        <v>37</v>
      </c>
      <c r="C249" s="5" t="s">
        <v>10</v>
      </c>
      <c r="D249" s="5" t="s">
        <v>20</v>
      </c>
      <c r="E249" s="5" t="s">
        <v>32</v>
      </c>
      <c r="F249" s="5">
        <v>1480</v>
      </c>
      <c r="G249" s="5" t="str">
        <f>VLOOKUP(C249,Sheet2!$C$3:$D$12,2,0)</f>
        <v>Variable</v>
      </c>
      <c r="H249" s="5" t="str">
        <f>IFERROR(VLOOKUP(E249,Sheet2!$G$3:$H$8,2,0),"unkwon")</f>
        <v>offline</v>
      </c>
      <c r="I249" s="5">
        <f>VLOOKUP(B249,Sheet2!$J$4:$K$15,2,0)</f>
        <v>1</v>
      </c>
      <c r="J249" s="5">
        <f>IFERROR(VLOOKUP(C249,Sheet2!$M$4:$N$12,2,0),0)</f>
        <v>5000</v>
      </c>
      <c r="K249" s="5" t="str">
        <f t="shared" si="3"/>
        <v>within budget</v>
      </c>
    </row>
    <row r="250" spans="1:11" x14ac:dyDescent="0.3">
      <c r="A250" s="6">
        <v>44982</v>
      </c>
      <c r="B250" s="5" t="s">
        <v>33</v>
      </c>
      <c r="C250" s="5" t="s">
        <v>13</v>
      </c>
      <c r="D250" s="5" t="s">
        <v>18</v>
      </c>
      <c r="E250" s="5" t="s">
        <v>9</v>
      </c>
      <c r="F250" s="5">
        <v>1051</v>
      </c>
      <c r="G250" s="5" t="str">
        <f>VLOOKUP(C250,Sheet2!$C$3:$D$12,2,0)</f>
        <v>Variable</v>
      </c>
      <c r="H250" s="5" t="str">
        <f>IFERROR(VLOOKUP(E250,Sheet2!$G$3:$H$8,2,0),"unkwon")</f>
        <v>online</v>
      </c>
      <c r="I250" s="5">
        <f>VLOOKUP(B250,Sheet2!$J$4:$K$15,2,0)</f>
        <v>2</v>
      </c>
      <c r="J250" s="5">
        <f>IFERROR(VLOOKUP(C250,Sheet2!$M$4:$N$12,2,0),0)</f>
        <v>5000</v>
      </c>
      <c r="K250" s="5" t="str">
        <f t="shared" si="3"/>
        <v>within budget</v>
      </c>
    </row>
    <row r="251" spans="1:11" x14ac:dyDescent="0.3">
      <c r="A251" s="6">
        <v>45292</v>
      </c>
      <c r="B251" s="5" t="s">
        <v>37</v>
      </c>
      <c r="C251" s="5" t="s">
        <v>36</v>
      </c>
      <c r="D251" s="5" t="s">
        <v>14</v>
      </c>
      <c r="E251" s="5" t="s">
        <v>12</v>
      </c>
      <c r="F251" s="5">
        <v>3923</v>
      </c>
      <c r="G251" s="5" t="str">
        <f>VLOOKUP(C251,Sheet2!$C$3:$D$12,2,0)</f>
        <v>Variable</v>
      </c>
      <c r="H251" s="5" t="str">
        <f>IFERROR(VLOOKUP(E251,Sheet2!$G$3:$H$8,2,0),"unkwon")</f>
        <v>online</v>
      </c>
      <c r="I251" s="5">
        <f>VLOOKUP(B251,Sheet2!$J$4:$K$15,2,0)</f>
        <v>1</v>
      </c>
      <c r="J251" s="5">
        <f>IFERROR(VLOOKUP(C251,Sheet2!$M$4:$N$12,2,0),0)</f>
        <v>10000</v>
      </c>
      <c r="K251" s="5" t="str">
        <f t="shared" si="3"/>
        <v>within budget</v>
      </c>
    </row>
    <row r="252" spans="1:11" x14ac:dyDescent="0.3">
      <c r="A252" s="6">
        <v>45336</v>
      </c>
      <c r="B252" s="5" t="s">
        <v>33</v>
      </c>
      <c r="C252" s="5" t="s">
        <v>22</v>
      </c>
      <c r="D252" s="5" t="s">
        <v>18</v>
      </c>
      <c r="E252" s="5" t="s">
        <v>32</v>
      </c>
      <c r="F252" s="5">
        <v>2859</v>
      </c>
      <c r="G252" s="5" t="str">
        <f>VLOOKUP(C252,Sheet2!$C$3:$D$12,2,0)</f>
        <v>Variable</v>
      </c>
      <c r="H252" s="5" t="str">
        <f>IFERROR(VLOOKUP(E252,Sheet2!$G$3:$H$8,2,0),"unkwon")</f>
        <v>offline</v>
      </c>
      <c r="I252" s="5">
        <f>VLOOKUP(B252,Sheet2!$J$4:$K$15,2,0)</f>
        <v>2</v>
      </c>
      <c r="J252" s="5">
        <f>IFERROR(VLOOKUP(C252,Sheet2!$M$4:$N$12,2,0),0)</f>
        <v>1000</v>
      </c>
      <c r="K252" s="5" t="str">
        <f t="shared" si="3"/>
        <v>over budget</v>
      </c>
    </row>
    <row r="253" spans="1:11" x14ac:dyDescent="0.3">
      <c r="A253" s="6">
        <v>45236</v>
      </c>
      <c r="B253" s="5" t="s">
        <v>40</v>
      </c>
      <c r="C253" s="5" t="s">
        <v>36</v>
      </c>
      <c r="D253" s="5" t="s">
        <v>23</v>
      </c>
      <c r="E253" s="5" t="s">
        <v>17</v>
      </c>
      <c r="F253" s="5">
        <v>2309</v>
      </c>
      <c r="G253" s="5" t="str">
        <f>VLOOKUP(C253,Sheet2!$C$3:$D$12,2,0)</f>
        <v>Variable</v>
      </c>
      <c r="H253" s="5" t="str">
        <f>IFERROR(VLOOKUP(E253,Sheet2!$G$3:$H$8,2,0),"unkwon")</f>
        <v>online</v>
      </c>
      <c r="I253" s="5">
        <f>VLOOKUP(B253,Sheet2!$J$4:$K$15,2,0)</f>
        <v>11</v>
      </c>
      <c r="J253" s="5">
        <f>IFERROR(VLOOKUP(C253,Sheet2!$M$4:$N$12,2,0),0)</f>
        <v>10000</v>
      </c>
      <c r="K253" s="5" t="str">
        <f t="shared" si="3"/>
        <v>within budget</v>
      </c>
    </row>
    <row r="254" spans="1:11" x14ac:dyDescent="0.3">
      <c r="A254" s="6">
        <v>45282</v>
      </c>
      <c r="B254" s="5" t="s">
        <v>16</v>
      </c>
      <c r="C254" s="5" t="s">
        <v>10</v>
      </c>
      <c r="D254" s="5" t="s">
        <v>8</v>
      </c>
      <c r="E254" s="5" t="s">
        <v>32</v>
      </c>
      <c r="F254" s="5">
        <v>4897</v>
      </c>
      <c r="G254" s="5" t="str">
        <f>VLOOKUP(C254,Sheet2!$C$3:$D$12,2,0)</f>
        <v>Variable</v>
      </c>
      <c r="H254" s="5" t="str">
        <f>IFERROR(VLOOKUP(E254,Sheet2!$G$3:$H$8,2,0),"unkwon")</f>
        <v>offline</v>
      </c>
      <c r="I254" s="5">
        <f>VLOOKUP(B254,Sheet2!$J$4:$K$15,2,0)</f>
        <v>12</v>
      </c>
      <c r="J254" s="5">
        <f>IFERROR(VLOOKUP(C254,Sheet2!$M$4:$N$12,2,0),0)</f>
        <v>5000</v>
      </c>
      <c r="K254" s="5" t="str">
        <f t="shared" si="3"/>
        <v>within budget</v>
      </c>
    </row>
    <row r="255" spans="1:11" x14ac:dyDescent="0.3">
      <c r="A255" s="6">
        <v>45515</v>
      </c>
      <c r="B255" s="5" t="s">
        <v>25</v>
      </c>
      <c r="C255" s="5" t="s">
        <v>30</v>
      </c>
      <c r="D255" s="5" t="s">
        <v>20</v>
      </c>
      <c r="E255" s="5" t="s">
        <v>9</v>
      </c>
      <c r="F255" s="5">
        <v>3691</v>
      </c>
      <c r="G255" s="5" t="str">
        <f>VLOOKUP(C255,Sheet2!$C$3:$D$12,2,0)</f>
        <v>Fixed</v>
      </c>
      <c r="H255" s="5" t="str">
        <f>IFERROR(VLOOKUP(E255,Sheet2!$G$3:$H$8,2,0),"unkwon")</f>
        <v>online</v>
      </c>
      <c r="I255" s="5">
        <f>VLOOKUP(B255,Sheet2!$J$4:$K$15,2,0)</f>
        <v>8</v>
      </c>
      <c r="J255" s="5">
        <f>IFERROR(VLOOKUP(C255,Sheet2!$M$4:$N$12,2,0),0)</f>
        <v>3000</v>
      </c>
      <c r="K255" s="5" t="str">
        <f t="shared" si="3"/>
        <v>over budget</v>
      </c>
    </row>
    <row r="256" spans="1:11" x14ac:dyDescent="0.3">
      <c r="A256" s="6">
        <v>45442</v>
      </c>
      <c r="B256" s="5" t="s">
        <v>28</v>
      </c>
      <c r="C256" s="5" t="s">
        <v>22</v>
      </c>
      <c r="D256" s="5" t="s">
        <v>8</v>
      </c>
      <c r="E256" s="5" t="s">
        <v>9</v>
      </c>
      <c r="F256" s="5">
        <v>856</v>
      </c>
      <c r="G256" s="5" t="str">
        <f>VLOOKUP(C256,Sheet2!$C$3:$D$12,2,0)</f>
        <v>Variable</v>
      </c>
      <c r="H256" s="5" t="str">
        <f>IFERROR(VLOOKUP(E256,Sheet2!$G$3:$H$8,2,0),"unkwon")</f>
        <v>online</v>
      </c>
      <c r="I256" s="5">
        <f>VLOOKUP(B256,Sheet2!$J$4:$K$15,2,0)</f>
        <v>5</v>
      </c>
      <c r="J256" s="5">
        <f>IFERROR(VLOOKUP(C256,Sheet2!$M$4:$N$12,2,0),0)</f>
        <v>1000</v>
      </c>
      <c r="K256" s="5" t="str">
        <f t="shared" si="3"/>
        <v>within budget</v>
      </c>
    </row>
    <row r="257" spans="1:11" x14ac:dyDescent="0.3">
      <c r="A257" s="6">
        <v>45401</v>
      </c>
      <c r="B257" s="5" t="s">
        <v>29</v>
      </c>
      <c r="C257" s="5" t="s">
        <v>41</v>
      </c>
      <c r="D257" s="5" t="s">
        <v>20</v>
      </c>
      <c r="E257" s="5" t="s">
        <v>17</v>
      </c>
      <c r="F257" s="5">
        <v>3092</v>
      </c>
      <c r="G257" s="5" t="str">
        <f>VLOOKUP(C257,Sheet2!$C$3:$D$12,2,0)</f>
        <v>Variable</v>
      </c>
      <c r="H257" s="5" t="str">
        <f>IFERROR(VLOOKUP(E257,Sheet2!$G$3:$H$8,2,0),"unkwon")</f>
        <v>online</v>
      </c>
      <c r="I257" s="5">
        <f>VLOOKUP(B257,Sheet2!$J$4:$K$15,2,0)</f>
        <v>4</v>
      </c>
      <c r="J257" s="5">
        <f>IFERROR(VLOOKUP(C257,Sheet2!$M$4:$N$12,2,0),0)</f>
        <v>7000</v>
      </c>
      <c r="K257" s="5" t="str">
        <f t="shared" si="3"/>
        <v>within budget</v>
      </c>
    </row>
    <row r="258" spans="1:11" x14ac:dyDescent="0.3">
      <c r="A258" s="6">
        <v>45477</v>
      </c>
      <c r="B258" s="5" t="s">
        <v>21</v>
      </c>
      <c r="C258" s="5" t="s">
        <v>30</v>
      </c>
      <c r="D258" s="5" t="s">
        <v>8</v>
      </c>
      <c r="E258" s="5" t="s">
        <v>32</v>
      </c>
      <c r="F258" s="5">
        <v>1716</v>
      </c>
      <c r="G258" s="5" t="str">
        <f>VLOOKUP(C258,Sheet2!$C$3:$D$12,2,0)</f>
        <v>Fixed</v>
      </c>
      <c r="H258" s="5" t="str">
        <f>IFERROR(VLOOKUP(E258,Sheet2!$G$3:$H$8,2,0),"unkwon")</f>
        <v>offline</v>
      </c>
      <c r="I258" s="5">
        <f>VLOOKUP(B258,Sheet2!$J$4:$K$15,2,0)</f>
        <v>7</v>
      </c>
      <c r="J258" s="5">
        <f>IFERROR(VLOOKUP(C258,Sheet2!$M$4:$N$12,2,0),0)</f>
        <v>3000</v>
      </c>
      <c r="K258" s="5" t="str">
        <f t="shared" si="3"/>
        <v>within budget</v>
      </c>
    </row>
    <row r="259" spans="1:11" x14ac:dyDescent="0.3">
      <c r="A259" s="6">
        <v>45208</v>
      </c>
      <c r="B259" s="5" t="s">
        <v>6</v>
      </c>
      <c r="C259" s="5" t="s">
        <v>35</v>
      </c>
      <c r="D259" s="5" t="s">
        <v>20</v>
      </c>
      <c r="E259" s="5" t="s">
        <v>17</v>
      </c>
      <c r="F259" s="5">
        <v>3562</v>
      </c>
      <c r="G259" s="5" t="str">
        <f>VLOOKUP(C259,Sheet2!$C$3:$D$12,2,0)</f>
        <v>Fixed</v>
      </c>
      <c r="H259" s="5" t="str">
        <f>IFERROR(VLOOKUP(E259,Sheet2!$G$3:$H$8,2,0),"unkwon")</f>
        <v>online</v>
      </c>
      <c r="I259" s="5">
        <f>VLOOKUP(B259,Sheet2!$J$4:$K$15,2,0)</f>
        <v>10</v>
      </c>
      <c r="J259" s="5">
        <f>IFERROR(VLOOKUP(C259,Sheet2!$M$4:$N$12,2,0),0)</f>
        <v>5500</v>
      </c>
      <c r="K259" s="5" t="str">
        <f t="shared" ref="K259:K322" si="4">IF(F259&gt;J259,"over budget","within budget")</f>
        <v>within budget</v>
      </c>
    </row>
    <row r="260" spans="1:11" x14ac:dyDescent="0.3">
      <c r="A260" s="6">
        <v>45534</v>
      </c>
      <c r="B260" s="5" t="s">
        <v>25</v>
      </c>
      <c r="C260" s="5" t="s">
        <v>22</v>
      </c>
      <c r="D260" s="5" t="s">
        <v>14</v>
      </c>
      <c r="E260" s="5" t="s">
        <v>15</v>
      </c>
      <c r="F260" s="5">
        <v>3117</v>
      </c>
      <c r="G260" s="5" t="str">
        <f>VLOOKUP(C260,Sheet2!$C$3:$D$12,2,0)</f>
        <v>Variable</v>
      </c>
      <c r="H260" s="5" t="str">
        <f>IFERROR(VLOOKUP(E260,Sheet2!$G$3:$H$8,2,0),"unkwon")</f>
        <v>online</v>
      </c>
      <c r="I260" s="5">
        <f>VLOOKUP(B260,Sheet2!$J$4:$K$15,2,0)</f>
        <v>8</v>
      </c>
      <c r="J260" s="5">
        <f>IFERROR(VLOOKUP(C260,Sheet2!$M$4:$N$12,2,0),0)</f>
        <v>1000</v>
      </c>
      <c r="K260" s="5" t="str">
        <f t="shared" si="4"/>
        <v>over budget</v>
      </c>
    </row>
    <row r="261" spans="1:11" x14ac:dyDescent="0.3">
      <c r="A261" s="6">
        <v>44973</v>
      </c>
      <c r="B261" s="5" t="s">
        <v>33</v>
      </c>
      <c r="C261" s="5" t="s">
        <v>35</v>
      </c>
      <c r="D261" s="5" t="s">
        <v>18</v>
      </c>
      <c r="E261" s="5" t="s">
        <v>17</v>
      </c>
      <c r="F261" s="5">
        <v>3527</v>
      </c>
      <c r="G261" s="5" t="str">
        <f>VLOOKUP(C261,Sheet2!$C$3:$D$12,2,0)</f>
        <v>Fixed</v>
      </c>
      <c r="H261" s="5" t="str">
        <f>IFERROR(VLOOKUP(E261,Sheet2!$G$3:$H$8,2,0),"unkwon")</f>
        <v>online</v>
      </c>
      <c r="I261" s="5">
        <f>VLOOKUP(B261,Sheet2!$J$4:$K$15,2,0)</f>
        <v>2</v>
      </c>
      <c r="J261" s="5">
        <f>IFERROR(VLOOKUP(C261,Sheet2!$M$4:$N$12,2,0),0)</f>
        <v>5500</v>
      </c>
      <c r="K261" s="5" t="str">
        <f t="shared" si="4"/>
        <v>within budget</v>
      </c>
    </row>
    <row r="262" spans="1:11" x14ac:dyDescent="0.3">
      <c r="A262" s="6">
        <v>45455</v>
      </c>
      <c r="B262" s="5" t="s">
        <v>39</v>
      </c>
      <c r="C262" s="5" t="s">
        <v>41</v>
      </c>
      <c r="D262" s="5" t="s">
        <v>14</v>
      </c>
      <c r="E262" s="5" t="s">
        <v>9</v>
      </c>
      <c r="F262" s="5">
        <v>2864</v>
      </c>
      <c r="G262" s="5" t="str">
        <f>VLOOKUP(C262,Sheet2!$C$3:$D$12,2,0)</f>
        <v>Variable</v>
      </c>
      <c r="H262" s="5" t="str">
        <f>IFERROR(VLOOKUP(E262,Sheet2!$G$3:$H$8,2,0),"unkwon")</f>
        <v>online</v>
      </c>
      <c r="I262" s="5">
        <f>VLOOKUP(B262,Sheet2!$J$4:$K$15,2,0)</f>
        <v>6</v>
      </c>
      <c r="J262" s="5">
        <f>IFERROR(VLOOKUP(C262,Sheet2!$M$4:$N$12,2,0),0)</f>
        <v>7000</v>
      </c>
      <c r="K262" s="5" t="str">
        <f t="shared" si="4"/>
        <v>within budget</v>
      </c>
    </row>
    <row r="263" spans="1:11" x14ac:dyDescent="0.3">
      <c r="A263" s="6">
        <v>45208</v>
      </c>
      <c r="B263" s="5" t="s">
        <v>6</v>
      </c>
      <c r="C263" s="5" t="s">
        <v>10</v>
      </c>
      <c r="D263" s="5" t="s">
        <v>26</v>
      </c>
      <c r="E263" s="5" t="s">
        <v>17</v>
      </c>
      <c r="F263" s="5">
        <v>4711</v>
      </c>
      <c r="G263" s="5" t="str">
        <f>VLOOKUP(C263,Sheet2!$C$3:$D$12,2,0)</f>
        <v>Variable</v>
      </c>
      <c r="H263" s="5" t="str">
        <f>IFERROR(VLOOKUP(E263,Sheet2!$G$3:$H$8,2,0),"unkwon")</f>
        <v>online</v>
      </c>
      <c r="I263" s="5">
        <f>VLOOKUP(B263,Sheet2!$J$4:$K$15,2,0)</f>
        <v>10</v>
      </c>
      <c r="J263" s="5">
        <f>IFERROR(VLOOKUP(C263,Sheet2!$M$4:$N$12,2,0),0)</f>
        <v>5000</v>
      </c>
      <c r="K263" s="5" t="str">
        <f t="shared" si="4"/>
        <v>within budget</v>
      </c>
    </row>
    <row r="264" spans="1:11" x14ac:dyDescent="0.3">
      <c r="A264" s="6">
        <v>44945</v>
      </c>
      <c r="B264" s="5" t="s">
        <v>37</v>
      </c>
      <c r="C264" s="5" t="s">
        <v>30</v>
      </c>
      <c r="D264" s="5" t="s">
        <v>31</v>
      </c>
      <c r="E264" s="5" t="s">
        <v>9</v>
      </c>
      <c r="F264" s="5">
        <v>2990</v>
      </c>
      <c r="G264" s="5" t="str">
        <f>VLOOKUP(C264,Sheet2!$C$3:$D$12,2,0)</f>
        <v>Fixed</v>
      </c>
      <c r="H264" s="5" t="str">
        <f>IFERROR(VLOOKUP(E264,Sheet2!$G$3:$H$8,2,0),"unkwon")</f>
        <v>online</v>
      </c>
      <c r="I264" s="5">
        <f>VLOOKUP(B264,Sheet2!$J$4:$K$15,2,0)</f>
        <v>1</v>
      </c>
      <c r="J264" s="5">
        <f>IFERROR(VLOOKUP(C264,Sheet2!$M$4:$N$12,2,0),0)</f>
        <v>3000</v>
      </c>
      <c r="K264" s="5" t="str">
        <f t="shared" si="4"/>
        <v>within budget</v>
      </c>
    </row>
    <row r="265" spans="1:11" x14ac:dyDescent="0.3">
      <c r="A265" s="6">
        <v>45429</v>
      </c>
      <c r="B265" s="5" t="s">
        <v>28</v>
      </c>
      <c r="C265" s="5" t="s">
        <v>30</v>
      </c>
      <c r="D265" s="5" t="s">
        <v>34</v>
      </c>
      <c r="E265" s="5" t="s">
        <v>12</v>
      </c>
      <c r="F265" s="5">
        <v>5000</v>
      </c>
      <c r="G265" s="5" t="str">
        <f>VLOOKUP(C265,Sheet2!$C$3:$D$12,2,0)</f>
        <v>Fixed</v>
      </c>
      <c r="H265" s="5" t="str">
        <f>IFERROR(VLOOKUP(E265,Sheet2!$G$3:$H$8,2,0),"unkwon")</f>
        <v>online</v>
      </c>
      <c r="I265" s="5">
        <f>VLOOKUP(B265,Sheet2!$J$4:$K$15,2,0)</f>
        <v>5</v>
      </c>
      <c r="J265" s="5">
        <f>IFERROR(VLOOKUP(C265,Sheet2!$M$4:$N$12,2,0),0)</f>
        <v>3000</v>
      </c>
      <c r="K265" s="5" t="str">
        <f t="shared" si="4"/>
        <v>over budget</v>
      </c>
    </row>
    <row r="266" spans="1:11" x14ac:dyDescent="0.3">
      <c r="A266" s="6">
        <v>45065</v>
      </c>
      <c r="B266" s="5" t="s">
        <v>28</v>
      </c>
      <c r="C266" s="5" t="s">
        <v>13</v>
      </c>
      <c r="D266" s="5" t="s">
        <v>23</v>
      </c>
      <c r="E266" s="5" t="s">
        <v>15</v>
      </c>
      <c r="F266" s="5">
        <v>4643</v>
      </c>
      <c r="G266" s="5" t="str">
        <f>VLOOKUP(C266,Sheet2!$C$3:$D$12,2,0)</f>
        <v>Variable</v>
      </c>
      <c r="H266" s="5" t="str">
        <f>IFERROR(VLOOKUP(E266,Sheet2!$G$3:$H$8,2,0),"unkwon")</f>
        <v>online</v>
      </c>
      <c r="I266" s="5">
        <f>VLOOKUP(B266,Sheet2!$J$4:$K$15,2,0)</f>
        <v>5</v>
      </c>
      <c r="J266" s="5">
        <f>IFERROR(VLOOKUP(C266,Sheet2!$M$4:$N$12,2,0),0)</f>
        <v>5000</v>
      </c>
      <c r="K266" s="5" t="str">
        <f t="shared" si="4"/>
        <v>within budget</v>
      </c>
    </row>
    <row r="267" spans="1:11" x14ac:dyDescent="0.3">
      <c r="A267" s="6">
        <v>45164</v>
      </c>
      <c r="B267" s="5" t="s">
        <v>25</v>
      </c>
      <c r="C267" s="5" t="s">
        <v>36</v>
      </c>
      <c r="D267" s="5" t="s">
        <v>8</v>
      </c>
      <c r="E267" s="5" t="s">
        <v>15</v>
      </c>
      <c r="F267" s="5">
        <v>963</v>
      </c>
      <c r="G267" s="5" t="str">
        <f>VLOOKUP(C267,Sheet2!$C$3:$D$12,2,0)</f>
        <v>Variable</v>
      </c>
      <c r="H267" s="5" t="str">
        <f>IFERROR(VLOOKUP(E267,Sheet2!$G$3:$H$8,2,0),"unkwon")</f>
        <v>online</v>
      </c>
      <c r="I267" s="5">
        <f>VLOOKUP(B267,Sheet2!$J$4:$K$15,2,0)</f>
        <v>8</v>
      </c>
      <c r="J267" s="5">
        <f>IFERROR(VLOOKUP(C267,Sheet2!$M$4:$N$12,2,0),0)</f>
        <v>10000</v>
      </c>
      <c r="K267" s="5" t="str">
        <f t="shared" si="4"/>
        <v>within budget</v>
      </c>
    </row>
    <row r="268" spans="1:11" x14ac:dyDescent="0.3">
      <c r="A268" s="6">
        <v>45404</v>
      </c>
      <c r="B268" s="5" t="s">
        <v>29</v>
      </c>
      <c r="C268" s="5" t="s">
        <v>13</v>
      </c>
      <c r="D268" s="5" t="s">
        <v>8</v>
      </c>
      <c r="E268" s="5" t="s">
        <v>12</v>
      </c>
      <c r="F268" s="5">
        <v>743</v>
      </c>
      <c r="G268" s="5" t="str">
        <f>VLOOKUP(C268,Sheet2!$C$3:$D$12,2,0)</f>
        <v>Variable</v>
      </c>
      <c r="H268" s="5" t="str">
        <f>IFERROR(VLOOKUP(E268,Sheet2!$G$3:$H$8,2,0),"unkwon")</f>
        <v>online</v>
      </c>
      <c r="I268" s="5">
        <f>VLOOKUP(B268,Sheet2!$J$4:$K$15,2,0)</f>
        <v>4</v>
      </c>
      <c r="J268" s="5">
        <f>IFERROR(VLOOKUP(C268,Sheet2!$M$4:$N$12,2,0),0)</f>
        <v>5000</v>
      </c>
      <c r="K268" s="5" t="str">
        <f t="shared" si="4"/>
        <v>within budget</v>
      </c>
    </row>
    <row r="269" spans="1:11" x14ac:dyDescent="0.3">
      <c r="A269" s="6">
        <v>45275</v>
      </c>
      <c r="B269" s="5" t="s">
        <v>16</v>
      </c>
      <c r="C269" s="5" t="s">
        <v>30</v>
      </c>
      <c r="D269" s="5" t="s">
        <v>8</v>
      </c>
      <c r="E269" s="5" t="s">
        <v>32</v>
      </c>
      <c r="F269" s="5">
        <v>330</v>
      </c>
      <c r="G269" s="5" t="str">
        <f>VLOOKUP(C269,Sheet2!$C$3:$D$12,2,0)</f>
        <v>Fixed</v>
      </c>
      <c r="H269" s="5" t="str">
        <f>IFERROR(VLOOKUP(E269,Sheet2!$G$3:$H$8,2,0),"unkwon")</f>
        <v>offline</v>
      </c>
      <c r="I269" s="5">
        <f>VLOOKUP(B269,Sheet2!$J$4:$K$15,2,0)</f>
        <v>12</v>
      </c>
      <c r="J269" s="5">
        <f>IFERROR(VLOOKUP(C269,Sheet2!$M$4:$N$12,2,0),0)</f>
        <v>3000</v>
      </c>
      <c r="K269" s="5" t="str">
        <f t="shared" si="4"/>
        <v>within budget</v>
      </c>
    </row>
    <row r="270" spans="1:11" x14ac:dyDescent="0.3">
      <c r="A270" s="6">
        <v>45519</v>
      </c>
      <c r="B270" s="5" t="s">
        <v>25</v>
      </c>
      <c r="C270" s="5" t="s">
        <v>10</v>
      </c>
      <c r="D270" s="5" t="s">
        <v>23</v>
      </c>
      <c r="E270" s="5" t="s">
        <v>15</v>
      </c>
      <c r="F270" s="5">
        <v>4380</v>
      </c>
      <c r="G270" s="5" t="str">
        <f>VLOOKUP(C270,Sheet2!$C$3:$D$12,2,0)</f>
        <v>Variable</v>
      </c>
      <c r="H270" s="5" t="str">
        <f>IFERROR(VLOOKUP(E270,Sheet2!$G$3:$H$8,2,0),"unkwon")</f>
        <v>online</v>
      </c>
      <c r="I270" s="5">
        <f>VLOOKUP(B270,Sheet2!$J$4:$K$15,2,0)</f>
        <v>8</v>
      </c>
      <c r="J270" s="5">
        <f>IFERROR(VLOOKUP(C270,Sheet2!$M$4:$N$12,2,0),0)</f>
        <v>5000</v>
      </c>
      <c r="K270" s="5" t="str">
        <f t="shared" si="4"/>
        <v>within budget</v>
      </c>
    </row>
    <row r="271" spans="1:11" x14ac:dyDescent="0.3">
      <c r="A271" s="6">
        <v>45490</v>
      </c>
      <c r="B271" s="5" t="s">
        <v>21</v>
      </c>
      <c r="C271" s="5" t="s">
        <v>35</v>
      </c>
      <c r="D271" s="5" t="s">
        <v>24</v>
      </c>
      <c r="E271" s="5" t="s">
        <v>12</v>
      </c>
      <c r="F271" s="5">
        <v>3774</v>
      </c>
      <c r="G271" s="5" t="str">
        <f>VLOOKUP(C271,Sheet2!$C$3:$D$12,2,0)</f>
        <v>Fixed</v>
      </c>
      <c r="H271" s="5" t="str">
        <f>IFERROR(VLOOKUP(E271,Sheet2!$G$3:$H$8,2,0),"unkwon")</f>
        <v>online</v>
      </c>
      <c r="I271" s="5">
        <f>VLOOKUP(B271,Sheet2!$J$4:$K$15,2,0)</f>
        <v>7</v>
      </c>
      <c r="J271" s="5">
        <f>IFERROR(VLOOKUP(C271,Sheet2!$M$4:$N$12,2,0),0)</f>
        <v>5500</v>
      </c>
      <c r="K271" s="5" t="str">
        <f t="shared" si="4"/>
        <v>within budget</v>
      </c>
    </row>
    <row r="272" spans="1:11" x14ac:dyDescent="0.3">
      <c r="A272" s="6">
        <v>44949</v>
      </c>
      <c r="B272" s="5" t="s">
        <v>37</v>
      </c>
      <c r="C272" s="5" t="s">
        <v>30</v>
      </c>
      <c r="D272" s="5" t="s">
        <v>24</v>
      </c>
      <c r="E272" s="5" t="s">
        <v>12</v>
      </c>
      <c r="F272" s="5">
        <v>4227</v>
      </c>
      <c r="G272" s="5" t="str">
        <f>VLOOKUP(C272,Sheet2!$C$3:$D$12,2,0)</f>
        <v>Fixed</v>
      </c>
      <c r="H272" s="5" t="str">
        <f>IFERROR(VLOOKUP(E272,Sheet2!$G$3:$H$8,2,0),"unkwon")</f>
        <v>online</v>
      </c>
      <c r="I272" s="5">
        <f>VLOOKUP(B272,Sheet2!$J$4:$K$15,2,0)</f>
        <v>1</v>
      </c>
      <c r="J272" s="5">
        <f>IFERROR(VLOOKUP(C272,Sheet2!$M$4:$N$12,2,0),0)</f>
        <v>3000</v>
      </c>
      <c r="K272" s="5" t="str">
        <f t="shared" si="4"/>
        <v>over budget</v>
      </c>
    </row>
    <row r="273" spans="1:11" x14ac:dyDescent="0.3">
      <c r="A273" s="6">
        <v>44997</v>
      </c>
      <c r="B273" s="5" t="s">
        <v>19</v>
      </c>
      <c r="C273" s="5" t="s">
        <v>7</v>
      </c>
      <c r="D273" s="5" t="s">
        <v>11</v>
      </c>
      <c r="E273" s="5" t="s">
        <v>9</v>
      </c>
      <c r="F273" s="5">
        <v>3896</v>
      </c>
      <c r="G273" s="5" t="str">
        <f>VLOOKUP(C273,Sheet2!$C$3:$D$12,2,0)</f>
        <v>Fixed</v>
      </c>
      <c r="H273" s="5" t="str">
        <f>IFERROR(VLOOKUP(E273,Sheet2!$G$3:$H$8,2,0),"unkwon")</f>
        <v>online</v>
      </c>
      <c r="I273" s="5">
        <f>VLOOKUP(B273,Sheet2!$J$4:$K$15,2,0)</f>
        <v>3</v>
      </c>
      <c r="J273" s="5">
        <f>IFERROR(VLOOKUP(C273,Sheet2!$M$4:$N$12,2,0),0)</f>
        <v>2000</v>
      </c>
      <c r="K273" s="5" t="str">
        <f t="shared" si="4"/>
        <v>over budget</v>
      </c>
    </row>
    <row r="274" spans="1:11" x14ac:dyDescent="0.3">
      <c r="A274" s="6">
        <v>45005</v>
      </c>
      <c r="B274" s="5" t="s">
        <v>19</v>
      </c>
      <c r="C274" s="5" t="s">
        <v>7</v>
      </c>
      <c r="D274" s="5" t="s">
        <v>20</v>
      </c>
      <c r="E274" s="5" t="s">
        <v>9</v>
      </c>
      <c r="F274" s="5">
        <v>999</v>
      </c>
      <c r="G274" s="5" t="str">
        <f>VLOOKUP(C274,Sheet2!$C$3:$D$12,2,0)</f>
        <v>Fixed</v>
      </c>
      <c r="H274" s="5" t="str">
        <f>IFERROR(VLOOKUP(E274,Sheet2!$G$3:$H$8,2,0),"unkwon")</f>
        <v>online</v>
      </c>
      <c r="I274" s="5">
        <f>VLOOKUP(B274,Sheet2!$J$4:$K$15,2,0)</f>
        <v>3</v>
      </c>
      <c r="J274" s="5">
        <f>IFERROR(VLOOKUP(C274,Sheet2!$M$4:$N$12,2,0),0)</f>
        <v>2000</v>
      </c>
      <c r="K274" s="5" t="str">
        <f t="shared" si="4"/>
        <v>within budget</v>
      </c>
    </row>
    <row r="275" spans="1:11" x14ac:dyDescent="0.3">
      <c r="A275" s="6">
        <v>44994</v>
      </c>
      <c r="B275" s="5" t="s">
        <v>19</v>
      </c>
      <c r="C275" s="5" t="s">
        <v>10</v>
      </c>
      <c r="D275" s="5" t="s">
        <v>31</v>
      </c>
      <c r="E275" s="5" t="s">
        <v>12</v>
      </c>
      <c r="F275" s="5">
        <v>942</v>
      </c>
      <c r="G275" s="5" t="str">
        <f>VLOOKUP(C275,Sheet2!$C$3:$D$12,2,0)</f>
        <v>Variable</v>
      </c>
      <c r="H275" s="5" t="str">
        <f>IFERROR(VLOOKUP(E275,Sheet2!$G$3:$H$8,2,0),"unkwon")</f>
        <v>online</v>
      </c>
      <c r="I275" s="5">
        <f>VLOOKUP(B275,Sheet2!$J$4:$K$15,2,0)</f>
        <v>3</v>
      </c>
      <c r="J275" s="5">
        <f>IFERROR(VLOOKUP(C275,Sheet2!$M$4:$N$12,2,0),0)</f>
        <v>5000</v>
      </c>
      <c r="K275" s="5" t="str">
        <f t="shared" si="4"/>
        <v>within budget</v>
      </c>
    </row>
    <row r="276" spans="1:11" x14ac:dyDescent="0.3">
      <c r="A276" s="6">
        <v>45628</v>
      </c>
      <c r="B276" s="5" t="s">
        <v>16</v>
      </c>
      <c r="C276" s="5" t="s">
        <v>22</v>
      </c>
      <c r="D276" s="5" t="s">
        <v>31</v>
      </c>
      <c r="E276" s="5" t="s">
        <v>32</v>
      </c>
      <c r="F276" s="5">
        <v>4354</v>
      </c>
      <c r="G276" s="5" t="str">
        <f>VLOOKUP(C276,Sheet2!$C$3:$D$12,2,0)</f>
        <v>Variable</v>
      </c>
      <c r="H276" s="5" t="str">
        <f>IFERROR(VLOOKUP(E276,Sheet2!$G$3:$H$8,2,0),"unkwon")</f>
        <v>offline</v>
      </c>
      <c r="I276" s="5">
        <f>VLOOKUP(B276,Sheet2!$J$4:$K$15,2,0)</f>
        <v>12</v>
      </c>
      <c r="J276" s="5">
        <f>IFERROR(VLOOKUP(C276,Sheet2!$M$4:$N$12,2,0),0)</f>
        <v>1000</v>
      </c>
      <c r="K276" s="5" t="str">
        <f t="shared" si="4"/>
        <v>over budget</v>
      </c>
    </row>
    <row r="277" spans="1:11" x14ac:dyDescent="0.3">
      <c r="A277" s="6">
        <v>45288</v>
      </c>
      <c r="B277" s="5" t="s">
        <v>16</v>
      </c>
      <c r="C277" s="5" t="s">
        <v>36</v>
      </c>
      <c r="D277" s="5" t="s">
        <v>34</v>
      </c>
      <c r="E277" s="5" t="s">
        <v>9</v>
      </c>
      <c r="F277" s="5">
        <v>3943</v>
      </c>
      <c r="G277" s="5" t="str">
        <f>VLOOKUP(C277,Sheet2!$C$3:$D$12,2,0)</f>
        <v>Variable</v>
      </c>
      <c r="H277" s="5" t="str">
        <f>IFERROR(VLOOKUP(E277,Sheet2!$G$3:$H$8,2,0),"unkwon")</f>
        <v>online</v>
      </c>
      <c r="I277" s="5">
        <f>VLOOKUP(B277,Sheet2!$J$4:$K$15,2,0)</f>
        <v>12</v>
      </c>
      <c r="J277" s="5">
        <f>IFERROR(VLOOKUP(C277,Sheet2!$M$4:$N$12,2,0),0)</f>
        <v>10000</v>
      </c>
      <c r="K277" s="5" t="str">
        <f t="shared" si="4"/>
        <v>within budget</v>
      </c>
    </row>
    <row r="278" spans="1:11" x14ac:dyDescent="0.3">
      <c r="A278" s="6">
        <v>45379</v>
      </c>
      <c r="B278" s="5" t="s">
        <v>19</v>
      </c>
      <c r="C278" s="5" t="s">
        <v>7</v>
      </c>
      <c r="D278" s="5" t="s">
        <v>26</v>
      </c>
      <c r="E278" s="5" t="s">
        <v>17</v>
      </c>
      <c r="F278" s="5">
        <v>899</v>
      </c>
      <c r="G278" s="5" t="str">
        <f>VLOOKUP(C278,Sheet2!$C$3:$D$12,2,0)</f>
        <v>Fixed</v>
      </c>
      <c r="H278" s="5" t="str">
        <f>IFERROR(VLOOKUP(E278,Sheet2!$G$3:$H$8,2,0),"unkwon")</f>
        <v>online</v>
      </c>
      <c r="I278" s="5">
        <f>VLOOKUP(B278,Sheet2!$J$4:$K$15,2,0)</f>
        <v>3</v>
      </c>
      <c r="J278" s="5">
        <f>IFERROR(VLOOKUP(C278,Sheet2!$M$4:$N$12,2,0),0)</f>
        <v>2000</v>
      </c>
      <c r="K278" s="5" t="str">
        <f t="shared" si="4"/>
        <v>within budget</v>
      </c>
    </row>
    <row r="279" spans="1:11" x14ac:dyDescent="0.3">
      <c r="A279" s="6">
        <v>45273</v>
      </c>
      <c r="B279" s="5" t="s">
        <v>16</v>
      </c>
      <c r="C279" s="5" t="s">
        <v>13</v>
      </c>
      <c r="D279" s="5" t="s">
        <v>23</v>
      </c>
      <c r="E279" s="5" t="s">
        <v>9</v>
      </c>
      <c r="F279" s="5">
        <v>3422</v>
      </c>
      <c r="G279" s="5" t="str">
        <f>VLOOKUP(C279,Sheet2!$C$3:$D$12,2,0)</f>
        <v>Variable</v>
      </c>
      <c r="H279" s="5" t="str">
        <f>IFERROR(VLOOKUP(E279,Sheet2!$G$3:$H$8,2,0),"unkwon")</f>
        <v>online</v>
      </c>
      <c r="I279" s="5">
        <f>VLOOKUP(B279,Sheet2!$J$4:$K$15,2,0)</f>
        <v>12</v>
      </c>
      <c r="J279" s="5">
        <f>IFERROR(VLOOKUP(C279,Sheet2!$M$4:$N$12,2,0),0)</f>
        <v>5000</v>
      </c>
      <c r="K279" s="5" t="str">
        <f t="shared" si="4"/>
        <v>within budget</v>
      </c>
    </row>
    <row r="280" spans="1:11" x14ac:dyDescent="0.3">
      <c r="A280" s="6">
        <v>45009</v>
      </c>
      <c r="B280" s="5" t="s">
        <v>19</v>
      </c>
      <c r="C280" s="5" t="s">
        <v>35</v>
      </c>
      <c r="D280" s="5" t="s">
        <v>8</v>
      </c>
      <c r="E280" s="5" t="s">
        <v>32</v>
      </c>
      <c r="F280" s="5">
        <v>4836</v>
      </c>
      <c r="G280" s="5" t="str">
        <f>VLOOKUP(C280,Sheet2!$C$3:$D$12,2,0)</f>
        <v>Fixed</v>
      </c>
      <c r="H280" s="5" t="str">
        <f>IFERROR(VLOOKUP(E280,Sheet2!$G$3:$H$8,2,0),"unkwon")</f>
        <v>offline</v>
      </c>
      <c r="I280" s="5">
        <f>VLOOKUP(B280,Sheet2!$J$4:$K$15,2,0)</f>
        <v>3</v>
      </c>
      <c r="J280" s="5">
        <f>IFERROR(VLOOKUP(C280,Sheet2!$M$4:$N$12,2,0),0)</f>
        <v>5500</v>
      </c>
      <c r="K280" s="5" t="str">
        <f t="shared" si="4"/>
        <v>within budget</v>
      </c>
    </row>
    <row r="281" spans="1:11" x14ac:dyDescent="0.3">
      <c r="A281" s="6">
        <v>45633</v>
      </c>
      <c r="B281" s="5" t="s">
        <v>16</v>
      </c>
      <c r="C281" s="5" t="s">
        <v>10</v>
      </c>
      <c r="D281" s="5" t="s">
        <v>11</v>
      </c>
      <c r="E281" s="5" t="s">
        <v>15</v>
      </c>
      <c r="F281" s="5">
        <v>1129</v>
      </c>
      <c r="G281" s="5" t="str">
        <f>VLOOKUP(C281,Sheet2!$C$3:$D$12,2,0)</f>
        <v>Variable</v>
      </c>
      <c r="H281" s="5" t="str">
        <f>IFERROR(VLOOKUP(E281,Sheet2!$G$3:$H$8,2,0),"unkwon")</f>
        <v>online</v>
      </c>
      <c r="I281" s="5">
        <f>VLOOKUP(B281,Sheet2!$J$4:$K$15,2,0)</f>
        <v>12</v>
      </c>
      <c r="J281" s="5">
        <f>IFERROR(VLOOKUP(C281,Sheet2!$M$4:$N$12,2,0),0)</f>
        <v>5000</v>
      </c>
      <c r="K281" s="5" t="str">
        <f t="shared" si="4"/>
        <v>within budget</v>
      </c>
    </row>
    <row r="282" spans="1:11" x14ac:dyDescent="0.3">
      <c r="A282" s="6">
        <v>45481</v>
      </c>
      <c r="B282" s="5" t="s">
        <v>21</v>
      </c>
      <c r="C282" s="5" t="s">
        <v>27</v>
      </c>
      <c r="D282" s="5" t="s">
        <v>31</v>
      </c>
      <c r="E282" s="5" t="s">
        <v>15</v>
      </c>
      <c r="F282" s="5">
        <v>4691</v>
      </c>
      <c r="G282" s="5" t="str">
        <f>VLOOKUP(C282,Sheet2!$C$3:$D$12,2,0)</f>
        <v>Variable</v>
      </c>
      <c r="H282" s="5" t="str">
        <f>IFERROR(VLOOKUP(E282,Sheet2!$G$3:$H$8,2,0),"unkwon")</f>
        <v>online</v>
      </c>
      <c r="I282" s="5">
        <f>VLOOKUP(B282,Sheet2!$J$4:$K$15,2,0)</f>
        <v>7</v>
      </c>
      <c r="J282" s="5">
        <f>IFERROR(VLOOKUP(C282,Sheet2!$M$4:$N$12,2,0),0)</f>
        <v>4000</v>
      </c>
      <c r="K282" s="5" t="str">
        <f t="shared" si="4"/>
        <v>over budget</v>
      </c>
    </row>
    <row r="283" spans="1:11" x14ac:dyDescent="0.3">
      <c r="A283" s="6">
        <v>44931</v>
      </c>
      <c r="B283" s="5" t="s">
        <v>37</v>
      </c>
      <c r="C283" s="5" t="s">
        <v>35</v>
      </c>
      <c r="D283" s="5" t="s">
        <v>31</v>
      </c>
      <c r="E283" s="5" t="s">
        <v>12</v>
      </c>
      <c r="F283" s="5">
        <v>4803</v>
      </c>
      <c r="G283" s="5" t="str">
        <f>VLOOKUP(C283,Sheet2!$C$3:$D$12,2,0)</f>
        <v>Fixed</v>
      </c>
      <c r="H283" s="5" t="str">
        <f>IFERROR(VLOOKUP(E283,Sheet2!$G$3:$H$8,2,0),"unkwon")</f>
        <v>online</v>
      </c>
      <c r="I283" s="5">
        <f>VLOOKUP(B283,Sheet2!$J$4:$K$15,2,0)</f>
        <v>1</v>
      </c>
      <c r="J283" s="5">
        <f>IFERROR(VLOOKUP(C283,Sheet2!$M$4:$N$12,2,0),0)</f>
        <v>5500</v>
      </c>
      <c r="K283" s="5" t="str">
        <f t="shared" si="4"/>
        <v>within budget</v>
      </c>
    </row>
    <row r="284" spans="1:11" x14ac:dyDescent="0.3">
      <c r="A284" s="6">
        <v>45551</v>
      </c>
      <c r="B284" s="5" t="s">
        <v>38</v>
      </c>
      <c r="C284" s="5" t="s">
        <v>13</v>
      </c>
      <c r="D284" s="5" t="s">
        <v>31</v>
      </c>
      <c r="E284" s="5" t="s">
        <v>12</v>
      </c>
      <c r="F284" s="5">
        <v>4610</v>
      </c>
      <c r="G284" s="5" t="str">
        <f>VLOOKUP(C284,Sheet2!$C$3:$D$12,2,0)</f>
        <v>Variable</v>
      </c>
      <c r="H284" s="5" t="str">
        <f>IFERROR(VLOOKUP(E284,Sheet2!$G$3:$H$8,2,0),"unkwon")</f>
        <v>online</v>
      </c>
      <c r="I284" s="5">
        <f>VLOOKUP(B284,Sheet2!$J$4:$K$15,2,0)</f>
        <v>9</v>
      </c>
      <c r="J284" s="5">
        <f>IFERROR(VLOOKUP(C284,Sheet2!$M$4:$N$12,2,0),0)</f>
        <v>5000</v>
      </c>
      <c r="K284" s="5" t="str">
        <f t="shared" si="4"/>
        <v>within budget</v>
      </c>
    </row>
    <row r="285" spans="1:11" x14ac:dyDescent="0.3">
      <c r="A285" s="6">
        <v>45256</v>
      </c>
      <c r="B285" s="5" t="s">
        <v>40</v>
      </c>
      <c r="C285" s="5" t="s">
        <v>27</v>
      </c>
      <c r="D285" s="5" t="s">
        <v>26</v>
      </c>
      <c r="E285" s="5" t="s">
        <v>17</v>
      </c>
      <c r="F285" s="5">
        <v>4739</v>
      </c>
      <c r="G285" s="5" t="str">
        <f>VLOOKUP(C285,Sheet2!$C$3:$D$12,2,0)</f>
        <v>Variable</v>
      </c>
      <c r="H285" s="5" t="str">
        <f>IFERROR(VLOOKUP(E285,Sheet2!$G$3:$H$8,2,0),"unkwon")</f>
        <v>online</v>
      </c>
      <c r="I285" s="5">
        <f>VLOOKUP(B285,Sheet2!$J$4:$K$15,2,0)</f>
        <v>11</v>
      </c>
      <c r="J285" s="5">
        <f>IFERROR(VLOOKUP(C285,Sheet2!$M$4:$N$12,2,0),0)</f>
        <v>4000</v>
      </c>
      <c r="K285" s="5" t="str">
        <f t="shared" si="4"/>
        <v>over budget</v>
      </c>
    </row>
    <row r="286" spans="1:11" x14ac:dyDescent="0.3">
      <c r="A286" s="6">
        <v>45168</v>
      </c>
      <c r="B286" s="5" t="s">
        <v>25</v>
      </c>
      <c r="C286" s="5" t="s">
        <v>36</v>
      </c>
      <c r="D286" s="5" t="s">
        <v>18</v>
      </c>
      <c r="E286" s="5" t="s">
        <v>12</v>
      </c>
      <c r="F286" s="5">
        <v>2874</v>
      </c>
      <c r="G286" s="5" t="str">
        <f>VLOOKUP(C286,Sheet2!$C$3:$D$12,2,0)</f>
        <v>Variable</v>
      </c>
      <c r="H286" s="5" t="str">
        <f>IFERROR(VLOOKUP(E286,Sheet2!$G$3:$H$8,2,0),"unkwon")</f>
        <v>online</v>
      </c>
      <c r="I286" s="5">
        <f>VLOOKUP(B286,Sheet2!$J$4:$K$15,2,0)</f>
        <v>8</v>
      </c>
      <c r="J286" s="5">
        <f>IFERROR(VLOOKUP(C286,Sheet2!$M$4:$N$12,2,0),0)</f>
        <v>10000</v>
      </c>
      <c r="K286" s="5" t="str">
        <f t="shared" si="4"/>
        <v>within budget</v>
      </c>
    </row>
    <row r="287" spans="1:11" x14ac:dyDescent="0.3">
      <c r="A287" s="6">
        <v>45157</v>
      </c>
      <c r="B287" s="5" t="s">
        <v>25</v>
      </c>
      <c r="C287" s="5" t="s">
        <v>7</v>
      </c>
      <c r="D287" s="5" t="s">
        <v>23</v>
      </c>
      <c r="E287" s="5" t="s">
        <v>17</v>
      </c>
      <c r="F287" s="5">
        <v>2211</v>
      </c>
      <c r="G287" s="5" t="str">
        <f>VLOOKUP(C287,Sheet2!$C$3:$D$12,2,0)</f>
        <v>Fixed</v>
      </c>
      <c r="H287" s="5" t="str">
        <f>IFERROR(VLOOKUP(E287,Sheet2!$G$3:$H$8,2,0),"unkwon")</f>
        <v>online</v>
      </c>
      <c r="I287" s="5">
        <f>VLOOKUP(B287,Sheet2!$J$4:$K$15,2,0)</f>
        <v>8</v>
      </c>
      <c r="J287" s="5">
        <f>IFERROR(VLOOKUP(C287,Sheet2!$M$4:$N$12,2,0),0)</f>
        <v>2000</v>
      </c>
      <c r="K287" s="5" t="str">
        <f t="shared" si="4"/>
        <v>over budget</v>
      </c>
    </row>
    <row r="288" spans="1:11" x14ac:dyDescent="0.3">
      <c r="A288" s="6">
        <v>45631</v>
      </c>
      <c r="B288" s="5" t="s">
        <v>16</v>
      </c>
      <c r="C288" s="5" t="s">
        <v>27</v>
      </c>
      <c r="D288" s="5" t="s">
        <v>14</v>
      </c>
      <c r="E288" s="5" t="s">
        <v>15</v>
      </c>
      <c r="F288" s="5">
        <v>2126</v>
      </c>
      <c r="G288" s="5" t="str">
        <f>VLOOKUP(C288,Sheet2!$C$3:$D$12,2,0)</f>
        <v>Variable</v>
      </c>
      <c r="H288" s="5" t="str">
        <f>IFERROR(VLOOKUP(E288,Sheet2!$G$3:$H$8,2,0),"unkwon")</f>
        <v>online</v>
      </c>
      <c r="I288" s="5">
        <f>VLOOKUP(B288,Sheet2!$J$4:$K$15,2,0)</f>
        <v>12</v>
      </c>
      <c r="J288" s="5">
        <f>IFERROR(VLOOKUP(C288,Sheet2!$M$4:$N$12,2,0),0)</f>
        <v>4000</v>
      </c>
      <c r="K288" s="5" t="str">
        <f t="shared" si="4"/>
        <v>within budget</v>
      </c>
    </row>
    <row r="289" spans="1:11" x14ac:dyDescent="0.3">
      <c r="A289" s="6">
        <v>45109</v>
      </c>
      <c r="B289" s="5" t="s">
        <v>21</v>
      </c>
      <c r="C289" s="5" t="s">
        <v>22</v>
      </c>
      <c r="D289" s="5" t="s">
        <v>20</v>
      </c>
      <c r="E289" s="5" t="s">
        <v>32</v>
      </c>
      <c r="F289" s="5">
        <v>1926</v>
      </c>
      <c r="G289" s="5" t="str">
        <f>VLOOKUP(C289,Sheet2!$C$3:$D$12,2,0)</f>
        <v>Variable</v>
      </c>
      <c r="H289" s="5" t="str">
        <f>IFERROR(VLOOKUP(E289,Sheet2!$G$3:$H$8,2,0),"unkwon")</f>
        <v>offline</v>
      </c>
      <c r="I289" s="5">
        <f>VLOOKUP(B289,Sheet2!$J$4:$K$15,2,0)</f>
        <v>7</v>
      </c>
      <c r="J289" s="5">
        <f>IFERROR(VLOOKUP(C289,Sheet2!$M$4:$N$12,2,0),0)</f>
        <v>1000</v>
      </c>
      <c r="K289" s="5" t="str">
        <f t="shared" si="4"/>
        <v>over budget</v>
      </c>
    </row>
    <row r="290" spans="1:11" x14ac:dyDescent="0.3">
      <c r="A290" s="6">
        <v>45627</v>
      </c>
      <c r="B290" s="5" t="s">
        <v>16</v>
      </c>
      <c r="C290" s="5" t="s">
        <v>13</v>
      </c>
      <c r="D290" s="5" t="s">
        <v>8</v>
      </c>
      <c r="E290" s="5" t="s">
        <v>32</v>
      </c>
      <c r="F290" s="5">
        <v>3178</v>
      </c>
      <c r="G290" s="5" t="str">
        <f>VLOOKUP(C290,Sheet2!$C$3:$D$12,2,0)</f>
        <v>Variable</v>
      </c>
      <c r="H290" s="5" t="str">
        <f>IFERROR(VLOOKUP(E290,Sheet2!$G$3:$H$8,2,0),"unkwon")</f>
        <v>offline</v>
      </c>
      <c r="I290" s="5">
        <f>VLOOKUP(B290,Sheet2!$J$4:$K$15,2,0)</f>
        <v>12</v>
      </c>
      <c r="J290" s="5">
        <f>IFERROR(VLOOKUP(C290,Sheet2!$M$4:$N$12,2,0),0)</f>
        <v>5000</v>
      </c>
      <c r="K290" s="5" t="str">
        <f t="shared" si="4"/>
        <v>within budget</v>
      </c>
    </row>
    <row r="291" spans="1:11" x14ac:dyDescent="0.3">
      <c r="A291" s="6">
        <v>45108</v>
      </c>
      <c r="B291" s="5" t="s">
        <v>21</v>
      </c>
      <c r="C291" s="5" t="s">
        <v>22</v>
      </c>
      <c r="D291" s="5" t="s">
        <v>34</v>
      </c>
      <c r="E291" s="5" t="s">
        <v>9</v>
      </c>
      <c r="F291" s="5">
        <v>1009</v>
      </c>
      <c r="G291" s="5" t="str">
        <f>VLOOKUP(C291,Sheet2!$C$3:$D$12,2,0)</f>
        <v>Variable</v>
      </c>
      <c r="H291" s="5" t="str">
        <f>IFERROR(VLOOKUP(E291,Sheet2!$G$3:$H$8,2,0),"unkwon")</f>
        <v>online</v>
      </c>
      <c r="I291" s="5">
        <f>VLOOKUP(B291,Sheet2!$J$4:$K$15,2,0)</f>
        <v>7</v>
      </c>
      <c r="J291" s="5">
        <f>IFERROR(VLOOKUP(C291,Sheet2!$M$4:$N$12,2,0),0)</f>
        <v>1000</v>
      </c>
      <c r="K291" s="5" t="str">
        <f t="shared" si="4"/>
        <v>over budget</v>
      </c>
    </row>
    <row r="292" spans="1:11" x14ac:dyDescent="0.3">
      <c r="A292" s="6">
        <v>44948</v>
      </c>
      <c r="B292" s="5" t="s">
        <v>37</v>
      </c>
      <c r="C292" s="5" t="s">
        <v>35</v>
      </c>
      <c r="D292" s="5" t="s">
        <v>14</v>
      </c>
      <c r="E292" s="5" t="s">
        <v>32</v>
      </c>
      <c r="F292" s="5">
        <v>4772</v>
      </c>
      <c r="G292" s="5" t="str">
        <f>VLOOKUP(C292,Sheet2!$C$3:$D$12,2,0)</f>
        <v>Fixed</v>
      </c>
      <c r="H292" s="5" t="str">
        <f>IFERROR(VLOOKUP(E292,Sheet2!$G$3:$H$8,2,0),"unkwon")</f>
        <v>offline</v>
      </c>
      <c r="I292" s="5">
        <f>VLOOKUP(B292,Sheet2!$J$4:$K$15,2,0)</f>
        <v>1</v>
      </c>
      <c r="J292" s="5">
        <f>IFERROR(VLOOKUP(C292,Sheet2!$M$4:$N$12,2,0),0)</f>
        <v>5500</v>
      </c>
      <c r="K292" s="5" t="str">
        <f t="shared" si="4"/>
        <v>within budget</v>
      </c>
    </row>
    <row r="293" spans="1:11" x14ac:dyDescent="0.3">
      <c r="A293" s="6">
        <v>45636</v>
      </c>
      <c r="B293" s="5" t="s">
        <v>16</v>
      </c>
      <c r="C293" s="5" t="s">
        <v>41</v>
      </c>
      <c r="D293" s="5" t="s">
        <v>14</v>
      </c>
      <c r="E293" s="5" t="s">
        <v>12</v>
      </c>
      <c r="F293" s="5">
        <v>3258</v>
      </c>
      <c r="G293" s="5" t="str">
        <f>VLOOKUP(C293,Sheet2!$C$3:$D$12,2,0)</f>
        <v>Variable</v>
      </c>
      <c r="H293" s="5" t="str">
        <f>IFERROR(VLOOKUP(E293,Sheet2!$G$3:$H$8,2,0),"unkwon")</f>
        <v>online</v>
      </c>
      <c r="I293" s="5">
        <f>VLOOKUP(B293,Sheet2!$J$4:$K$15,2,0)</f>
        <v>12</v>
      </c>
      <c r="J293" s="5">
        <f>IFERROR(VLOOKUP(C293,Sheet2!$M$4:$N$12,2,0),0)</f>
        <v>7000</v>
      </c>
      <c r="K293" s="5" t="str">
        <f t="shared" si="4"/>
        <v>within budget</v>
      </c>
    </row>
    <row r="294" spans="1:11" x14ac:dyDescent="0.3">
      <c r="A294" s="6">
        <v>45163</v>
      </c>
      <c r="B294" s="5" t="s">
        <v>25</v>
      </c>
      <c r="C294" s="5" t="s">
        <v>36</v>
      </c>
      <c r="D294" s="5" t="s">
        <v>14</v>
      </c>
      <c r="E294" s="5" t="s">
        <v>32</v>
      </c>
      <c r="F294" s="5">
        <v>3791</v>
      </c>
      <c r="G294" s="5" t="str">
        <f>VLOOKUP(C294,Sheet2!$C$3:$D$12,2,0)</f>
        <v>Variable</v>
      </c>
      <c r="H294" s="5" t="str">
        <f>IFERROR(VLOOKUP(E294,Sheet2!$G$3:$H$8,2,0),"unkwon")</f>
        <v>offline</v>
      </c>
      <c r="I294" s="5">
        <f>VLOOKUP(B294,Sheet2!$J$4:$K$15,2,0)</f>
        <v>8</v>
      </c>
      <c r="J294" s="5">
        <f>IFERROR(VLOOKUP(C294,Sheet2!$M$4:$N$12,2,0),0)</f>
        <v>10000</v>
      </c>
      <c r="K294" s="5" t="str">
        <f t="shared" si="4"/>
        <v>within budget</v>
      </c>
    </row>
    <row r="295" spans="1:11" x14ac:dyDescent="0.3">
      <c r="A295" s="6">
        <v>45375</v>
      </c>
      <c r="B295" s="5" t="s">
        <v>19</v>
      </c>
      <c r="C295" s="5" t="s">
        <v>22</v>
      </c>
      <c r="D295" s="5" t="s">
        <v>26</v>
      </c>
      <c r="E295" s="5" t="s">
        <v>17</v>
      </c>
      <c r="F295" s="5">
        <v>1738</v>
      </c>
      <c r="G295" s="5" t="str">
        <f>VLOOKUP(C295,Sheet2!$C$3:$D$12,2,0)</f>
        <v>Variable</v>
      </c>
      <c r="H295" s="5" t="str">
        <f>IFERROR(VLOOKUP(E295,Sheet2!$G$3:$H$8,2,0),"unkwon")</f>
        <v>online</v>
      </c>
      <c r="I295" s="5">
        <f>VLOOKUP(B295,Sheet2!$J$4:$K$15,2,0)</f>
        <v>3</v>
      </c>
      <c r="J295" s="5">
        <f>IFERROR(VLOOKUP(C295,Sheet2!$M$4:$N$12,2,0),0)</f>
        <v>1000</v>
      </c>
      <c r="K295" s="5" t="str">
        <f t="shared" si="4"/>
        <v>over budget</v>
      </c>
    </row>
    <row r="296" spans="1:11" x14ac:dyDescent="0.3">
      <c r="A296" s="6">
        <v>45269</v>
      </c>
      <c r="B296" s="5" t="s">
        <v>16</v>
      </c>
      <c r="C296" s="5" t="s">
        <v>22</v>
      </c>
      <c r="D296" s="5" t="s">
        <v>34</v>
      </c>
      <c r="E296" s="5" t="s">
        <v>15</v>
      </c>
      <c r="F296" s="5">
        <v>4563</v>
      </c>
      <c r="G296" s="5" t="str">
        <f>VLOOKUP(C296,Sheet2!$C$3:$D$12,2,0)</f>
        <v>Variable</v>
      </c>
      <c r="H296" s="5" t="str">
        <f>IFERROR(VLOOKUP(E296,Sheet2!$G$3:$H$8,2,0),"unkwon")</f>
        <v>online</v>
      </c>
      <c r="I296" s="5">
        <f>VLOOKUP(B296,Sheet2!$J$4:$K$15,2,0)</f>
        <v>12</v>
      </c>
      <c r="J296" s="5">
        <f>IFERROR(VLOOKUP(C296,Sheet2!$M$4:$N$12,2,0),0)</f>
        <v>1000</v>
      </c>
      <c r="K296" s="5" t="str">
        <f t="shared" si="4"/>
        <v>over budget</v>
      </c>
    </row>
    <row r="297" spans="1:11" x14ac:dyDescent="0.3">
      <c r="A297" s="6">
        <v>45630</v>
      </c>
      <c r="B297" s="5" t="s">
        <v>16</v>
      </c>
      <c r="C297" s="5" t="s">
        <v>41</v>
      </c>
      <c r="D297" s="5" t="s">
        <v>34</v>
      </c>
      <c r="E297" s="5" t="s">
        <v>12</v>
      </c>
      <c r="F297" s="5">
        <v>2723</v>
      </c>
      <c r="G297" s="5" t="str">
        <f>VLOOKUP(C297,Sheet2!$C$3:$D$12,2,0)</f>
        <v>Variable</v>
      </c>
      <c r="H297" s="5" t="str">
        <f>IFERROR(VLOOKUP(E297,Sheet2!$G$3:$H$8,2,0),"unkwon")</f>
        <v>online</v>
      </c>
      <c r="I297" s="5">
        <f>VLOOKUP(B297,Sheet2!$J$4:$K$15,2,0)</f>
        <v>12</v>
      </c>
      <c r="J297" s="5">
        <f>IFERROR(VLOOKUP(C297,Sheet2!$M$4:$N$12,2,0),0)</f>
        <v>7000</v>
      </c>
      <c r="K297" s="5" t="str">
        <f t="shared" si="4"/>
        <v>within budget</v>
      </c>
    </row>
    <row r="298" spans="1:11" x14ac:dyDescent="0.3">
      <c r="A298" s="6">
        <v>45602</v>
      </c>
      <c r="B298" s="5" t="s">
        <v>40</v>
      </c>
      <c r="C298" s="5" t="s">
        <v>30</v>
      </c>
      <c r="D298" s="5" t="s">
        <v>31</v>
      </c>
      <c r="E298" s="5" t="s">
        <v>15</v>
      </c>
      <c r="F298" s="5">
        <v>1496</v>
      </c>
      <c r="G298" s="5" t="str">
        <f>VLOOKUP(C298,Sheet2!$C$3:$D$12,2,0)</f>
        <v>Fixed</v>
      </c>
      <c r="H298" s="5" t="str">
        <f>IFERROR(VLOOKUP(E298,Sheet2!$G$3:$H$8,2,0),"unkwon")</f>
        <v>online</v>
      </c>
      <c r="I298" s="5">
        <f>VLOOKUP(B298,Sheet2!$J$4:$K$15,2,0)</f>
        <v>11</v>
      </c>
      <c r="J298" s="5">
        <f>IFERROR(VLOOKUP(C298,Sheet2!$M$4:$N$12,2,0),0)</f>
        <v>3000</v>
      </c>
      <c r="K298" s="5" t="str">
        <f t="shared" si="4"/>
        <v>within budget</v>
      </c>
    </row>
    <row r="299" spans="1:11" x14ac:dyDescent="0.3">
      <c r="A299" s="6">
        <v>45079</v>
      </c>
      <c r="B299" s="5" t="s">
        <v>39</v>
      </c>
      <c r="C299" s="5" t="s">
        <v>35</v>
      </c>
      <c r="D299" s="5" t="s">
        <v>20</v>
      </c>
      <c r="E299" s="5" t="s">
        <v>12</v>
      </c>
      <c r="F299" s="5">
        <v>2333</v>
      </c>
      <c r="G299" s="5" t="str">
        <f>VLOOKUP(C299,Sheet2!$C$3:$D$12,2,0)</f>
        <v>Fixed</v>
      </c>
      <c r="H299" s="5" t="str">
        <f>IFERROR(VLOOKUP(E299,Sheet2!$G$3:$H$8,2,0),"unkwon")</f>
        <v>online</v>
      </c>
      <c r="I299" s="5">
        <f>VLOOKUP(B299,Sheet2!$J$4:$K$15,2,0)</f>
        <v>6</v>
      </c>
      <c r="J299" s="5">
        <f>IFERROR(VLOOKUP(C299,Sheet2!$M$4:$N$12,2,0),0)</f>
        <v>5500</v>
      </c>
      <c r="K299" s="5" t="str">
        <f t="shared" si="4"/>
        <v>within budget</v>
      </c>
    </row>
    <row r="300" spans="1:11" x14ac:dyDescent="0.3">
      <c r="A300" s="6">
        <v>45188</v>
      </c>
      <c r="B300" s="5" t="s">
        <v>38</v>
      </c>
      <c r="C300" s="5" t="s">
        <v>27</v>
      </c>
      <c r="D300" s="5" t="s">
        <v>11</v>
      </c>
      <c r="E300" s="5" t="s">
        <v>9</v>
      </c>
      <c r="F300" s="5">
        <v>238</v>
      </c>
      <c r="G300" s="5" t="str">
        <f>VLOOKUP(C300,Sheet2!$C$3:$D$12,2,0)</f>
        <v>Variable</v>
      </c>
      <c r="H300" s="5" t="str">
        <f>IFERROR(VLOOKUP(E300,Sheet2!$G$3:$H$8,2,0),"unkwon")</f>
        <v>online</v>
      </c>
      <c r="I300" s="5">
        <f>VLOOKUP(B300,Sheet2!$J$4:$K$15,2,0)</f>
        <v>9</v>
      </c>
      <c r="J300" s="5">
        <f>IFERROR(VLOOKUP(C300,Sheet2!$M$4:$N$12,2,0),0)</f>
        <v>4000</v>
      </c>
      <c r="K300" s="5" t="str">
        <f t="shared" si="4"/>
        <v>within budget</v>
      </c>
    </row>
    <row r="301" spans="1:11" x14ac:dyDescent="0.3">
      <c r="A301" s="6">
        <v>45062</v>
      </c>
      <c r="B301" s="5" t="s">
        <v>28</v>
      </c>
      <c r="C301" s="5" t="s">
        <v>36</v>
      </c>
      <c r="D301" s="5" t="s">
        <v>24</v>
      </c>
      <c r="E301" s="5" t="s">
        <v>12</v>
      </c>
      <c r="F301" s="5">
        <v>2853</v>
      </c>
      <c r="G301" s="5" t="str">
        <f>VLOOKUP(C301,Sheet2!$C$3:$D$12,2,0)</f>
        <v>Variable</v>
      </c>
      <c r="H301" s="5" t="str">
        <f>IFERROR(VLOOKUP(E301,Sheet2!$G$3:$H$8,2,0),"unkwon")</f>
        <v>online</v>
      </c>
      <c r="I301" s="5">
        <f>VLOOKUP(B301,Sheet2!$J$4:$K$15,2,0)</f>
        <v>5</v>
      </c>
      <c r="J301" s="5">
        <f>IFERROR(VLOOKUP(C301,Sheet2!$M$4:$N$12,2,0),0)</f>
        <v>10000</v>
      </c>
      <c r="K301" s="5" t="str">
        <f t="shared" si="4"/>
        <v>within budget</v>
      </c>
    </row>
    <row r="302" spans="1:11" x14ac:dyDescent="0.3">
      <c r="A302" s="6">
        <v>45269</v>
      </c>
      <c r="B302" s="5" t="s">
        <v>16</v>
      </c>
      <c r="C302" s="5" t="s">
        <v>13</v>
      </c>
      <c r="D302" s="5" t="s">
        <v>18</v>
      </c>
      <c r="E302" s="5" t="s">
        <v>9</v>
      </c>
      <c r="F302" s="5">
        <v>2753</v>
      </c>
      <c r="G302" s="5" t="str">
        <f>VLOOKUP(C302,Sheet2!$C$3:$D$12,2,0)</f>
        <v>Variable</v>
      </c>
      <c r="H302" s="5" t="str">
        <f>IFERROR(VLOOKUP(E302,Sheet2!$G$3:$H$8,2,0),"unkwon")</f>
        <v>online</v>
      </c>
      <c r="I302" s="5">
        <f>VLOOKUP(B302,Sheet2!$J$4:$K$15,2,0)</f>
        <v>12</v>
      </c>
      <c r="J302" s="5">
        <f>IFERROR(VLOOKUP(C302,Sheet2!$M$4:$N$12,2,0),0)</f>
        <v>5000</v>
      </c>
      <c r="K302" s="5" t="str">
        <f t="shared" si="4"/>
        <v>within budget</v>
      </c>
    </row>
    <row r="303" spans="1:11" x14ac:dyDescent="0.3">
      <c r="A303" s="6">
        <v>45261</v>
      </c>
      <c r="B303" s="5" t="s">
        <v>16</v>
      </c>
      <c r="C303" s="5" t="s">
        <v>22</v>
      </c>
      <c r="D303" s="5" t="s">
        <v>26</v>
      </c>
      <c r="E303" s="5" t="s">
        <v>9</v>
      </c>
      <c r="F303" s="5">
        <v>4621</v>
      </c>
      <c r="G303" s="5" t="str">
        <f>VLOOKUP(C303,Sheet2!$C$3:$D$12,2,0)</f>
        <v>Variable</v>
      </c>
      <c r="H303" s="5" t="str">
        <f>IFERROR(VLOOKUP(E303,Sheet2!$G$3:$H$8,2,0),"unkwon")</f>
        <v>online</v>
      </c>
      <c r="I303" s="5">
        <f>VLOOKUP(B303,Sheet2!$J$4:$K$15,2,0)</f>
        <v>12</v>
      </c>
      <c r="J303" s="5">
        <f>IFERROR(VLOOKUP(C303,Sheet2!$M$4:$N$12,2,0),0)</f>
        <v>1000</v>
      </c>
      <c r="K303" s="5" t="str">
        <f t="shared" si="4"/>
        <v>over budget</v>
      </c>
    </row>
    <row r="304" spans="1:11" x14ac:dyDescent="0.3">
      <c r="A304" s="6">
        <v>45206</v>
      </c>
      <c r="B304" s="5" t="s">
        <v>6</v>
      </c>
      <c r="C304" s="5" t="s">
        <v>30</v>
      </c>
      <c r="D304" s="5" t="s">
        <v>11</v>
      </c>
      <c r="E304" s="5" t="s">
        <v>12</v>
      </c>
      <c r="F304" s="5">
        <v>1580</v>
      </c>
      <c r="G304" s="5" t="str">
        <f>VLOOKUP(C304,Sheet2!$C$3:$D$12,2,0)</f>
        <v>Fixed</v>
      </c>
      <c r="H304" s="5" t="str">
        <f>IFERROR(VLOOKUP(E304,Sheet2!$G$3:$H$8,2,0),"unkwon")</f>
        <v>online</v>
      </c>
      <c r="I304" s="5">
        <f>VLOOKUP(B304,Sheet2!$J$4:$K$15,2,0)</f>
        <v>10</v>
      </c>
      <c r="J304" s="5">
        <f>IFERROR(VLOOKUP(C304,Sheet2!$M$4:$N$12,2,0),0)</f>
        <v>3000</v>
      </c>
      <c r="K304" s="5" t="str">
        <f t="shared" si="4"/>
        <v>within budget</v>
      </c>
    </row>
    <row r="305" spans="1:11" x14ac:dyDescent="0.3">
      <c r="A305" s="6">
        <v>45552</v>
      </c>
      <c r="B305" s="5" t="s">
        <v>38</v>
      </c>
      <c r="C305" s="5" t="s">
        <v>13</v>
      </c>
      <c r="D305" s="5" t="s">
        <v>14</v>
      </c>
      <c r="E305" s="5" t="s">
        <v>32</v>
      </c>
      <c r="F305" s="5">
        <v>4521</v>
      </c>
      <c r="G305" s="5" t="str">
        <f>VLOOKUP(C305,Sheet2!$C$3:$D$12,2,0)</f>
        <v>Variable</v>
      </c>
      <c r="H305" s="5" t="str">
        <f>IFERROR(VLOOKUP(E305,Sheet2!$G$3:$H$8,2,0),"unkwon")</f>
        <v>offline</v>
      </c>
      <c r="I305" s="5">
        <f>VLOOKUP(B305,Sheet2!$J$4:$K$15,2,0)</f>
        <v>9</v>
      </c>
      <c r="J305" s="5">
        <f>IFERROR(VLOOKUP(C305,Sheet2!$M$4:$N$12,2,0),0)</f>
        <v>5000</v>
      </c>
      <c r="K305" s="5" t="str">
        <f t="shared" si="4"/>
        <v>within budget</v>
      </c>
    </row>
    <row r="306" spans="1:11" x14ac:dyDescent="0.3">
      <c r="A306" s="6">
        <v>45098</v>
      </c>
      <c r="B306" s="5" t="s">
        <v>39</v>
      </c>
      <c r="C306" s="5" t="s">
        <v>7</v>
      </c>
      <c r="D306" s="5" t="s">
        <v>11</v>
      </c>
      <c r="E306" s="5" t="s">
        <v>15</v>
      </c>
      <c r="F306" s="5">
        <v>3714</v>
      </c>
      <c r="G306" s="5" t="str">
        <f>VLOOKUP(C306,Sheet2!$C$3:$D$12,2,0)</f>
        <v>Fixed</v>
      </c>
      <c r="H306" s="5" t="str">
        <f>IFERROR(VLOOKUP(E306,Sheet2!$G$3:$H$8,2,0),"unkwon")</f>
        <v>online</v>
      </c>
      <c r="I306" s="5">
        <f>VLOOKUP(B306,Sheet2!$J$4:$K$15,2,0)</f>
        <v>6</v>
      </c>
      <c r="J306" s="5">
        <f>IFERROR(VLOOKUP(C306,Sheet2!$M$4:$N$12,2,0),0)</f>
        <v>2000</v>
      </c>
      <c r="K306" s="5" t="str">
        <f t="shared" si="4"/>
        <v>over budget</v>
      </c>
    </row>
    <row r="307" spans="1:11" x14ac:dyDescent="0.3">
      <c r="A307" s="6">
        <v>45610</v>
      </c>
      <c r="B307" s="5" t="s">
        <v>40</v>
      </c>
      <c r="C307" s="5" t="s">
        <v>27</v>
      </c>
      <c r="D307" s="5" t="s">
        <v>8</v>
      </c>
      <c r="E307" s="5" t="s">
        <v>15</v>
      </c>
      <c r="F307" s="5">
        <v>2392</v>
      </c>
      <c r="G307" s="5" t="str">
        <f>VLOOKUP(C307,Sheet2!$C$3:$D$12,2,0)</f>
        <v>Variable</v>
      </c>
      <c r="H307" s="5" t="str">
        <f>IFERROR(VLOOKUP(E307,Sheet2!$G$3:$H$8,2,0),"unkwon")</f>
        <v>online</v>
      </c>
      <c r="I307" s="5">
        <f>VLOOKUP(B307,Sheet2!$J$4:$K$15,2,0)</f>
        <v>11</v>
      </c>
      <c r="J307" s="5">
        <f>IFERROR(VLOOKUP(C307,Sheet2!$M$4:$N$12,2,0),0)</f>
        <v>4000</v>
      </c>
      <c r="K307" s="5" t="str">
        <f t="shared" si="4"/>
        <v>within budget</v>
      </c>
    </row>
    <row r="308" spans="1:11" x14ac:dyDescent="0.3">
      <c r="A308" s="6">
        <v>45157</v>
      </c>
      <c r="B308" s="5" t="s">
        <v>25</v>
      </c>
      <c r="C308" s="5" t="s">
        <v>36</v>
      </c>
      <c r="D308" s="5" t="s">
        <v>26</v>
      </c>
      <c r="E308" s="5" t="s">
        <v>9</v>
      </c>
      <c r="F308" s="5">
        <v>4505</v>
      </c>
      <c r="G308" s="5" t="str">
        <f>VLOOKUP(C308,Sheet2!$C$3:$D$12,2,0)</f>
        <v>Variable</v>
      </c>
      <c r="H308" s="5" t="str">
        <f>IFERROR(VLOOKUP(E308,Sheet2!$G$3:$H$8,2,0),"unkwon")</f>
        <v>online</v>
      </c>
      <c r="I308" s="5">
        <f>VLOOKUP(B308,Sheet2!$J$4:$K$15,2,0)</f>
        <v>8</v>
      </c>
      <c r="J308" s="5">
        <f>IFERROR(VLOOKUP(C308,Sheet2!$M$4:$N$12,2,0),0)</f>
        <v>10000</v>
      </c>
      <c r="K308" s="5" t="str">
        <f t="shared" si="4"/>
        <v>within budget</v>
      </c>
    </row>
    <row r="309" spans="1:11" x14ac:dyDescent="0.3">
      <c r="A309" s="6">
        <v>45200</v>
      </c>
      <c r="B309" s="5" t="s">
        <v>6</v>
      </c>
      <c r="C309" s="5" t="s">
        <v>41</v>
      </c>
      <c r="D309" s="5" t="s">
        <v>18</v>
      </c>
      <c r="E309" s="5" t="s">
        <v>32</v>
      </c>
      <c r="F309" s="5">
        <v>427</v>
      </c>
      <c r="G309" s="5" t="str">
        <f>VLOOKUP(C309,Sheet2!$C$3:$D$12,2,0)</f>
        <v>Variable</v>
      </c>
      <c r="H309" s="5" t="str">
        <f>IFERROR(VLOOKUP(E309,Sheet2!$G$3:$H$8,2,0),"unkwon")</f>
        <v>offline</v>
      </c>
      <c r="I309" s="5">
        <f>VLOOKUP(B309,Sheet2!$J$4:$K$15,2,0)</f>
        <v>10</v>
      </c>
      <c r="J309" s="5">
        <f>IFERROR(VLOOKUP(C309,Sheet2!$M$4:$N$12,2,0),0)</f>
        <v>7000</v>
      </c>
      <c r="K309" s="5" t="str">
        <f t="shared" si="4"/>
        <v>within budget</v>
      </c>
    </row>
    <row r="310" spans="1:11" x14ac:dyDescent="0.3">
      <c r="A310" s="6">
        <v>45280</v>
      </c>
      <c r="B310" s="5" t="s">
        <v>16</v>
      </c>
      <c r="C310" s="5" t="s">
        <v>41</v>
      </c>
      <c r="D310" s="5" t="s">
        <v>14</v>
      </c>
      <c r="E310" s="5" t="s">
        <v>15</v>
      </c>
      <c r="F310" s="5">
        <v>663</v>
      </c>
      <c r="G310" s="5" t="str">
        <f>VLOOKUP(C310,Sheet2!$C$3:$D$12,2,0)</f>
        <v>Variable</v>
      </c>
      <c r="H310" s="5" t="str">
        <f>IFERROR(VLOOKUP(E310,Sheet2!$G$3:$H$8,2,0),"unkwon")</f>
        <v>online</v>
      </c>
      <c r="I310" s="5">
        <f>VLOOKUP(B310,Sheet2!$J$4:$K$15,2,0)</f>
        <v>12</v>
      </c>
      <c r="J310" s="5">
        <f>IFERROR(VLOOKUP(C310,Sheet2!$M$4:$N$12,2,0),0)</f>
        <v>7000</v>
      </c>
      <c r="K310" s="5" t="str">
        <f t="shared" si="4"/>
        <v>within budget</v>
      </c>
    </row>
    <row r="311" spans="1:11" x14ac:dyDescent="0.3">
      <c r="A311" s="6">
        <v>45024</v>
      </c>
      <c r="B311" s="5" t="s">
        <v>29</v>
      </c>
      <c r="C311" s="5" t="s">
        <v>13</v>
      </c>
      <c r="D311" s="5" t="s">
        <v>34</v>
      </c>
      <c r="E311" s="5" t="s">
        <v>9</v>
      </c>
      <c r="F311" s="5">
        <v>4408</v>
      </c>
      <c r="G311" s="5" t="str">
        <f>VLOOKUP(C311,Sheet2!$C$3:$D$12,2,0)</f>
        <v>Variable</v>
      </c>
      <c r="H311" s="5" t="str">
        <f>IFERROR(VLOOKUP(E311,Sheet2!$G$3:$H$8,2,0),"unkwon")</f>
        <v>online</v>
      </c>
      <c r="I311" s="5">
        <f>VLOOKUP(B311,Sheet2!$J$4:$K$15,2,0)</f>
        <v>4</v>
      </c>
      <c r="J311" s="5">
        <f>IFERROR(VLOOKUP(C311,Sheet2!$M$4:$N$12,2,0),0)</f>
        <v>5000</v>
      </c>
      <c r="K311" s="5" t="str">
        <f t="shared" si="4"/>
        <v>within budget</v>
      </c>
    </row>
    <row r="312" spans="1:11" x14ac:dyDescent="0.3">
      <c r="A312" s="6">
        <v>45585</v>
      </c>
      <c r="B312" s="5" t="s">
        <v>6</v>
      </c>
      <c r="C312" s="5" t="s">
        <v>27</v>
      </c>
      <c r="D312" s="5" t="s">
        <v>14</v>
      </c>
      <c r="E312" s="5" t="s">
        <v>15</v>
      </c>
      <c r="F312" s="5">
        <v>4641</v>
      </c>
      <c r="G312" s="5" t="str">
        <f>VLOOKUP(C312,Sheet2!$C$3:$D$12,2,0)</f>
        <v>Variable</v>
      </c>
      <c r="H312" s="5" t="str">
        <f>IFERROR(VLOOKUP(E312,Sheet2!$G$3:$H$8,2,0),"unkwon")</f>
        <v>online</v>
      </c>
      <c r="I312" s="5">
        <f>VLOOKUP(B312,Sheet2!$J$4:$K$15,2,0)</f>
        <v>10</v>
      </c>
      <c r="J312" s="5">
        <f>IFERROR(VLOOKUP(C312,Sheet2!$M$4:$N$12,2,0),0)</f>
        <v>4000</v>
      </c>
      <c r="K312" s="5" t="str">
        <f t="shared" si="4"/>
        <v>over budget</v>
      </c>
    </row>
    <row r="313" spans="1:11" x14ac:dyDescent="0.3">
      <c r="A313" s="6">
        <v>45536</v>
      </c>
      <c r="B313" s="5" t="s">
        <v>38</v>
      </c>
      <c r="C313" s="5" t="s">
        <v>36</v>
      </c>
      <c r="D313" s="5" t="s">
        <v>8</v>
      </c>
      <c r="E313" s="5" t="s">
        <v>12</v>
      </c>
      <c r="F313" s="5">
        <v>1491</v>
      </c>
      <c r="G313" s="5" t="str">
        <f>VLOOKUP(C313,Sheet2!$C$3:$D$12,2,0)</f>
        <v>Variable</v>
      </c>
      <c r="H313" s="5" t="str">
        <f>IFERROR(VLOOKUP(E313,Sheet2!$G$3:$H$8,2,0),"unkwon")</f>
        <v>online</v>
      </c>
      <c r="I313" s="5">
        <f>VLOOKUP(B313,Sheet2!$J$4:$K$15,2,0)</f>
        <v>9</v>
      </c>
      <c r="J313" s="5">
        <f>IFERROR(VLOOKUP(C313,Sheet2!$M$4:$N$12,2,0),0)</f>
        <v>10000</v>
      </c>
      <c r="K313" s="5" t="str">
        <f t="shared" si="4"/>
        <v>within budget</v>
      </c>
    </row>
    <row r="314" spans="1:11" x14ac:dyDescent="0.3">
      <c r="A314" s="6">
        <v>44965</v>
      </c>
      <c r="B314" s="5" t="s">
        <v>33</v>
      </c>
      <c r="C314" s="5" t="s">
        <v>13</v>
      </c>
      <c r="D314" s="5" t="s">
        <v>26</v>
      </c>
      <c r="E314" s="5" t="s">
        <v>32</v>
      </c>
      <c r="F314" s="5">
        <v>1332</v>
      </c>
      <c r="G314" s="5" t="str">
        <f>VLOOKUP(C314,Sheet2!$C$3:$D$12,2,0)</f>
        <v>Variable</v>
      </c>
      <c r="H314" s="5" t="str">
        <f>IFERROR(VLOOKUP(E314,Sheet2!$G$3:$H$8,2,0),"unkwon")</f>
        <v>offline</v>
      </c>
      <c r="I314" s="5">
        <f>VLOOKUP(B314,Sheet2!$J$4:$K$15,2,0)</f>
        <v>2</v>
      </c>
      <c r="J314" s="5">
        <f>IFERROR(VLOOKUP(C314,Sheet2!$M$4:$N$12,2,0),0)</f>
        <v>5000</v>
      </c>
      <c r="K314" s="5" t="str">
        <f t="shared" si="4"/>
        <v>within budget</v>
      </c>
    </row>
    <row r="315" spans="1:11" x14ac:dyDescent="0.3">
      <c r="A315" s="6">
        <v>44976</v>
      </c>
      <c r="B315" s="5" t="s">
        <v>33</v>
      </c>
      <c r="C315" s="5" t="s">
        <v>36</v>
      </c>
      <c r="D315" s="5" t="s">
        <v>20</v>
      </c>
      <c r="E315" s="5" t="s">
        <v>17</v>
      </c>
      <c r="F315" s="5">
        <v>3145</v>
      </c>
      <c r="G315" s="5" t="str">
        <f>VLOOKUP(C315,Sheet2!$C$3:$D$12,2,0)</f>
        <v>Variable</v>
      </c>
      <c r="H315" s="5" t="str">
        <f>IFERROR(VLOOKUP(E315,Sheet2!$G$3:$H$8,2,0),"unkwon")</f>
        <v>online</v>
      </c>
      <c r="I315" s="5">
        <f>VLOOKUP(B315,Sheet2!$J$4:$K$15,2,0)</f>
        <v>2</v>
      </c>
      <c r="J315" s="5">
        <f>IFERROR(VLOOKUP(C315,Sheet2!$M$4:$N$12,2,0),0)</f>
        <v>10000</v>
      </c>
      <c r="K315" s="5" t="str">
        <f t="shared" si="4"/>
        <v>within budget</v>
      </c>
    </row>
    <row r="316" spans="1:11" x14ac:dyDescent="0.3">
      <c r="A316" s="6">
        <v>45558</v>
      </c>
      <c r="B316" s="5" t="s">
        <v>38</v>
      </c>
      <c r="C316" s="5" t="s">
        <v>36</v>
      </c>
      <c r="D316" s="5" t="s">
        <v>31</v>
      </c>
      <c r="E316" s="5" t="s">
        <v>15</v>
      </c>
      <c r="F316" s="5">
        <v>1977</v>
      </c>
      <c r="G316" s="5" t="str">
        <f>VLOOKUP(C316,Sheet2!$C$3:$D$12,2,0)</f>
        <v>Variable</v>
      </c>
      <c r="H316" s="5" t="str">
        <f>IFERROR(VLOOKUP(E316,Sheet2!$G$3:$H$8,2,0),"unkwon")</f>
        <v>online</v>
      </c>
      <c r="I316" s="5">
        <f>VLOOKUP(B316,Sheet2!$J$4:$K$15,2,0)</f>
        <v>9</v>
      </c>
      <c r="J316" s="5">
        <f>IFERROR(VLOOKUP(C316,Sheet2!$M$4:$N$12,2,0),0)</f>
        <v>10000</v>
      </c>
      <c r="K316" s="5" t="str">
        <f t="shared" si="4"/>
        <v>within budget</v>
      </c>
    </row>
    <row r="317" spans="1:11" x14ac:dyDescent="0.3">
      <c r="A317" s="6">
        <v>45446</v>
      </c>
      <c r="B317" s="5" t="s">
        <v>39</v>
      </c>
      <c r="C317" s="5" t="s">
        <v>30</v>
      </c>
      <c r="D317" s="5" t="s">
        <v>34</v>
      </c>
      <c r="E317" s="5" t="s">
        <v>15</v>
      </c>
      <c r="F317" s="5">
        <v>3721</v>
      </c>
      <c r="G317" s="5" t="str">
        <f>VLOOKUP(C317,Sheet2!$C$3:$D$12,2,0)</f>
        <v>Fixed</v>
      </c>
      <c r="H317" s="5" t="str">
        <f>IFERROR(VLOOKUP(E317,Sheet2!$G$3:$H$8,2,0),"unkwon")</f>
        <v>online</v>
      </c>
      <c r="I317" s="5">
        <f>VLOOKUP(B317,Sheet2!$J$4:$K$15,2,0)</f>
        <v>6</v>
      </c>
      <c r="J317" s="5">
        <f>IFERROR(VLOOKUP(C317,Sheet2!$M$4:$N$12,2,0),0)</f>
        <v>3000</v>
      </c>
      <c r="K317" s="5" t="str">
        <f t="shared" si="4"/>
        <v>over budget</v>
      </c>
    </row>
    <row r="318" spans="1:11" x14ac:dyDescent="0.3">
      <c r="A318" s="6">
        <v>45634</v>
      </c>
      <c r="B318" s="5" t="s">
        <v>16</v>
      </c>
      <c r="C318" s="5" t="s">
        <v>30</v>
      </c>
      <c r="D318" s="5" t="s">
        <v>20</v>
      </c>
      <c r="E318" s="5" t="s">
        <v>12</v>
      </c>
      <c r="F318" s="5">
        <v>4596</v>
      </c>
      <c r="G318" s="5" t="str">
        <f>VLOOKUP(C318,Sheet2!$C$3:$D$12,2,0)</f>
        <v>Fixed</v>
      </c>
      <c r="H318" s="5" t="str">
        <f>IFERROR(VLOOKUP(E318,Sheet2!$G$3:$H$8,2,0),"unkwon")</f>
        <v>online</v>
      </c>
      <c r="I318" s="5">
        <f>VLOOKUP(B318,Sheet2!$J$4:$K$15,2,0)</f>
        <v>12</v>
      </c>
      <c r="J318" s="5">
        <f>IFERROR(VLOOKUP(C318,Sheet2!$M$4:$N$12,2,0),0)</f>
        <v>3000</v>
      </c>
      <c r="K318" s="5" t="str">
        <f t="shared" si="4"/>
        <v>over budget</v>
      </c>
    </row>
    <row r="319" spans="1:11" x14ac:dyDescent="0.3">
      <c r="A319" s="6">
        <v>45274</v>
      </c>
      <c r="B319" s="5" t="s">
        <v>16</v>
      </c>
      <c r="C319" s="5" t="s">
        <v>22</v>
      </c>
      <c r="D319" s="5" t="s">
        <v>20</v>
      </c>
      <c r="E319" s="5" t="s">
        <v>9</v>
      </c>
      <c r="F319" s="5">
        <v>158</v>
      </c>
      <c r="G319" s="5" t="str">
        <f>VLOOKUP(C319,Sheet2!$C$3:$D$12,2,0)</f>
        <v>Variable</v>
      </c>
      <c r="H319" s="5" t="str">
        <f>IFERROR(VLOOKUP(E319,Sheet2!$G$3:$H$8,2,0),"unkwon")</f>
        <v>online</v>
      </c>
      <c r="I319" s="5">
        <f>VLOOKUP(B319,Sheet2!$J$4:$K$15,2,0)</f>
        <v>12</v>
      </c>
      <c r="J319" s="5">
        <f>IFERROR(VLOOKUP(C319,Sheet2!$M$4:$N$12,2,0),0)</f>
        <v>1000</v>
      </c>
      <c r="K319" s="5" t="str">
        <f t="shared" si="4"/>
        <v>within budget</v>
      </c>
    </row>
    <row r="320" spans="1:11" x14ac:dyDescent="0.3">
      <c r="A320" s="6">
        <v>45255</v>
      </c>
      <c r="B320" s="5" t="s">
        <v>40</v>
      </c>
      <c r="C320" s="5" t="s">
        <v>35</v>
      </c>
      <c r="D320" s="5" t="s">
        <v>34</v>
      </c>
      <c r="E320" s="5" t="s">
        <v>15</v>
      </c>
      <c r="F320" s="5">
        <v>4277</v>
      </c>
      <c r="G320" s="5" t="str">
        <f>VLOOKUP(C320,Sheet2!$C$3:$D$12,2,0)</f>
        <v>Fixed</v>
      </c>
      <c r="H320" s="5" t="str">
        <f>IFERROR(VLOOKUP(E320,Sheet2!$G$3:$H$8,2,0),"unkwon")</f>
        <v>online</v>
      </c>
      <c r="I320" s="5">
        <f>VLOOKUP(B320,Sheet2!$J$4:$K$15,2,0)</f>
        <v>11</v>
      </c>
      <c r="J320" s="5">
        <f>IFERROR(VLOOKUP(C320,Sheet2!$M$4:$N$12,2,0),0)</f>
        <v>5500</v>
      </c>
      <c r="K320" s="5" t="str">
        <f t="shared" si="4"/>
        <v>within budget</v>
      </c>
    </row>
    <row r="321" spans="1:11" x14ac:dyDescent="0.3">
      <c r="A321" s="6">
        <v>44932</v>
      </c>
      <c r="B321" s="5" t="s">
        <v>37</v>
      </c>
      <c r="C321" s="5" t="s">
        <v>7</v>
      </c>
      <c r="D321" s="5" t="s">
        <v>11</v>
      </c>
      <c r="E321" s="5" t="s">
        <v>32</v>
      </c>
      <c r="F321" s="5">
        <v>1787</v>
      </c>
      <c r="G321" s="5" t="str">
        <f>VLOOKUP(C321,Sheet2!$C$3:$D$12,2,0)</f>
        <v>Fixed</v>
      </c>
      <c r="H321" s="5" t="str">
        <f>IFERROR(VLOOKUP(E321,Sheet2!$G$3:$H$8,2,0),"unkwon")</f>
        <v>offline</v>
      </c>
      <c r="I321" s="5">
        <f>VLOOKUP(B321,Sheet2!$J$4:$K$15,2,0)</f>
        <v>1</v>
      </c>
      <c r="J321" s="5">
        <f>IFERROR(VLOOKUP(C321,Sheet2!$M$4:$N$12,2,0),0)</f>
        <v>2000</v>
      </c>
      <c r="K321" s="5" t="str">
        <f t="shared" si="4"/>
        <v>within budget</v>
      </c>
    </row>
    <row r="322" spans="1:11" x14ac:dyDescent="0.3">
      <c r="A322" s="6">
        <v>45018</v>
      </c>
      <c r="B322" s="5" t="s">
        <v>29</v>
      </c>
      <c r="C322" s="5" t="s">
        <v>36</v>
      </c>
      <c r="D322" s="5" t="s">
        <v>8</v>
      </c>
      <c r="E322" s="5" t="s">
        <v>17</v>
      </c>
      <c r="F322" s="5">
        <v>466</v>
      </c>
      <c r="G322" s="5" t="str">
        <f>VLOOKUP(C322,Sheet2!$C$3:$D$12,2,0)</f>
        <v>Variable</v>
      </c>
      <c r="H322" s="5" t="str">
        <f>IFERROR(VLOOKUP(E322,Sheet2!$G$3:$H$8,2,0),"unkwon")</f>
        <v>online</v>
      </c>
      <c r="I322" s="5">
        <f>VLOOKUP(B322,Sheet2!$J$4:$K$15,2,0)</f>
        <v>4</v>
      </c>
      <c r="J322" s="5">
        <f>IFERROR(VLOOKUP(C322,Sheet2!$M$4:$N$12,2,0),0)</f>
        <v>10000</v>
      </c>
      <c r="K322" s="5" t="str">
        <f t="shared" si="4"/>
        <v>within budget</v>
      </c>
    </row>
    <row r="323" spans="1:11" x14ac:dyDescent="0.3">
      <c r="A323" s="6">
        <v>45526</v>
      </c>
      <c r="B323" s="5" t="s">
        <v>25</v>
      </c>
      <c r="C323" s="5" t="s">
        <v>30</v>
      </c>
      <c r="D323" s="5" t="s">
        <v>11</v>
      </c>
      <c r="E323" s="5" t="s">
        <v>15</v>
      </c>
      <c r="F323" s="5">
        <v>759</v>
      </c>
      <c r="G323" s="5" t="str">
        <f>VLOOKUP(C323,Sheet2!$C$3:$D$12,2,0)</f>
        <v>Fixed</v>
      </c>
      <c r="H323" s="5" t="str">
        <f>IFERROR(VLOOKUP(E323,Sheet2!$G$3:$H$8,2,0),"unkwon")</f>
        <v>online</v>
      </c>
      <c r="I323" s="5">
        <f>VLOOKUP(B323,Sheet2!$J$4:$K$15,2,0)</f>
        <v>8</v>
      </c>
      <c r="J323" s="5">
        <f>IFERROR(VLOOKUP(C323,Sheet2!$M$4:$N$12,2,0),0)</f>
        <v>3000</v>
      </c>
      <c r="K323" s="5" t="str">
        <f t="shared" ref="K323:K386" si="5">IF(F323&gt;J323,"over budget","within budget")</f>
        <v>within budget</v>
      </c>
    </row>
    <row r="324" spans="1:11" x14ac:dyDescent="0.3">
      <c r="A324" s="6">
        <v>45395</v>
      </c>
      <c r="B324" s="5" t="s">
        <v>29</v>
      </c>
      <c r="C324" s="5" t="s">
        <v>13</v>
      </c>
      <c r="D324" s="5" t="s">
        <v>26</v>
      </c>
      <c r="E324" s="5" t="s">
        <v>17</v>
      </c>
      <c r="F324" s="5">
        <v>3021</v>
      </c>
      <c r="G324" s="5" t="str">
        <f>VLOOKUP(C324,Sheet2!$C$3:$D$12,2,0)</f>
        <v>Variable</v>
      </c>
      <c r="H324" s="5" t="str">
        <f>IFERROR(VLOOKUP(E324,Sheet2!$G$3:$H$8,2,0),"unkwon")</f>
        <v>online</v>
      </c>
      <c r="I324" s="5">
        <f>VLOOKUP(B324,Sheet2!$J$4:$K$15,2,0)</f>
        <v>4</v>
      </c>
      <c r="J324" s="5">
        <f>IFERROR(VLOOKUP(C324,Sheet2!$M$4:$N$12,2,0),0)</f>
        <v>5000</v>
      </c>
      <c r="K324" s="5" t="str">
        <f t="shared" si="5"/>
        <v>within budget</v>
      </c>
    </row>
    <row r="325" spans="1:11" x14ac:dyDescent="0.3">
      <c r="A325" s="6">
        <v>45267</v>
      </c>
      <c r="B325" s="5" t="s">
        <v>16</v>
      </c>
      <c r="C325" s="5" t="s">
        <v>13</v>
      </c>
      <c r="D325" s="5" t="s">
        <v>24</v>
      </c>
      <c r="E325" s="5" t="s">
        <v>12</v>
      </c>
      <c r="F325" s="5">
        <v>3810</v>
      </c>
      <c r="G325" s="5" t="str">
        <f>VLOOKUP(C325,Sheet2!$C$3:$D$12,2,0)</f>
        <v>Variable</v>
      </c>
      <c r="H325" s="5" t="str">
        <f>IFERROR(VLOOKUP(E325,Sheet2!$G$3:$H$8,2,0),"unkwon")</f>
        <v>online</v>
      </c>
      <c r="I325" s="5">
        <f>VLOOKUP(B325,Sheet2!$J$4:$K$15,2,0)</f>
        <v>12</v>
      </c>
      <c r="J325" s="5">
        <f>IFERROR(VLOOKUP(C325,Sheet2!$M$4:$N$12,2,0),0)</f>
        <v>5000</v>
      </c>
      <c r="K325" s="5" t="str">
        <f t="shared" si="5"/>
        <v>within budget</v>
      </c>
    </row>
    <row r="326" spans="1:11" x14ac:dyDescent="0.3">
      <c r="A326" s="6">
        <v>45300</v>
      </c>
      <c r="B326" s="5" t="s">
        <v>37</v>
      </c>
      <c r="C326" s="5" t="s">
        <v>22</v>
      </c>
      <c r="D326" s="5" t="s">
        <v>14</v>
      </c>
      <c r="E326" s="5" t="s">
        <v>9</v>
      </c>
      <c r="F326" s="5">
        <v>3183</v>
      </c>
      <c r="G326" s="5" t="str">
        <f>VLOOKUP(C326,Sheet2!$C$3:$D$12,2,0)</f>
        <v>Variable</v>
      </c>
      <c r="H326" s="5" t="str">
        <f>IFERROR(VLOOKUP(E326,Sheet2!$G$3:$H$8,2,0),"unkwon")</f>
        <v>online</v>
      </c>
      <c r="I326" s="5">
        <f>VLOOKUP(B326,Sheet2!$J$4:$K$15,2,0)</f>
        <v>1</v>
      </c>
      <c r="J326" s="5">
        <f>IFERROR(VLOOKUP(C326,Sheet2!$M$4:$N$12,2,0),0)</f>
        <v>1000</v>
      </c>
      <c r="K326" s="5" t="str">
        <f t="shared" si="5"/>
        <v>over budget</v>
      </c>
    </row>
    <row r="327" spans="1:11" x14ac:dyDescent="0.3">
      <c r="A327" s="6">
        <v>45095</v>
      </c>
      <c r="B327" s="5" t="s">
        <v>39</v>
      </c>
      <c r="C327" s="5" t="s">
        <v>35</v>
      </c>
      <c r="D327" s="5" t="s">
        <v>8</v>
      </c>
      <c r="E327" s="5" t="s">
        <v>15</v>
      </c>
      <c r="F327" s="5">
        <v>2632</v>
      </c>
      <c r="G327" s="5" t="str">
        <f>VLOOKUP(C327,Sheet2!$C$3:$D$12,2,0)</f>
        <v>Fixed</v>
      </c>
      <c r="H327" s="5" t="str">
        <f>IFERROR(VLOOKUP(E327,Sheet2!$G$3:$H$8,2,0),"unkwon")</f>
        <v>online</v>
      </c>
      <c r="I327" s="5">
        <f>VLOOKUP(B327,Sheet2!$J$4:$K$15,2,0)</f>
        <v>6</v>
      </c>
      <c r="J327" s="5">
        <f>IFERROR(VLOOKUP(C327,Sheet2!$M$4:$N$12,2,0),0)</f>
        <v>5500</v>
      </c>
      <c r="K327" s="5" t="str">
        <f t="shared" si="5"/>
        <v>within budget</v>
      </c>
    </row>
    <row r="328" spans="1:11" x14ac:dyDescent="0.3">
      <c r="A328" s="6">
        <v>44967</v>
      </c>
      <c r="B328" s="5" t="s">
        <v>33</v>
      </c>
      <c r="C328" s="5" t="s">
        <v>36</v>
      </c>
      <c r="D328" s="5" t="s">
        <v>11</v>
      </c>
      <c r="E328" s="5" t="s">
        <v>15</v>
      </c>
      <c r="F328" s="5">
        <v>1918</v>
      </c>
      <c r="G328" s="5" t="str">
        <f>VLOOKUP(C328,Sheet2!$C$3:$D$12,2,0)</f>
        <v>Variable</v>
      </c>
      <c r="H328" s="5" t="str">
        <f>IFERROR(VLOOKUP(E328,Sheet2!$G$3:$H$8,2,0),"unkwon")</f>
        <v>online</v>
      </c>
      <c r="I328" s="5">
        <f>VLOOKUP(B328,Sheet2!$J$4:$K$15,2,0)</f>
        <v>2</v>
      </c>
      <c r="J328" s="5">
        <f>IFERROR(VLOOKUP(C328,Sheet2!$M$4:$N$12,2,0),0)</f>
        <v>10000</v>
      </c>
      <c r="K328" s="5" t="str">
        <f t="shared" si="5"/>
        <v>within budget</v>
      </c>
    </row>
    <row r="329" spans="1:11" x14ac:dyDescent="0.3">
      <c r="A329" s="6">
        <v>45081</v>
      </c>
      <c r="B329" s="5" t="s">
        <v>39</v>
      </c>
      <c r="C329" s="5" t="s">
        <v>10</v>
      </c>
      <c r="D329" s="5" t="s">
        <v>8</v>
      </c>
      <c r="E329" s="5" t="s">
        <v>9</v>
      </c>
      <c r="F329" s="5">
        <v>2244</v>
      </c>
      <c r="G329" s="5" t="str">
        <f>VLOOKUP(C329,Sheet2!$C$3:$D$12,2,0)</f>
        <v>Variable</v>
      </c>
      <c r="H329" s="5" t="str">
        <f>IFERROR(VLOOKUP(E329,Sheet2!$G$3:$H$8,2,0),"unkwon")</f>
        <v>online</v>
      </c>
      <c r="I329" s="5">
        <f>VLOOKUP(B329,Sheet2!$J$4:$K$15,2,0)</f>
        <v>6</v>
      </c>
      <c r="J329" s="5">
        <f>IFERROR(VLOOKUP(C329,Sheet2!$M$4:$N$12,2,0),0)</f>
        <v>5000</v>
      </c>
      <c r="K329" s="5" t="str">
        <f t="shared" si="5"/>
        <v>within budget</v>
      </c>
    </row>
    <row r="330" spans="1:11" x14ac:dyDescent="0.3">
      <c r="A330" s="6">
        <v>45384</v>
      </c>
      <c r="B330" s="5" t="s">
        <v>29</v>
      </c>
      <c r="C330" s="5" t="s">
        <v>7</v>
      </c>
      <c r="D330" s="5" t="s">
        <v>24</v>
      </c>
      <c r="E330" s="5" t="s">
        <v>12</v>
      </c>
      <c r="F330" s="5">
        <v>94</v>
      </c>
      <c r="G330" s="5" t="str">
        <f>VLOOKUP(C330,Sheet2!$C$3:$D$12,2,0)</f>
        <v>Fixed</v>
      </c>
      <c r="H330" s="5" t="str">
        <f>IFERROR(VLOOKUP(E330,Sheet2!$G$3:$H$8,2,0),"unkwon")</f>
        <v>online</v>
      </c>
      <c r="I330" s="5">
        <f>VLOOKUP(B330,Sheet2!$J$4:$K$15,2,0)</f>
        <v>4</v>
      </c>
      <c r="J330" s="5">
        <f>IFERROR(VLOOKUP(C330,Sheet2!$M$4:$N$12,2,0),0)</f>
        <v>2000</v>
      </c>
      <c r="K330" s="5" t="str">
        <f t="shared" si="5"/>
        <v>within budget</v>
      </c>
    </row>
    <row r="331" spans="1:11" x14ac:dyDescent="0.3">
      <c r="A331" s="6">
        <v>45342</v>
      </c>
      <c r="B331" s="5" t="s">
        <v>33</v>
      </c>
      <c r="C331" s="5" t="s">
        <v>22</v>
      </c>
      <c r="D331" s="5" t="s">
        <v>31</v>
      </c>
      <c r="E331" s="5" t="s">
        <v>12</v>
      </c>
      <c r="F331" s="5">
        <v>3656</v>
      </c>
      <c r="G331" s="5" t="str">
        <f>VLOOKUP(C331,Sheet2!$C$3:$D$12,2,0)</f>
        <v>Variable</v>
      </c>
      <c r="H331" s="5" t="str">
        <f>IFERROR(VLOOKUP(E331,Sheet2!$G$3:$H$8,2,0),"unkwon")</f>
        <v>online</v>
      </c>
      <c r="I331" s="5">
        <f>VLOOKUP(B331,Sheet2!$J$4:$K$15,2,0)</f>
        <v>2</v>
      </c>
      <c r="J331" s="5">
        <f>IFERROR(VLOOKUP(C331,Sheet2!$M$4:$N$12,2,0),0)</f>
        <v>1000</v>
      </c>
      <c r="K331" s="5" t="str">
        <f t="shared" si="5"/>
        <v>over budget</v>
      </c>
    </row>
    <row r="332" spans="1:11" x14ac:dyDescent="0.3">
      <c r="A332" s="6">
        <v>45307</v>
      </c>
      <c r="B332" s="5" t="s">
        <v>37</v>
      </c>
      <c r="C332" s="5" t="s">
        <v>27</v>
      </c>
      <c r="D332" s="5" t="s">
        <v>31</v>
      </c>
      <c r="E332" s="5" t="s">
        <v>32</v>
      </c>
      <c r="F332" s="5">
        <v>3888</v>
      </c>
      <c r="G332" s="5" t="str">
        <f>VLOOKUP(C332,Sheet2!$C$3:$D$12,2,0)</f>
        <v>Variable</v>
      </c>
      <c r="H332" s="5" t="str">
        <f>IFERROR(VLOOKUP(E332,Sheet2!$G$3:$H$8,2,0),"unkwon")</f>
        <v>offline</v>
      </c>
      <c r="I332" s="5">
        <f>VLOOKUP(B332,Sheet2!$J$4:$K$15,2,0)</f>
        <v>1</v>
      </c>
      <c r="J332" s="5">
        <f>IFERROR(VLOOKUP(C332,Sheet2!$M$4:$N$12,2,0),0)</f>
        <v>4000</v>
      </c>
      <c r="K332" s="5" t="str">
        <f t="shared" si="5"/>
        <v>within budget</v>
      </c>
    </row>
    <row r="333" spans="1:11" x14ac:dyDescent="0.3">
      <c r="A333" s="6">
        <v>45287</v>
      </c>
      <c r="B333" s="5" t="s">
        <v>16</v>
      </c>
      <c r="C333" s="5" t="s">
        <v>35</v>
      </c>
      <c r="D333" s="5" t="s">
        <v>20</v>
      </c>
      <c r="E333" s="5" t="s">
        <v>12</v>
      </c>
      <c r="F333" s="5">
        <v>176</v>
      </c>
      <c r="G333" s="5" t="str">
        <f>VLOOKUP(C333,Sheet2!$C$3:$D$12,2,0)</f>
        <v>Fixed</v>
      </c>
      <c r="H333" s="5" t="str">
        <f>IFERROR(VLOOKUP(E333,Sheet2!$G$3:$H$8,2,0),"unkwon")</f>
        <v>online</v>
      </c>
      <c r="I333" s="5">
        <f>VLOOKUP(B333,Sheet2!$J$4:$K$15,2,0)</f>
        <v>12</v>
      </c>
      <c r="J333" s="5">
        <f>IFERROR(VLOOKUP(C333,Sheet2!$M$4:$N$12,2,0),0)</f>
        <v>5500</v>
      </c>
      <c r="K333" s="5" t="str">
        <f t="shared" si="5"/>
        <v>within budget</v>
      </c>
    </row>
    <row r="334" spans="1:11" x14ac:dyDescent="0.3">
      <c r="A334" s="6">
        <v>45196</v>
      </c>
      <c r="B334" s="5" t="s">
        <v>38</v>
      </c>
      <c r="C334" s="5" t="s">
        <v>22</v>
      </c>
      <c r="D334" s="5" t="s">
        <v>8</v>
      </c>
      <c r="E334" s="5" t="s">
        <v>12</v>
      </c>
      <c r="F334" s="5">
        <v>3664</v>
      </c>
      <c r="G334" s="5" t="str">
        <f>VLOOKUP(C334,Sheet2!$C$3:$D$12,2,0)</f>
        <v>Variable</v>
      </c>
      <c r="H334" s="5" t="str">
        <f>IFERROR(VLOOKUP(E334,Sheet2!$G$3:$H$8,2,0),"unkwon")</f>
        <v>online</v>
      </c>
      <c r="I334" s="5">
        <f>VLOOKUP(B334,Sheet2!$J$4:$K$15,2,0)</f>
        <v>9</v>
      </c>
      <c r="J334" s="5">
        <f>IFERROR(VLOOKUP(C334,Sheet2!$M$4:$N$12,2,0),0)</f>
        <v>1000</v>
      </c>
      <c r="K334" s="5" t="str">
        <f t="shared" si="5"/>
        <v>over budget</v>
      </c>
    </row>
    <row r="335" spans="1:11" x14ac:dyDescent="0.3">
      <c r="A335" s="6">
        <v>45645</v>
      </c>
      <c r="B335" s="5" t="s">
        <v>16</v>
      </c>
      <c r="C335" s="5" t="s">
        <v>27</v>
      </c>
      <c r="D335" s="5" t="s">
        <v>26</v>
      </c>
      <c r="E335" s="5" t="s">
        <v>15</v>
      </c>
      <c r="F335" s="5">
        <v>4859</v>
      </c>
      <c r="G335" s="5" t="str">
        <f>VLOOKUP(C335,Sheet2!$C$3:$D$12,2,0)</f>
        <v>Variable</v>
      </c>
      <c r="H335" s="5" t="str">
        <f>IFERROR(VLOOKUP(E335,Sheet2!$G$3:$H$8,2,0),"unkwon")</f>
        <v>online</v>
      </c>
      <c r="I335" s="5">
        <f>VLOOKUP(B335,Sheet2!$J$4:$K$15,2,0)</f>
        <v>12</v>
      </c>
      <c r="J335" s="5">
        <f>IFERROR(VLOOKUP(C335,Sheet2!$M$4:$N$12,2,0),0)</f>
        <v>4000</v>
      </c>
      <c r="K335" s="5" t="str">
        <f t="shared" si="5"/>
        <v>over budget</v>
      </c>
    </row>
    <row r="336" spans="1:11" x14ac:dyDescent="0.3">
      <c r="A336" s="6">
        <v>44952</v>
      </c>
      <c r="B336" s="5" t="s">
        <v>37</v>
      </c>
      <c r="C336" s="5" t="s">
        <v>22</v>
      </c>
      <c r="D336" s="5" t="s">
        <v>8</v>
      </c>
      <c r="E336" s="5" t="s">
        <v>17</v>
      </c>
      <c r="F336" s="5">
        <v>3450</v>
      </c>
      <c r="G336" s="5" t="str">
        <f>VLOOKUP(C336,Sheet2!$C$3:$D$12,2,0)</f>
        <v>Variable</v>
      </c>
      <c r="H336" s="5" t="str">
        <f>IFERROR(VLOOKUP(E336,Sheet2!$G$3:$H$8,2,0),"unkwon")</f>
        <v>online</v>
      </c>
      <c r="I336" s="5">
        <f>VLOOKUP(B336,Sheet2!$J$4:$K$15,2,0)</f>
        <v>1</v>
      </c>
      <c r="J336" s="5">
        <f>IFERROR(VLOOKUP(C336,Sheet2!$M$4:$N$12,2,0),0)</f>
        <v>1000</v>
      </c>
      <c r="K336" s="5" t="str">
        <f t="shared" si="5"/>
        <v>over budget</v>
      </c>
    </row>
    <row r="337" spans="1:11" x14ac:dyDescent="0.3">
      <c r="A337" s="6">
        <v>45486</v>
      </c>
      <c r="B337" s="5" t="s">
        <v>21</v>
      </c>
      <c r="C337" s="5" t="s">
        <v>30</v>
      </c>
      <c r="D337" s="5" t="s">
        <v>11</v>
      </c>
      <c r="E337" s="5" t="s">
        <v>12</v>
      </c>
      <c r="F337" s="5">
        <v>2224</v>
      </c>
      <c r="G337" s="5" t="str">
        <f>VLOOKUP(C337,Sheet2!$C$3:$D$12,2,0)</f>
        <v>Fixed</v>
      </c>
      <c r="H337" s="5" t="str">
        <f>IFERROR(VLOOKUP(E337,Sheet2!$G$3:$H$8,2,0),"unkwon")</f>
        <v>online</v>
      </c>
      <c r="I337" s="5">
        <f>VLOOKUP(B337,Sheet2!$J$4:$K$15,2,0)</f>
        <v>7</v>
      </c>
      <c r="J337" s="5">
        <f>IFERROR(VLOOKUP(C337,Sheet2!$M$4:$N$12,2,0),0)</f>
        <v>3000</v>
      </c>
      <c r="K337" s="5" t="str">
        <f t="shared" si="5"/>
        <v>within budget</v>
      </c>
    </row>
    <row r="338" spans="1:11" x14ac:dyDescent="0.3">
      <c r="A338" s="6">
        <v>44957</v>
      </c>
      <c r="B338" s="5" t="s">
        <v>37</v>
      </c>
      <c r="C338" s="5" t="s">
        <v>27</v>
      </c>
      <c r="D338" s="5" t="s">
        <v>26</v>
      </c>
      <c r="E338" s="5" t="s">
        <v>15</v>
      </c>
      <c r="F338" s="5">
        <v>4607</v>
      </c>
      <c r="G338" s="5" t="str">
        <f>VLOOKUP(C338,Sheet2!$C$3:$D$12,2,0)</f>
        <v>Variable</v>
      </c>
      <c r="H338" s="5" t="str">
        <f>IFERROR(VLOOKUP(E338,Sheet2!$G$3:$H$8,2,0),"unkwon")</f>
        <v>online</v>
      </c>
      <c r="I338" s="5">
        <f>VLOOKUP(B338,Sheet2!$J$4:$K$15,2,0)</f>
        <v>1</v>
      </c>
      <c r="J338" s="5">
        <f>IFERROR(VLOOKUP(C338,Sheet2!$M$4:$N$12,2,0),0)</f>
        <v>4000</v>
      </c>
      <c r="K338" s="5" t="str">
        <f t="shared" si="5"/>
        <v>over budget</v>
      </c>
    </row>
    <row r="339" spans="1:11" x14ac:dyDescent="0.3">
      <c r="A339" s="6">
        <v>45342</v>
      </c>
      <c r="B339" s="5" t="s">
        <v>33</v>
      </c>
      <c r="C339" s="5" t="s">
        <v>10</v>
      </c>
      <c r="D339" s="5" t="s">
        <v>11</v>
      </c>
      <c r="E339" s="5" t="s">
        <v>17</v>
      </c>
      <c r="F339" s="5">
        <v>1858</v>
      </c>
      <c r="G339" s="5" t="str">
        <f>VLOOKUP(C339,Sheet2!$C$3:$D$12,2,0)</f>
        <v>Variable</v>
      </c>
      <c r="H339" s="5" t="str">
        <f>IFERROR(VLOOKUP(E339,Sheet2!$G$3:$H$8,2,0),"unkwon")</f>
        <v>online</v>
      </c>
      <c r="I339" s="5">
        <f>VLOOKUP(B339,Sheet2!$J$4:$K$15,2,0)</f>
        <v>2</v>
      </c>
      <c r="J339" s="5">
        <f>IFERROR(VLOOKUP(C339,Sheet2!$M$4:$N$12,2,0),0)</f>
        <v>5000</v>
      </c>
      <c r="K339" s="5" t="str">
        <f t="shared" si="5"/>
        <v>within budget</v>
      </c>
    </row>
    <row r="340" spans="1:11" x14ac:dyDescent="0.3">
      <c r="A340" s="6">
        <v>45174</v>
      </c>
      <c r="B340" s="5" t="s">
        <v>38</v>
      </c>
      <c r="C340" s="5" t="s">
        <v>36</v>
      </c>
      <c r="D340" s="5" t="s">
        <v>23</v>
      </c>
      <c r="E340" s="5" t="s">
        <v>32</v>
      </c>
      <c r="F340" s="5">
        <v>2314</v>
      </c>
      <c r="G340" s="5" t="str">
        <f>VLOOKUP(C340,Sheet2!$C$3:$D$12,2,0)</f>
        <v>Variable</v>
      </c>
      <c r="H340" s="5" t="str">
        <f>IFERROR(VLOOKUP(E340,Sheet2!$G$3:$H$8,2,0),"unkwon")</f>
        <v>offline</v>
      </c>
      <c r="I340" s="5">
        <f>VLOOKUP(B340,Sheet2!$J$4:$K$15,2,0)</f>
        <v>9</v>
      </c>
      <c r="J340" s="5">
        <f>IFERROR(VLOOKUP(C340,Sheet2!$M$4:$N$12,2,0),0)</f>
        <v>10000</v>
      </c>
      <c r="K340" s="5" t="str">
        <f t="shared" si="5"/>
        <v>within budget</v>
      </c>
    </row>
    <row r="341" spans="1:11" x14ac:dyDescent="0.3">
      <c r="A341" s="6">
        <v>45523</v>
      </c>
      <c r="B341" s="5" t="s">
        <v>25</v>
      </c>
      <c r="C341" s="5" t="s">
        <v>30</v>
      </c>
      <c r="D341" s="5" t="s">
        <v>18</v>
      </c>
      <c r="E341" s="5" t="s">
        <v>15</v>
      </c>
      <c r="F341" s="5">
        <v>3731</v>
      </c>
      <c r="G341" s="5" t="str">
        <f>VLOOKUP(C341,Sheet2!$C$3:$D$12,2,0)</f>
        <v>Fixed</v>
      </c>
      <c r="H341" s="5" t="str">
        <f>IFERROR(VLOOKUP(E341,Sheet2!$G$3:$H$8,2,0),"unkwon")</f>
        <v>online</v>
      </c>
      <c r="I341" s="5">
        <f>VLOOKUP(B341,Sheet2!$J$4:$K$15,2,0)</f>
        <v>8</v>
      </c>
      <c r="J341" s="5">
        <f>IFERROR(VLOOKUP(C341,Sheet2!$M$4:$N$12,2,0),0)</f>
        <v>3000</v>
      </c>
      <c r="K341" s="5" t="str">
        <f t="shared" si="5"/>
        <v>over budget</v>
      </c>
    </row>
    <row r="342" spans="1:11" x14ac:dyDescent="0.3">
      <c r="A342" s="6">
        <v>45427</v>
      </c>
      <c r="B342" s="5" t="s">
        <v>28</v>
      </c>
      <c r="C342" s="5" t="s">
        <v>41</v>
      </c>
      <c r="D342" s="5" t="s">
        <v>14</v>
      </c>
      <c r="E342" s="5" t="s">
        <v>12</v>
      </c>
      <c r="F342" s="5">
        <v>3198</v>
      </c>
      <c r="G342" s="5" t="str">
        <f>VLOOKUP(C342,Sheet2!$C$3:$D$12,2,0)</f>
        <v>Variable</v>
      </c>
      <c r="H342" s="5" t="str">
        <f>IFERROR(VLOOKUP(E342,Sheet2!$G$3:$H$8,2,0),"unkwon")</f>
        <v>online</v>
      </c>
      <c r="I342" s="5">
        <f>VLOOKUP(B342,Sheet2!$J$4:$K$15,2,0)</f>
        <v>5</v>
      </c>
      <c r="J342" s="5">
        <f>IFERROR(VLOOKUP(C342,Sheet2!$M$4:$N$12,2,0),0)</f>
        <v>7000</v>
      </c>
      <c r="K342" s="5" t="str">
        <f t="shared" si="5"/>
        <v>within budget</v>
      </c>
    </row>
    <row r="343" spans="1:11" x14ac:dyDescent="0.3">
      <c r="A343" s="6">
        <v>45295</v>
      </c>
      <c r="B343" s="5" t="s">
        <v>37</v>
      </c>
      <c r="C343" s="5" t="s">
        <v>30</v>
      </c>
      <c r="D343" s="5" t="s">
        <v>23</v>
      </c>
      <c r="E343" s="5" t="s">
        <v>15</v>
      </c>
      <c r="F343" s="5">
        <v>4414</v>
      </c>
      <c r="G343" s="5" t="str">
        <f>VLOOKUP(C343,Sheet2!$C$3:$D$12,2,0)</f>
        <v>Fixed</v>
      </c>
      <c r="H343" s="5" t="str">
        <f>IFERROR(VLOOKUP(E343,Sheet2!$G$3:$H$8,2,0),"unkwon")</f>
        <v>online</v>
      </c>
      <c r="I343" s="5">
        <f>VLOOKUP(B343,Sheet2!$J$4:$K$15,2,0)</f>
        <v>1</v>
      </c>
      <c r="J343" s="5">
        <f>IFERROR(VLOOKUP(C343,Sheet2!$M$4:$N$12,2,0),0)</f>
        <v>3000</v>
      </c>
      <c r="K343" s="5" t="str">
        <f t="shared" si="5"/>
        <v>over budget</v>
      </c>
    </row>
    <row r="344" spans="1:11" x14ac:dyDescent="0.3">
      <c r="A344" s="6">
        <v>45450</v>
      </c>
      <c r="B344" s="5" t="s">
        <v>39</v>
      </c>
      <c r="C344" s="5" t="s">
        <v>35</v>
      </c>
      <c r="D344" s="5" t="s">
        <v>26</v>
      </c>
      <c r="E344" s="5" t="s">
        <v>17</v>
      </c>
      <c r="F344" s="5">
        <v>1121</v>
      </c>
      <c r="G344" s="5" t="str">
        <f>VLOOKUP(C344,Sheet2!$C$3:$D$12,2,0)</f>
        <v>Fixed</v>
      </c>
      <c r="H344" s="5" t="str">
        <f>IFERROR(VLOOKUP(E344,Sheet2!$G$3:$H$8,2,0),"unkwon")</f>
        <v>online</v>
      </c>
      <c r="I344" s="5">
        <f>VLOOKUP(B344,Sheet2!$J$4:$K$15,2,0)</f>
        <v>6</v>
      </c>
      <c r="J344" s="5">
        <f>IFERROR(VLOOKUP(C344,Sheet2!$M$4:$N$12,2,0),0)</f>
        <v>5500</v>
      </c>
      <c r="K344" s="5" t="str">
        <f t="shared" si="5"/>
        <v>within budget</v>
      </c>
    </row>
    <row r="345" spans="1:11" x14ac:dyDescent="0.3">
      <c r="A345" s="6">
        <v>45237</v>
      </c>
      <c r="B345" s="5" t="s">
        <v>40</v>
      </c>
      <c r="C345" s="5" t="s">
        <v>7</v>
      </c>
      <c r="D345" s="5" t="s">
        <v>26</v>
      </c>
      <c r="E345" s="5" t="s">
        <v>15</v>
      </c>
      <c r="F345" s="5">
        <v>1103</v>
      </c>
      <c r="G345" s="5" t="str">
        <f>VLOOKUP(C345,Sheet2!$C$3:$D$12,2,0)</f>
        <v>Fixed</v>
      </c>
      <c r="H345" s="5" t="str">
        <f>IFERROR(VLOOKUP(E345,Sheet2!$G$3:$H$8,2,0),"unkwon")</f>
        <v>online</v>
      </c>
      <c r="I345" s="5">
        <f>VLOOKUP(B345,Sheet2!$J$4:$K$15,2,0)</f>
        <v>11</v>
      </c>
      <c r="J345" s="5">
        <f>IFERROR(VLOOKUP(C345,Sheet2!$M$4:$N$12,2,0),0)</f>
        <v>2000</v>
      </c>
      <c r="K345" s="5" t="str">
        <f t="shared" si="5"/>
        <v>within budget</v>
      </c>
    </row>
    <row r="346" spans="1:11" x14ac:dyDescent="0.3">
      <c r="A346" s="6">
        <v>45384</v>
      </c>
      <c r="B346" s="5" t="s">
        <v>29</v>
      </c>
      <c r="C346" s="5" t="s">
        <v>13</v>
      </c>
      <c r="D346" s="5" t="s">
        <v>26</v>
      </c>
      <c r="E346" s="5" t="s">
        <v>15</v>
      </c>
      <c r="F346" s="5">
        <v>4189</v>
      </c>
      <c r="G346" s="5" t="str">
        <f>VLOOKUP(C346,Sheet2!$C$3:$D$12,2,0)</f>
        <v>Variable</v>
      </c>
      <c r="H346" s="5" t="str">
        <f>IFERROR(VLOOKUP(E346,Sheet2!$G$3:$H$8,2,0),"unkwon")</f>
        <v>online</v>
      </c>
      <c r="I346" s="5">
        <f>VLOOKUP(B346,Sheet2!$J$4:$K$15,2,0)</f>
        <v>4</v>
      </c>
      <c r="J346" s="5">
        <f>IFERROR(VLOOKUP(C346,Sheet2!$M$4:$N$12,2,0),0)</f>
        <v>5000</v>
      </c>
      <c r="K346" s="5" t="str">
        <f t="shared" si="5"/>
        <v>within budget</v>
      </c>
    </row>
    <row r="347" spans="1:11" x14ac:dyDescent="0.3">
      <c r="A347" s="6">
        <v>45604</v>
      </c>
      <c r="B347" s="5" t="s">
        <v>40</v>
      </c>
      <c r="C347" s="5" t="s">
        <v>22</v>
      </c>
      <c r="D347" s="5" t="s">
        <v>8</v>
      </c>
      <c r="E347" s="5" t="s">
        <v>17</v>
      </c>
      <c r="F347" s="5">
        <v>200</v>
      </c>
      <c r="G347" s="5" t="str">
        <f>VLOOKUP(C347,Sheet2!$C$3:$D$12,2,0)</f>
        <v>Variable</v>
      </c>
      <c r="H347" s="5" t="str">
        <f>IFERROR(VLOOKUP(E347,Sheet2!$G$3:$H$8,2,0),"unkwon")</f>
        <v>online</v>
      </c>
      <c r="I347" s="5">
        <f>VLOOKUP(B347,Sheet2!$J$4:$K$15,2,0)</f>
        <v>11</v>
      </c>
      <c r="J347" s="5">
        <f>IFERROR(VLOOKUP(C347,Sheet2!$M$4:$N$12,2,0),0)</f>
        <v>1000</v>
      </c>
      <c r="K347" s="5" t="str">
        <f t="shared" si="5"/>
        <v>within budget</v>
      </c>
    </row>
    <row r="348" spans="1:11" x14ac:dyDescent="0.3">
      <c r="A348" s="6">
        <v>45348</v>
      </c>
      <c r="B348" s="5" t="s">
        <v>33</v>
      </c>
      <c r="C348" s="5" t="s">
        <v>22</v>
      </c>
      <c r="D348" s="5" t="s">
        <v>18</v>
      </c>
      <c r="E348" s="5" t="s">
        <v>9</v>
      </c>
      <c r="F348" s="5">
        <v>4713</v>
      </c>
      <c r="G348" s="5" t="str">
        <f>VLOOKUP(C348,Sheet2!$C$3:$D$12,2,0)</f>
        <v>Variable</v>
      </c>
      <c r="H348" s="5" t="str">
        <f>IFERROR(VLOOKUP(E348,Sheet2!$G$3:$H$8,2,0),"unkwon")</f>
        <v>online</v>
      </c>
      <c r="I348" s="5">
        <f>VLOOKUP(B348,Sheet2!$J$4:$K$15,2,0)</f>
        <v>2</v>
      </c>
      <c r="J348" s="5">
        <f>IFERROR(VLOOKUP(C348,Sheet2!$M$4:$N$12,2,0),0)</f>
        <v>1000</v>
      </c>
      <c r="K348" s="5" t="str">
        <f t="shared" si="5"/>
        <v>over budget</v>
      </c>
    </row>
    <row r="349" spans="1:11" x14ac:dyDescent="0.3">
      <c r="A349" s="6">
        <v>45509</v>
      </c>
      <c r="B349" s="5" t="s">
        <v>25</v>
      </c>
      <c r="C349" s="5" t="s">
        <v>30</v>
      </c>
      <c r="D349" s="5" t="s">
        <v>24</v>
      </c>
      <c r="E349" s="5" t="s">
        <v>15</v>
      </c>
      <c r="F349" s="5">
        <v>1171</v>
      </c>
      <c r="G349" s="5" t="str">
        <f>VLOOKUP(C349,Sheet2!$C$3:$D$12,2,0)</f>
        <v>Fixed</v>
      </c>
      <c r="H349" s="5" t="str">
        <f>IFERROR(VLOOKUP(E349,Sheet2!$G$3:$H$8,2,0),"unkwon")</f>
        <v>online</v>
      </c>
      <c r="I349" s="5">
        <f>VLOOKUP(B349,Sheet2!$J$4:$K$15,2,0)</f>
        <v>8</v>
      </c>
      <c r="J349" s="5">
        <f>IFERROR(VLOOKUP(C349,Sheet2!$M$4:$N$12,2,0),0)</f>
        <v>3000</v>
      </c>
      <c r="K349" s="5" t="str">
        <f t="shared" si="5"/>
        <v>within budget</v>
      </c>
    </row>
    <row r="350" spans="1:11" x14ac:dyDescent="0.3">
      <c r="A350" s="6">
        <v>45098</v>
      </c>
      <c r="B350" s="5" t="s">
        <v>39</v>
      </c>
      <c r="C350" s="5" t="s">
        <v>30</v>
      </c>
      <c r="D350" s="5" t="s">
        <v>14</v>
      </c>
      <c r="E350" s="5" t="s">
        <v>17</v>
      </c>
      <c r="F350" s="5">
        <v>3698</v>
      </c>
      <c r="G350" s="5" t="str">
        <f>VLOOKUP(C350,Sheet2!$C$3:$D$12,2,0)</f>
        <v>Fixed</v>
      </c>
      <c r="H350" s="5" t="str">
        <f>IFERROR(VLOOKUP(E350,Sheet2!$G$3:$H$8,2,0),"unkwon")</f>
        <v>online</v>
      </c>
      <c r="I350" s="5">
        <f>VLOOKUP(B350,Sheet2!$J$4:$K$15,2,0)</f>
        <v>6</v>
      </c>
      <c r="J350" s="5">
        <f>IFERROR(VLOOKUP(C350,Sheet2!$M$4:$N$12,2,0),0)</f>
        <v>3000</v>
      </c>
      <c r="K350" s="5" t="str">
        <f t="shared" si="5"/>
        <v>over budget</v>
      </c>
    </row>
    <row r="351" spans="1:11" x14ac:dyDescent="0.3">
      <c r="A351" s="6">
        <v>45178</v>
      </c>
      <c r="B351" s="5" t="s">
        <v>38</v>
      </c>
      <c r="C351" s="5" t="s">
        <v>41</v>
      </c>
      <c r="D351" s="5" t="s">
        <v>20</v>
      </c>
      <c r="E351" s="5" t="s">
        <v>15</v>
      </c>
      <c r="F351" s="5">
        <v>3550</v>
      </c>
      <c r="G351" s="5" t="str">
        <f>VLOOKUP(C351,Sheet2!$C$3:$D$12,2,0)</f>
        <v>Variable</v>
      </c>
      <c r="H351" s="5" t="str">
        <f>IFERROR(VLOOKUP(E351,Sheet2!$G$3:$H$8,2,0),"unkwon")</f>
        <v>online</v>
      </c>
      <c r="I351" s="5">
        <f>VLOOKUP(B351,Sheet2!$J$4:$K$15,2,0)</f>
        <v>9</v>
      </c>
      <c r="J351" s="5">
        <f>IFERROR(VLOOKUP(C351,Sheet2!$M$4:$N$12,2,0),0)</f>
        <v>7000</v>
      </c>
      <c r="K351" s="5" t="str">
        <f t="shared" si="5"/>
        <v>within budget</v>
      </c>
    </row>
    <row r="352" spans="1:11" x14ac:dyDescent="0.3">
      <c r="A352" s="6">
        <v>45649</v>
      </c>
      <c r="B352" s="5" t="s">
        <v>16</v>
      </c>
      <c r="C352" s="5" t="s">
        <v>41</v>
      </c>
      <c r="D352" s="5" t="s">
        <v>31</v>
      </c>
      <c r="E352" s="5" t="s">
        <v>17</v>
      </c>
      <c r="F352" s="5">
        <v>1154</v>
      </c>
      <c r="G352" s="5" t="str">
        <f>VLOOKUP(C352,Sheet2!$C$3:$D$12,2,0)</f>
        <v>Variable</v>
      </c>
      <c r="H352" s="5" t="str">
        <f>IFERROR(VLOOKUP(E352,Sheet2!$G$3:$H$8,2,0),"unkwon")</f>
        <v>online</v>
      </c>
      <c r="I352" s="5">
        <f>VLOOKUP(B352,Sheet2!$J$4:$K$15,2,0)</f>
        <v>12</v>
      </c>
      <c r="J352" s="5">
        <f>IFERROR(VLOOKUP(C352,Sheet2!$M$4:$N$12,2,0),0)</f>
        <v>7000</v>
      </c>
      <c r="K352" s="5" t="str">
        <f t="shared" si="5"/>
        <v>within budget</v>
      </c>
    </row>
    <row r="353" spans="1:11" x14ac:dyDescent="0.3">
      <c r="A353" s="6">
        <v>45564</v>
      </c>
      <c r="B353" s="5" t="s">
        <v>38</v>
      </c>
      <c r="C353" s="5" t="s">
        <v>10</v>
      </c>
      <c r="D353" s="5" t="s">
        <v>11</v>
      </c>
      <c r="E353" s="5" t="s">
        <v>32</v>
      </c>
      <c r="F353" s="5">
        <v>947</v>
      </c>
      <c r="G353" s="5" t="str">
        <f>VLOOKUP(C353,Sheet2!$C$3:$D$12,2,0)</f>
        <v>Variable</v>
      </c>
      <c r="H353" s="5" t="str">
        <f>IFERROR(VLOOKUP(E353,Sheet2!$G$3:$H$8,2,0),"unkwon")</f>
        <v>offline</v>
      </c>
      <c r="I353" s="5">
        <f>VLOOKUP(B353,Sheet2!$J$4:$K$15,2,0)</f>
        <v>9</v>
      </c>
      <c r="J353" s="5">
        <f>IFERROR(VLOOKUP(C353,Sheet2!$M$4:$N$12,2,0),0)</f>
        <v>5000</v>
      </c>
      <c r="K353" s="5" t="str">
        <f t="shared" si="5"/>
        <v>within budget</v>
      </c>
    </row>
    <row r="354" spans="1:11" x14ac:dyDescent="0.3">
      <c r="A354" s="6">
        <v>45573</v>
      </c>
      <c r="B354" s="5" t="s">
        <v>6</v>
      </c>
      <c r="C354" s="5" t="s">
        <v>41</v>
      </c>
      <c r="D354" s="5" t="s">
        <v>23</v>
      </c>
      <c r="E354" s="5" t="s">
        <v>15</v>
      </c>
      <c r="F354" s="5">
        <v>1688</v>
      </c>
      <c r="G354" s="5" t="str">
        <f>VLOOKUP(C354,Sheet2!$C$3:$D$12,2,0)</f>
        <v>Variable</v>
      </c>
      <c r="H354" s="5" t="str">
        <f>IFERROR(VLOOKUP(E354,Sheet2!$G$3:$H$8,2,0),"unkwon")</f>
        <v>online</v>
      </c>
      <c r="I354" s="5">
        <f>VLOOKUP(B354,Sheet2!$J$4:$K$15,2,0)</f>
        <v>10</v>
      </c>
      <c r="J354" s="5">
        <f>IFERROR(VLOOKUP(C354,Sheet2!$M$4:$N$12,2,0),0)</f>
        <v>7000</v>
      </c>
      <c r="K354" s="5" t="str">
        <f t="shared" si="5"/>
        <v>within budget</v>
      </c>
    </row>
    <row r="355" spans="1:11" x14ac:dyDescent="0.3">
      <c r="A355" s="6">
        <v>45239</v>
      </c>
      <c r="B355" s="5" t="s">
        <v>40</v>
      </c>
      <c r="C355" s="5" t="s">
        <v>7</v>
      </c>
      <c r="D355" s="5" t="s">
        <v>23</v>
      </c>
      <c r="E355" s="5" t="s">
        <v>15</v>
      </c>
      <c r="F355" s="5">
        <v>2202</v>
      </c>
      <c r="G355" s="5" t="str">
        <f>VLOOKUP(C355,Sheet2!$C$3:$D$12,2,0)</f>
        <v>Fixed</v>
      </c>
      <c r="H355" s="5" t="str">
        <f>IFERROR(VLOOKUP(E355,Sheet2!$G$3:$H$8,2,0),"unkwon")</f>
        <v>online</v>
      </c>
      <c r="I355" s="5">
        <f>VLOOKUP(B355,Sheet2!$J$4:$K$15,2,0)</f>
        <v>11</v>
      </c>
      <c r="J355" s="5">
        <f>IFERROR(VLOOKUP(C355,Sheet2!$M$4:$N$12,2,0),0)</f>
        <v>2000</v>
      </c>
      <c r="K355" s="5" t="str">
        <f t="shared" si="5"/>
        <v>over budget</v>
      </c>
    </row>
    <row r="356" spans="1:11" x14ac:dyDescent="0.3">
      <c r="A356" s="6">
        <v>45144</v>
      </c>
      <c r="B356" s="5" t="s">
        <v>25</v>
      </c>
      <c r="C356" s="5" t="s">
        <v>36</v>
      </c>
      <c r="D356" s="5" t="s">
        <v>24</v>
      </c>
      <c r="E356" s="5" t="s">
        <v>17</v>
      </c>
      <c r="F356" s="5">
        <v>822</v>
      </c>
      <c r="G356" s="5" t="str">
        <f>VLOOKUP(C356,Sheet2!$C$3:$D$12,2,0)</f>
        <v>Variable</v>
      </c>
      <c r="H356" s="5" t="str">
        <f>IFERROR(VLOOKUP(E356,Sheet2!$G$3:$H$8,2,0),"unkwon")</f>
        <v>online</v>
      </c>
      <c r="I356" s="5">
        <f>VLOOKUP(B356,Sheet2!$J$4:$K$15,2,0)</f>
        <v>8</v>
      </c>
      <c r="J356" s="5">
        <f>IFERROR(VLOOKUP(C356,Sheet2!$M$4:$N$12,2,0),0)</f>
        <v>10000</v>
      </c>
      <c r="K356" s="5" t="str">
        <f t="shared" si="5"/>
        <v>within budget</v>
      </c>
    </row>
    <row r="357" spans="1:11" x14ac:dyDescent="0.3">
      <c r="A357" s="6">
        <v>45647</v>
      </c>
      <c r="B357" s="5" t="s">
        <v>16</v>
      </c>
      <c r="C357" s="5" t="s">
        <v>35</v>
      </c>
      <c r="D357" s="5" t="s">
        <v>24</v>
      </c>
      <c r="E357" s="5" t="s">
        <v>12</v>
      </c>
      <c r="F357" s="5">
        <v>2128</v>
      </c>
      <c r="G357" s="5" t="str">
        <f>VLOOKUP(C357,Sheet2!$C$3:$D$12,2,0)</f>
        <v>Fixed</v>
      </c>
      <c r="H357" s="5" t="str">
        <f>IFERROR(VLOOKUP(E357,Sheet2!$G$3:$H$8,2,0),"unkwon")</f>
        <v>online</v>
      </c>
      <c r="I357" s="5">
        <f>VLOOKUP(B357,Sheet2!$J$4:$K$15,2,0)</f>
        <v>12</v>
      </c>
      <c r="J357" s="5">
        <f>IFERROR(VLOOKUP(C357,Sheet2!$M$4:$N$12,2,0),0)</f>
        <v>5500</v>
      </c>
      <c r="K357" s="5" t="str">
        <f t="shared" si="5"/>
        <v>within budget</v>
      </c>
    </row>
    <row r="358" spans="1:11" x14ac:dyDescent="0.3">
      <c r="A358" s="6">
        <v>45280</v>
      </c>
      <c r="B358" s="5" t="s">
        <v>16</v>
      </c>
      <c r="C358" s="5" t="s">
        <v>13</v>
      </c>
      <c r="D358" s="5" t="s">
        <v>18</v>
      </c>
      <c r="E358" s="5" t="s">
        <v>9</v>
      </c>
      <c r="F358" s="5">
        <v>1393</v>
      </c>
      <c r="G358" s="5" t="str">
        <f>VLOOKUP(C358,Sheet2!$C$3:$D$12,2,0)</f>
        <v>Variable</v>
      </c>
      <c r="H358" s="5" t="str">
        <f>IFERROR(VLOOKUP(E358,Sheet2!$G$3:$H$8,2,0),"unkwon")</f>
        <v>online</v>
      </c>
      <c r="I358" s="5">
        <f>VLOOKUP(B358,Sheet2!$J$4:$K$15,2,0)</f>
        <v>12</v>
      </c>
      <c r="J358" s="5">
        <f>IFERROR(VLOOKUP(C358,Sheet2!$M$4:$N$12,2,0),0)</f>
        <v>5000</v>
      </c>
      <c r="K358" s="5" t="str">
        <f t="shared" si="5"/>
        <v>within budget</v>
      </c>
    </row>
    <row r="359" spans="1:11" x14ac:dyDescent="0.3">
      <c r="A359" s="6">
        <v>45215</v>
      </c>
      <c r="B359" s="5" t="s">
        <v>6</v>
      </c>
      <c r="C359" s="5" t="s">
        <v>10</v>
      </c>
      <c r="D359" s="5" t="s">
        <v>11</v>
      </c>
      <c r="E359" s="5" t="s">
        <v>15</v>
      </c>
      <c r="F359" s="5">
        <v>2505</v>
      </c>
      <c r="G359" s="5" t="str">
        <f>VLOOKUP(C359,Sheet2!$C$3:$D$12,2,0)</f>
        <v>Variable</v>
      </c>
      <c r="H359" s="5" t="str">
        <f>IFERROR(VLOOKUP(E359,Sheet2!$G$3:$H$8,2,0),"unkwon")</f>
        <v>online</v>
      </c>
      <c r="I359" s="5">
        <f>VLOOKUP(B359,Sheet2!$J$4:$K$15,2,0)</f>
        <v>10</v>
      </c>
      <c r="J359" s="5">
        <f>IFERROR(VLOOKUP(C359,Sheet2!$M$4:$N$12,2,0),0)</f>
        <v>5000</v>
      </c>
      <c r="K359" s="5" t="str">
        <f t="shared" si="5"/>
        <v>within budget</v>
      </c>
    </row>
    <row r="360" spans="1:11" x14ac:dyDescent="0.3">
      <c r="A360" s="6">
        <v>44988</v>
      </c>
      <c r="B360" s="5" t="s">
        <v>19</v>
      </c>
      <c r="C360" s="5" t="s">
        <v>41</v>
      </c>
      <c r="D360" s="5" t="s">
        <v>23</v>
      </c>
      <c r="E360" s="5" t="s">
        <v>17</v>
      </c>
      <c r="F360" s="5">
        <v>3642</v>
      </c>
      <c r="G360" s="5" t="str">
        <f>VLOOKUP(C360,Sheet2!$C$3:$D$12,2,0)</f>
        <v>Variable</v>
      </c>
      <c r="H360" s="5" t="str">
        <f>IFERROR(VLOOKUP(E360,Sheet2!$G$3:$H$8,2,0),"unkwon")</f>
        <v>online</v>
      </c>
      <c r="I360" s="5">
        <f>VLOOKUP(B360,Sheet2!$J$4:$K$15,2,0)</f>
        <v>3</v>
      </c>
      <c r="J360" s="5">
        <f>IFERROR(VLOOKUP(C360,Sheet2!$M$4:$N$12,2,0),0)</f>
        <v>7000</v>
      </c>
      <c r="K360" s="5" t="str">
        <f t="shared" si="5"/>
        <v>within budget</v>
      </c>
    </row>
    <row r="361" spans="1:11" x14ac:dyDescent="0.3">
      <c r="A361" s="6">
        <v>45649</v>
      </c>
      <c r="B361" s="5" t="s">
        <v>16</v>
      </c>
      <c r="C361" s="5" t="s">
        <v>35</v>
      </c>
      <c r="D361" s="5" t="s">
        <v>18</v>
      </c>
      <c r="E361" s="5" t="s">
        <v>17</v>
      </c>
      <c r="F361" s="5">
        <v>4321</v>
      </c>
      <c r="G361" s="5" t="str">
        <f>VLOOKUP(C361,Sheet2!$C$3:$D$12,2,0)</f>
        <v>Fixed</v>
      </c>
      <c r="H361" s="5" t="str">
        <f>IFERROR(VLOOKUP(E361,Sheet2!$G$3:$H$8,2,0),"unkwon")</f>
        <v>online</v>
      </c>
      <c r="I361" s="5">
        <f>VLOOKUP(B361,Sheet2!$J$4:$K$15,2,0)</f>
        <v>12</v>
      </c>
      <c r="J361" s="5">
        <f>IFERROR(VLOOKUP(C361,Sheet2!$M$4:$N$12,2,0),0)</f>
        <v>5500</v>
      </c>
      <c r="K361" s="5" t="str">
        <f t="shared" si="5"/>
        <v>within budget</v>
      </c>
    </row>
    <row r="362" spans="1:11" x14ac:dyDescent="0.3">
      <c r="A362" s="6">
        <v>45436</v>
      </c>
      <c r="B362" s="5" t="s">
        <v>28</v>
      </c>
      <c r="C362" s="5" t="s">
        <v>41</v>
      </c>
      <c r="D362" s="5" t="s">
        <v>18</v>
      </c>
      <c r="E362" s="5" t="s">
        <v>15</v>
      </c>
      <c r="F362" s="5">
        <v>2784</v>
      </c>
      <c r="G362" s="5" t="str">
        <f>VLOOKUP(C362,Sheet2!$C$3:$D$12,2,0)</f>
        <v>Variable</v>
      </c>
      <c r="H362" s="5" t="str">
        <f>IFERROR(VLOOKUP(E362,Sheet2!$G$3:$H$8,2,0),"unkwon")</f>
        <v>online</v>
      </c>
      <c r="I362" s="5">
        <f>VLOOKUP(B362,Sheet2!$J$4:$K$15,2,0)</f>
        <v>5</v>
      </c>
      <c r="J362" s="5">
        <f>IFERROR(VLOOKUP(C362,Sheet2!$M$4:$N$12,2,0),0)</f>
        <v>7000</v>
      </c>
      <c r="K362" s="5" t="str">
        <f t="shared" si="5"/>
        <v>within budget</v>
      </c>
    </row>
    <row r="363" spans="1:11" x14ac:dyDescent="0.3">
      <c r="A363" s="6">
        <v>45552</v>
      </c>
      <c r="B363" s="5" t="s">
        <v>38</v>
      </c>
      <c r="C363" s="5" t="s">
        <v>36</v>
      </c>
      <c r="D363" s="5" t="s">
        <v>14</v>
      </c>
      <c r="E363" s="5" t="s">
        <v>17</v>
      </c>
      <c r="F363" s="5">
        <v>4868</v>
      </c>
      <c r="G363" s="5" t="str">
        <f>VLOOKUP(C363,Sheet2!$C$3:$D$12,2,0)</f>
        <v>Variable</v>
      </c>
      <c r="H363" s="5" t="str">
        <f>IFERROR(VLOOKUP(E363,Sheet2!$G$3:$H$8,2,0),"unkwon")</f>
        <v>online</v>
      </c>
      <c r="I363" s="5">
        <f>VLOOKUP(B363,Sheet2!$J$4:$K$15,2,0)</f>
        <v>9</v>
      </c>
      <c r="J363" s="5">
        <f>IFERROR(VLOOKUP(C363,Sheet2!$M$4:$N$12,2,0),0)</f>
        <v>10000</v>
      </c>
      <c r="K363" s="5" t="str">
        <f t="shared" si="5"/>
        <v>within budget</v>
      </c>
    </row>
    <row r="364" spans="1:11" x14ac:dyDescent="0.3">
      <c r="A364" s="6">
        <v>45115</v>
      </c>
      <c r="B364" s="5" t="s">
        <v>21</v>
      </c>
      <c r="C364" s="5" t="s">
        <v>7</v>
      </c>
      <c r="D364" s="5" t="s">
        <v>11</v>
      </c>
      <c r="E364" s="5" t="s">
        <v>12</v>
      </c>
      <c r="F364" s="5">
        <v>1847</v>
      </c>
      <c r="G364" s="5" t="str">
        <f>VLOOKUP(C364,Sheet2!$C$3:$D$12,2,0)</f>
        <v>Fixed</v>
      </c>
      <c r="H364" s="5" t="str">
        <f>IFERROR(VLOOKUP(E364,Sheet2!$G$3:$H$8,2,0),"unkwon")</f>
        <v>online</v>
      </c>
      <c r="I364" s="5">
        <f>VLOOKUP(B364,Sheet2!$J$4:$K$15,2,0)</f>
        <v>7</v>
      </c>
      <c r="J364" s="5">
        <f>IFERROR(VLOOKUP(C364,Sheet2!$M$4:$N$12,2,0),0)</f>
        <v>2000</v>
      </c>
      <c r="K364" s="5" t="str">
        <f t="shared" si="5"/>
        <v>within budget</v>
      </c>
    </row>
    <row r="365" spans="1:11" x14ac:dyDescent="0.3">
      <c r="A365" s="6">
        <v>45253</v>
      </c>
      <c r="B365" s="5" t="s">
        <v>40</v>
      </c>
      <c r="C365" s="5" t="s">
        <v>30</v>
      </c>
      <c r="D365" s="5" t="s">
        <v>24</v>
      </c>
      <c r="E365" s="5" t="s">
        <v>9</v>
      </c>
      <c r="F365" s="5">
        <v>3234</v>
      </c>
      <c r="G365" s="5" t="str">
        <f>VLOOKUP(C365,Sheet2!$C$3:$D$12,2,0)</f>
        <v>Fixed</v>
      </c>
      <c r="H365" s="5" t="str">
        <f>IFERROR(VLOOKUP(E365,Sheet2!$G$3:$H$8,2,0),"unkwon")</f>
        <v>online</v>
      </c>
      <c r="I365" s="5">
        <f>VLOOKUP(B365,Sheet2!$J$4:$K$15,2,0)</f>
        <v>11</v>
      </c>
      <c r="J365" s="5">
        <f>IFERROR(VLOOKUP(C365,Sheet2!$M$4:$N$12,2,0),0)</f>
        <v>3000</v>
      </c>
      <c r="K365" s="5" t="str">
        <f t="shared" si="5"/>
        <v>over budget</v>
      </c>
    </row>
    <row r="366" spans="1:11" x14ac:dyDescent="0.3">
      <c r="A366" s="6">
        <v>45260</v>
      </c>
      <c r="B366" s="5" t="s">
        <v>40</v>
      </c>
      <c r="C366" s="5" t="s">
        <v>7</v>
      </c>
      <c r="D366" s="5" t="s">
        <v>26</v>
      </c>
      <c r="E366" s="5" t="s">
        <v>32</v>
      </c>
      <c r="F366" s="5">
        <v>3063</v>
      </c>
      <c r="G366" s="5" t="str">
        <f>VLOOKUP(C366,Sheet2!$C$3:$D$12,2,0)</f>
        <v>Fixed</v>
      </c>
      <c r="H366" s="5" t="str">
        <f>IFERROR(VLOOKUP(E366,Sheet2!$G$3:$H$8,2,0),"unkwon")</f>
        <v>offline</v>
      </c>
      <c r="I366" s="5">
        <f>VLOOKUP(B366,Sheet2!$J$4:$K$15,2,0)</f>
        <v>11</v>
      </c>
      <c r="J366" s="5">
        <f>IFERROR(VLOOKUP(C366,Sheet2!$M$4:$N$12,2,0),0)</f>
        <v>2000</v>
      </c>
      <c r="K366" s="5" t="str">
        <f t="shared" si="5"/>
        <v>over budget</v>
      </c>
    </row>
    <row r="367" spans="1:11" x14ac:dyDescent="0.3">
      <c r="A367" s="6">
        <v>45411</v>
      </c>
      <c r="B367" s="5" t="s">
        <v>29</v>
      </c>
      <c r="C367" s="5" t="s">
        <v>30</v>
      </c>
      <c r="D367" s="5" t="s">
        <v>14</v>
      </c>
      <c r="E367" s="5" t="s">
        <v>12</v>
      </c>
      <c r="F367" s="5">
        <v>717</v>
      </c>
      <c r="G367" s="5" t="str">
        <f>VLOOKUP(C367,Sheet2!$C$3:$D$12,2,0)</f>
        <v>Fixed</v>
      </c>
      <c r="H367" s="5" t="str">
        <f>IFERROR(VLOOKUP(E367,Sheet2!$G$3:$H$8,2,0),"unkwon")</f>
        <v>online</v>
      </c>
      <c r="I367" s="5">
        <f>VLOOKUP(B367,Sheet2!$J$4:$K$15,2,0)</f>
        <v>4</v>
      </c>
      <c r="J367" s="5">
        <f>IFERROR(VLOOKUP(C367,Sheet2!$M$4:$N$12,2,0),0)</f>
        <v>3000</v>
      </c>
      <c r="K367" s="5" t="str">
        <f t="shared" si="5"/>
        <v>within budget</v>
      </c>
    </row>
    <row r="368" spans="1:11" x14ac:dyDescent="0.3">
      <c r="A368" s="6">
        <v>45273</v>
      </c>
      <c r="B368" s="5" t="s">
        <v>16</v>
      </c>
      <c r="C368" s="5" t="s">
        <v>41</v>
      </c>
      <c r="D368" s="5" t="s">
        <v>31</v>
      </c>
      <c r="E368" s="5" t="s">
        <v>17</v>
      </c>
      <c r="F368" s="5">
        <v>1026</v>
      </c>
      <c r="G368" s="5" t="str">
        <f>VLOOKUP(C368,Sheet2!$C$3:$D$12,2,0)</f>
        <v>Variable</v>
      </c>
      <c r="H368" s="5" t="str">
        <f>IFERROR(VLOOKUP(E368,Sheet2!$G$3:$H$8,2,0),"unkwon")</f>
        <v>online</v>
      </c>
      <c r="I368" s="5">
        <f>VLOOKUP(B368,Sheet2!$J$4:$K$15,2,0)</f>
        <v>12</v>
      </c>
      <c r="J368" s="5">
        <f>IFERROR(VLOOKUP(C368,Sheet2!$M$4:$N$12,2,0),0)</f>
        <v>7000</v>
      </c>
      <c r="K368" s="5" t="str">
        <f t="shared" si="5"/>
        <v>within budget</v>
      </c>
    </row>
    <row r="369" spans="1:11" x14ac:dyDescent="0.3">
      <c r="A369" s="6">
        <v>45283</v>
      </c>
      <c r="B369" s="5" t="s">
        <v>16</v>
      </c>
      <c r="C369" s="5" t="s">
        <v>36</v>
      </c>
      <c r="D369" s="5" t="s">
        <v>26</v>
      </c>
      <c r="E369" s="5" t="s">
        <v>32</v>
      </c>
      <c r="F369" s="5">
        <v>2632</v>
      </c>
      <c r="G369" s="5" t="str">
        <f>VLOOKUP(C369,Sheet2!$C$3:$D$12,2,0)</f>
        <v>Variable</v>
      </c>
      <c r="H369" s="5" t="str">
        <f>IFERROR(VLOOKUP(E369,Sheet2!$G$3:$H$8,2,0),"unkwon")</f>
        <v>offline</v>
      </c>
      <c r="I369" s="5">
        <f>VLOOKUP(B369,Sheet2!$J$4:$K$15,2,0)</f>
        <v>12</v>
      </c>
      <c r="J369" s="5">
        <f>IFERROR(VLOOKUP(C369,Sheet2!$M$4:$N$12,2,0),0)</f>
        <v>10000</v>
      </c>
      <c r="K369" s="5" t="str">
        <f t="shared" si="5"/>
        <v>within budget</v>
      </c>
    </row>
    <row r="370" spans="1:11" x14ac:dyDescent="0.3">
      <c r="A370" s="6">
        <v>45517</v>
      </c>
      <c r="B370" s="5" t="s">
        <v>25</v>
      </c>
      <c r="C370" s="5" t="s">
        <v>35</v>
      </c>
      <c r="D370" s="5" t="s">
        <v>11</v>
      </c>
      <c r="E370" s="5" t="s">
        <v>9</v>
      </c>
      <c r="F370" s="5">
        <v>2129</v>
      </c>
      <c r="G370" s="5" t="str">
        <f>VLOOKUP(C370,Sheet2!$C$3:$D$12,2,0)</f>
        <v>Fixed</v>
      </c>
      <c r="H370" s="5" t="str">
        <f>IFERROR(VLOOKUP(E370,Sheet2!$G$3:$H$8,2,0),"unkwon")</f>
        <v>online</v>
      </c>
      <c r="I370" s="5">
        <f>VLOOKUP(B370,Sheet2!$J$4:$K$15,2,0)</f>
        <v>8</v>
      </c>
      <c r="J370" s="5">
        <f>IFERROR(VLOOKUP(C370,Sheet2!$M$4:$N$12,2,0),0)</f>
        <v>5500</v>
      </c>
      <c r="K370" s="5" t="str">
        <f t="shared" si="5"/>
        <v>within budget</v>
      </c>
    </row>
    <row r="371" spans="1:11" x14ac:dyDescent="0.3">
      <c r="A371" s="6">
        <v>45652</v>
      </c>
      <c r="B371" s="5" t="s">
        <v>16</v>
      </c>
      <c r="C371" s="5" t="s">
        <v>13</v>
      </c>
      <c r="D371" s="5" t="s">
        <v>11</v>
      </c>
      <c r="E371" s="5" t="s">
        <v>15</v>
      </c>
      <c r="F371" s="5">
        <v>4013</v>
      </c>
      <c r="G371" s="5" t="str">
        <f>VLOOKUP(C371,Sheet2!$C$3:$D$12,2,0)</f>
        <v>Variable</v>
      </c>
      <c r="H371" s="5" t="str">
        <f>IFERROR(VLOOKUP(E371,Sheet2!$G$3:$H$8,2,0),"unkwon")</f>
        <v>online</v>
      </c>
      <c r="I371" s="5">
        <f>VLOOKUP(B371,Sheet2!$J$4:$K$15,2,0)</f>
        <v>12</v>
      </c>
      <c r="J371" s="5">
        <f>IFERROR(VLOOKUP(C371,Sheet2!$M$4:$N$12,2,0),0)</f>
        <v>5000</v>
      </c>
      <c r="K371" s="5" t="str">
        <f t="shared" si="5"/>
        <v>within budget</v>
      </c>
    </row>
    <row r="372" spans="1:11" x14ac:dyDescent="0.3">
      <c r="A372" s="6">
        <v>45126</v>
      </c>
      <c r="B372" s="5" t="s">
        <v>21</v>
      </c>
      <c r="C372" s="5" t="s">
        <v>35</v>
      </c>
      <c r="D372" s="5" t="s">
        <v>20</v>
      </c>
      <c r="E372" s="5" t="s">
        <v>17</v>
      </c>
      <c r="F372" s="5">
        <v>2265</v>
      </c>
      <c r="G372" s="5" t="str">
        <f>VLOOKUP(C372,Sheet2!$C$3:$D$12,2,0)</f>
        <v>Fixed</v>
      </c>
      <c r="H372" s="5" t="str">
        <f>IFERROR(VLOOKUP(E372,Sheet2!$G$3:$H$8,2,0),"unkwon")</f>
        <v>online</v>
      </c>
      <c r="I372" s="5">
        <f>VLOOKUP(B372,Sheet2!$J$4:$K$15,2,0)</f>
        <v>7</v>
      </c>
      <c r="J372" s="5">
        <f>IFERROR(VLOOKUP(C372,Sheet2!$M$4:$N$12,2,0),0)</f>
        <v>5500</v>
      </c>
      <c r="K372" s="5" t="str">
        <f t="shared" si="5"/>
        <v>within budget</v>
      </c>
    </row>
    <row r="373" spans="1:11" x14ac:dyDescent="0.3">
      <c r="A373" s="6">
        <v>45007</v>
      </c>
      <c r="B373" s="5" t="s">
        <v>19</v>
      </c>
      <c r="C373" s="5" t="s">
        <v>35</v>
      </c>
      <c r="D373" s="5" t="s">
        <v>11</v>
      </c>
      <c r="E373" s="5" t="s">
        <v>32</v>
      </c>
      <c r="F373" s="5">
        <v>261</v>
      </c>
      <c r="G373" s="5" t="str">
        <f>VLOOKUP(C373,Sheet2!$C$3:$D$12,2,0)</f>
        <v>Fixed</v>
      </c>
      <c r="H373" s="5" t="str">
        <f>IFERROR(VLOOKUP(E373,Sheet2!$G$3:$H$8,2,0),"unkwon")</f>
        <v>offline</v>
      </c>
      <c r="I373" s="5">
        <f>VLOOKUP(B373,Sheet2!$J$4:$K$15,2,0)</f>
        <v>3</v>
      </c>
      <c r="J373" s="5">
        <f>IFERROR(VLOOKUP(C373,Sheet2!$M$4:$N$12,2,0),0)</f>
        <v>5500</v>
      </c>
      <c r="K373" s="5" t="str">
        <f t="shared" si="5"/>
        <v>within budget</v>
      </c>
    </row>
    <row r="374" spans="1:11" x14ac:dyDescent="0.3">
      <c r="A374" s="6">
        <v>44967</v>
      </c>
      <c r="B374" s="5" t="s">
        <v>33</v>
      </c>
      <c r="C374" s="5" t="s">
        <v>10</v>
      </c>
      <c r="D374" s="5" t="s">
        <v>18</v>
      </c>
      <c r="E374" s="5" t="s">
        <v>17</v>
      </c>
      <c r="F374" s="5">
        <v>3449</v>
      </c>
      <c r="G374" s="5" t="str">
        <f>VLOOKUP(C374,Sheet2!$C$3:$D$12,2,0)</f>
        <v>Variable</v>
      </c>
      <c r="H374" s="5" t="str">
        <f>IFERROR(VLOOKUP(E374,Sheet2!$G$3:$H$8,2,0),"unkwon")</f>
        <v>online</v>
      </c>
      <c r="I374" s="5">
        <f>VLOOKUP(B374,Sheet2!$J$4:$K$15,2,0)</f>
        <v>2</v>
      </c>
      <c r="J374" s="5">
        <f>IFERROR(VLOOKUP(C374,Sheet2!$M$4:$N$12,2,0),0)</f>
        <v>5000</v>
      </c>
      <c r="K374" s="5" t="str">
        <f t="shared" si="5"/>
        <v>within budget</v>
      </c>
    </row>
    <row r="375" spans="1:11" x14ac:dyDescent="0.3">
      <c r="A375" s="6">
        <v>45629</v>
      </c>
      <c r="B375" s="5" t="s">
        <v>16</v>
      </c>
      <c r="C375" s="5" t="s">
        <v>41</v>
      </c>
      <c r="D375" s="5" t="s">
        <v>8</v>
      </c>
      <c r="E375" s="5" t="s">
        <v>15</v>
      </c>
      <c r="F375" s="5">
        <v>2967</v>
      </c>
      <c r="G375" s="5" t="str">
        <f>VLOOKUP(C375,Sheet2!$C$3:$D$12,2,0)</f>
        <v>Variable</v>
      </c>
      <c r="H375" s="5" t="str">
        <f>IFERROR(VLOOKUP(E375,Sheet2!$G$3:$H$8,2,0),"unkwon")</f>
        <v>online</v>
      </c>
      <c r="I375" s="5">
        <f>VLOOKUP(B375,Sheet2!$J$4:$K$15,2,0)</f>
        <v>12</v>
      </c>
      <c r="J375" s="5">
        <f>IFERROR(VLOOKUP(C375,Sheet2!$M$4:$N$12,2,0),0)</f>
        <v>7000</v>
      </c>
      <c r="K375" s="5" t="str">
        <f t="shared" si="5"/>
        <v>within budget</v>
      </c>
    </row>
    <row r="376" spans="1:11" x14ac:dyDescent="0.3">
      <c r="A376" s="6">
        <v>45464</v>
      </c>
      <c r="B376" s="5" t="s">
        <v>39</v>
      </c>
      <c r="C376" s="5" t="s">
        <v>27</v>
      </c>
      <c r="D376" s="5" t="s">
        <v>34</v>
      </c>
      <c r="E376" s="5" t="s">
        <v>32</v>
      </c>
      <c r="F376" s="5">
        <v>3401</v>
      </c>
      <c r="G376" s="5" t="str">
        <f>VLOOKUP(C376,Sheet2!$C$3:$D$12,2,0)</f>
        <v>Variable</v>
      </c>
      <c r="H376" s="5" t="str">
        <f>IFERROR(VLOOKUP(E376,Sheet2!$G$3:$H$8,2,0),"unkwon")</f>
        <v>offline</v>
      </c>
      <c r="I376" s="5">
        <f>VLOOKUP(B376,Sheet2!$J$4:$K$15,2,0)</f>
        <v>6</v>
      </c>
      <c r="J376" s="5">
        <f>IFERROR(VLOOKUP(C376,Sheet2!$M$4:$N$12,2,0),0)</f>
        <v>4000</v>
      </c>
      <c r="K376" s="5" t="str">
        <f t="shared" si="5"/>
        <v>within budget</v>
      </c>
    </row>
    <row r="377" spans="1:11" x14ac:dyDescent="0.3">
      <c r="A377" s="6">
        <v>45314</v>
      </c>
      <c r="B377" s="5" t="s">
        <v>37</v>
      </c>
      <c r="C377" s="5" t="s">
        <v>10</v>
      </c>
      <c r="D377" s="5" t="s">
        <v>24</v>
      </c>
      <c r="E377" s="5" t="s">
        <v>15</v>
      </c>
      <c r="F377" s="5">
        <v>1947</v>
      </c>
      <c r="G377" s="5" t="str">
        <f>VLOOKUP(C377,Sheet2!$C$3:$D$12,2,0)</f>
        <v>Variable</v>
      </c>
      <c r="H377" s="5" t="str">
        <f>IFERROR(VLOOKUP(E377,Sheet2!$G$3:$H$8,2,0),"unkwon")</f>
        <v>online</v>
      </c>
      <c r="I377" s="5">
        <f>VLOOKUP(B377,Sheet2!$J$4:$K$15,2,0)</f>
        <v>1</v>
      </c>
      <c r="J377" s="5">
        <f>IFERROR(VLOOKUP(C377,Sheet2!$M$4:$N$12,2,0),0)</f>
        <v>5000</v>
      </c>
      <c r="K377" s="5" t="str">
        <f t="shared" si="5"/>
        <v>within budget</v>
      </c>
    </row>
    <row r="378" spans="1:11" x14ac:dyDescent="0.3">
      <c r="A378" s="6">
        <v>45650</v>
      </c>
      <c r="B378" s="5" t="s">
        <v>16</v>
      </c>
      <c r="C378" s="5" t="s">
        <v>10</v>
      </c>
      <c r="D378" s="5" t="s">
        <v>34</v>
      </c>
      <c r="E378" s="5" t="s">
        <v>12</v>
      </c>
      <c r="F378" s="5">
        <v>2506</v>
      </c>
      <c r="G378" s="5" t="str">
        <f>VLOOKUP(C378,Sheet2!$C$3:$D$12,2,0)</f>
        <v>Variable</v>
      </c>
      <c r="H378" s="5" t="str">
        <f>IFERROR(VLOOKUP(E378,Sheet2!$G$3:$H$8,2,0),"unkwon")</f>
        <v>online</v>
      </c>
      <c r="I378" s="5">
        <f>VLOOKUP(B378,Sheet2!$J$4:$K$15,2,0)</f>
        <v>12</v>
      </c>
      <c r="J378" s="5">
        <f>IFERROR(VLOOKUP(C378,Sheet2!$M$4:$N$12,2,0),0)</f>
        <v>5000</v>
      </c>
      <c r="K378" s="5" t="str">
        <f t="shared" si="5"/>
        <v>within budget</v>
      </c>
    </row>
    <row r="379" spans="1:11" x14ac:dyDescent="0.3">
      <c r="A379" s="6">
        <v>45513</v>
      </c>
      <c r="B379" s="5" t="s">
        <v>25</v>
      </c>
      <c r="C379" s="5" t="s">
        <v>30</v>
      </c>
      <c r="D379" s="5" t="s">
        <v>8</v>
      </c>
      <c r="E379" s="5" t="s">
        <v>9</v>
      </c>
      <c r="F379" s="5">
        <v>3219</v>
      </c>
      <c r="G379" s="5" t="str">
        <f>VLOOKUP(C379,Sheet2!$C$3:$D$12,2,0)</f>
        <v>Fixed</v>
      </c>
      <c r="H379" s="5" t="str">
        <f>IFERROR(VLOOKUP(E379,Sheet2!$G$3:$H$8,2,0),"unkwon")</f>
        <v>online</v>
      </c>
      <c r="I379" s="5">
        <f>VLOOKUP(B379,Sheet2!$J$4:$K$15,2,0)</f>
        <v>8</v>
      </c>
      <c r="J379" s="5">
        <f>IFERROR(VLOOKUP(C379,Sheet2!$M$4:$N$12,2,0),0)</f>
        <v>3000</v>
      </c>
      <c r="K379" s="5" t="str">
        <f t="shared" si="5"/>
        <v>over budget</v>
      </c>
    </row>
    <row r="380" spans="1:11" x14ac:dyDescent="0.3">
      <c r="A380" s="6">
        <v>45346</v>
      </c>
      <c r="B380" s="5" t="s">
        <v>33</v>
      </c>
      <c r="C380" s="5" t="s">
        <v>13</v>
      </c>
      <c r="D380" s="5" t="s">
        <v>11</v>
      </c>
      <c r="E380" s="5" t="s">
        <v>9</v>
      </c>
      <c r="F380" s="5">
        <v>4693</v>
      </c>
      <c r="G380" s="5" t="str">
        <f>VLOOKUP(C380,Sheet2!$C$3:$D$12,2,0)</f>
        <v>Variable</v>
      </c>
      <c r="H380" s="5" t="str">
        <f>IFERROR(VLOOKUP(E380,Sheet2!$G$3:$H$8,2,0),"unkwon")</f>
        <v>online</v>
      </c>
      <c r="I380" s="5">
        <f>VLOOKUP(B380,Sheet2!$J$4:$K$15,2,0)</f>
        <v>2</v>
      </c>
      <c r="J380" s="5">
        <f>IFERROR(VLOOKUP(C380,Sheet2!$M$4:$N$12,2,0),0)</f>
        <v>5000</v>
      </c>
      <c r="K380" s="5" t="str">
        <f t="shared" si="5"/>
        <v>within budget</v>
      </c>
    </row>
    <row r="381" spans="1:11" x14ac:dyDescent="0.3">
      <c r="A381" s="6">
        <v>45292</v>
      </c>
      <c r="B381" s="5" t="s">
        <v>37</v>
      </c>
      <c r="C381" s="5" t="s">
        <v>36</v>
      </c>
      <c r="D381" s="5" t="s">
        <v>26</v>
      </c>
      <c r="E381" s="5" t="s">
        <v>9</v>
      </c>
      <c r="F381" s="5">
        <v>1196</v>
      </c>
      <c r="G381" s="5" t="str">
        <f>VLOOKUP(C381,Sheet2!$C$3:$D$12,2,0)</f>
        <v>Variable</v>
      </c>
      <c r="H381" s="5" t="str">
        <f>IFERROR(VLOOKUP(E381,Sheet2!$G$3:$H$8,2,0),"unkwon")</f>
        <v>online</v>
      </c>
      <c r="I381" s="5">
        <f>VLOOKUP(B381,Sheet2!$J$4:$K$15,2,0)</f>
        <v>1</v>
      </c>
      <c r="J381" s="5">
        <f>IFERROR(VLOOKUP(C381,Sheet2!$M$4:$N$12,2,0),0)</f>
        <v>10000</v>
      </c>
      <c r="K381" s="5" t="str">
        <f t="shared" si="5"/>
        <v>within budget</v>
      </c>
    </row>
    <row r="382" spans="1:11" x14ac:dyDescent="0.3">
      <c r="A382" s="6">
        <v>45597</v>
      </c>
      <c r="B382" s="5" t="s">
        <v>40</v>
      </c>
      <c r="C382" s="5" t="s">
        <v>13</v>
      </c>
      <c r="D382" s="5" t="s">
        <v>24</v>
      </c>
      <c r="E382" s="5" t="s">
        <v>17</v>
      </c>
      <c r="F382" s="5">
        <v>495</v>
      </c>
      <c r="G382" s="5" t="str">
        <f>VLOOKUP(C382,Sheet2!$C$3:$D$12,2,0)</f>
        <v>Variable</v>
      </c>
      <c r="H382" s="5" t="str">
        <f>IFERROR(VLOOKUP(E382,Sheet2!$G$3:$H$8,2,0),"unkwon")</f>
        <v>online</v>
      </c>
      <c r="I382" s="5">
        <f>VLOOKUP(B382,Sheet2!$J$4:$K$15,2,0)</f>
        <v>11</v>
      </c>
      <c r="J382" s="5">
        <f>IFERROR(VLOOKUP(C382,Sheet2!$M$4:$N$12,2,0),0)</f>
        <v>5000</v>
      </c>
      <c r="K382" s="5" t="str">
        <f t="shared" si="5"/>
        <v>within budget</v>
      </c>
    </row>
    <row r="383" spans="1:11" x14ac:dyDescent="0.3">
      <c r="A383" s="6">
        <v>45104</v>
      </c>
      <c r="B383" s="5" t="s">
        <v>39</v>
      </c>
      <c r="C383" s="5" t="s">
        <v>10</v>
      </c>
      <c r="D383" s="5" t="s">
        <v>8</v>
      </c>
      <c r="E383" s="5" t="s">
        <v>12</v>
      </c>
      <c r="F383" s="5">
        <v>3603</v>
      </c>
      <c r="G383" s="5" t="str">
        <f>VLOOKUP(C383,Sheet2!$C$3:$D$12,2,0)</f>
        <v>Variable</v>
      </c>
      <c r="H383" s="5" t="str">
        <f>IFERROR(VLOOKUP(E383,Sheet2!$G$3:$H$8,2,0),"unkwon")</f>
        <v>online</v>
      </c>
      <c r="I383" s="5">
        <f>VLOOKUP(B383,Sheet2!$J$4:$K$15,2,0)</f>
        <v>6</v>
      </c>
      <c r="J383" s="5">
        <f>IFERROR(VLOOKUP(C383,Sheet2!$M$4:$N$12,2,0),0)</f>
        <v>5000</v>
      </c>
      <c r="K383" s="5" t="str">
        <f t="shared" si="5"/>
        <v>within budget</v>
      </c>
    </row>
    <row r="384" spans="1:11" x14ac:dyDescent="0.3">
      <c r="A384" s="6">
        <v>45400</v>
      </c>
      <c r="B384" s="5" t="s">
        <v>29</v>
      </c>
      <c r="C384" s="5" t="s">
        <v>10</v>
      </c>
      <c r="D384" s="5" t="s">
        <v>24</v>
      </c>
      <c r="E384" s="5" t="s">
        <v>17</v>
      </c>
      <c r="F384" s="5">
        <v>262</v>
      </c>
      <c r="G384" s="5" t="str">
        <f>VLOOKUP(C384,Sheet2!$C$3:$D$12,2,0)</f>
        <v>Variable</v>
      </c>
      <c r="H384" s="5" t="str">
        <f>IFERROR(VLOOKUP(E384,Sheet2!$G$3:$H$8,2,0),"unkwon")</f>
        <v>online</v>
      </c>
      <c r="I384" s="5">
        <f>VLOOKUP(B384,Sheet2!$J$4:$K$15,2,0)</f>
        <v>4</v>
      </c>
      <c r="J384" s="5">
        <f>IFERROR(VLOOKUP(C384,Sheet2!$M$4:$N$12,2,0),0)</f>
        <v>5000</v>
      </c>
      <c r="K384" s="5" t="str">
        <f t="shared" si="5"/>
        <v>within budget</v>
      </c>
    </row>
    <row r="385" spans="1:11" x14ac:dyDescent="0.3">
      <c r="A385" s="6">
        <v>45308</v>
      </c>
      <c r="B385" s="5" t="s">
        <v>37</v>
      </c>
      <c r="C385" s="5" t="s">
        <v>10</v>
      </c>
      <c r="D385" s="5" t="s">
        <v>18</v>
      </c>
      <c r="E385" s="5" t="s">
        <v>12</v>
      </c>
      <c r="F385" s="5">
        <v>1767</v>
      </c>
      <c r="G385" s="5" t="str">
        <f>VLOOKUP(C385,Sheet2!$C$3:$D$12,2,0)</f>
        <v>Variable</v>
      </c>
      <c r="H385" s="5" t="str">
        <f>IFERROR(VLOOKUP(E385,Sheet2!$G$3:$H$8,2,0),"unkwon")</f>
        <v>online</v>
      </c>
      <c r="I385" s="5">
        <f>VLOOKUP(B385,Sheet2!$J$4:$K$15,2,0)</f>
        <v>1</v>
      </c>
      <c r="J385" s="5">
        <f>IFERROR(VLOOKUP(C385,Sheet2!$M$4:$N$12,2,0),0)</f>
        <v>5000</v>
      </c>
      <c r="K385" s="5" t="str">
        <f t="shared" si="5"/>
        <v>within budget</v>
      </c>
    </row>
    <row r="386" spans="1:11" x14ac:dyDescent="0.3">
      <c r="A386" s="6">
        <v>45309</v>
      </c>
      <c r="B386" s="5" t="s">
        <v>37</v>
      </c>
      <c r="C386" s="5" t="s">
        <v>13</v>
      </c>
      <c r="D386" s="5" t="s">
        <v>11</v>
      </c>
      <c r="E386" s="5" t="s">
        <v>32</v>
      </c>
      <c r="F386" s="5">
        <v>2430</v>
      </c>
      <c r="G386" s="5" t="str">
        <f>VLOOKUP(C386,Sheet2!$C$3:$D$12,2,0)</f>
        <v>Variable</v>
      </c>
      <c r="H386" s="5" t="str">
        <f>IFERROR(VLOOKUP(E386,Sheet2!$G$3:$H$8,2,0),"unkwon")</f>
        <v>offline</v>
      </c>
      <c r="I386" s="5">
        <f>VLOOKUP(B386,Sheet2!$J$4:$K$15,2,0)</f>
        <v>1</v>
      </c>
      <c r="J386" s="5">
        <f>IFERROR(VLOOKUP(C386,Sheet2!$M$4:$N$12,2,0),0)</f>
        <v>5000</v>
      </c>
      <c r="K386" s="5" t="str">
        <f t="shared" si="5"/>
        <v>within budget</v>
      </c>
    </row>
    <row r="387" spans="1:11" x14ac:dyDescent="0.3">
      <c r="A387" s="6">
        <v>45142</v>
      </c>
      <c r="B387" s="5" t="s">
        <v>25</v>
      </c>
      <c r="C387" s="5" t="s">
        <v>22</v>
      </c>
      <c r="D387" s="5" t="s">
        <v>34</v>
      </c>
      <c r="E387" s="5" t="s">
        <v>15</v>
      </c>
      <c r="F387" s="5">
        <v>4858</v>
      </c>
      <c r="G387" s="5" t="str">
        <f>VLOOKUP(C387,Sheet2!$C$3:$D$12,2,0)</f>
        <v>Variable</v>
      </c>
      <c r="H387" s="5" t="str">
        <f>IFERROR(VLOOKUP(E387,Sheet2!$G$3:$H$8,2,0),"unkwon")</f>
        <v>online</v>
      </c>
      <c r="I387" s="5">
        <f>VLOOKUP(B387,Sheet2!$J$4:$K$15,2,0)</f>
        <v>8</v>
      </c>
      <c r="J387" s="5">
        <f>IFERROR(VLOOKUP(C387,Sheet2!$M$4:$N$12,2,0),0)</f>
        <v>1000</v>
      </c>
      <c r="K387" s="5" t="str">
        <f t="shared" ref="K387:K450" si="6">IF(F387&gt;J387,"over budget","within budget")</f>
        <v>over budget</v>
      </c>
    </row>
    <row r="388" spans="1:11" x14ac:dyDescent="0.3">
      <c r="A388" s="6">
        <v>45461</v>
      </c>
      <c r="B388" s="5" t="s">
        <v>39</v>
      </c>
      <c r="C388" s="5" t="s">
        <v>27</v>
      </c>
      <c r="D388" s="5" t="s">
        <v>24</v>
      </c>
      <c r="E388" s="5" t="s">
        <v>9</v>
      </c>
      <c r="F388" s="5">
        <v>1713</v>
      </c>
      <c r="G388" s="5" t="str">
        <f>VLOOKUP(C388,Sheet2!$C$3:$D$12,2,0)</f>
        <v>Variable</v>
      </c>
      <c r="H388" s="5" t="str">
        <f>IFERROR(VLOOKUP(E388,Sheet2!$G$3:$H$8,2,0),"unkwon")</f>
        <v>online</v>
      </c>
      <c r="I388" s="5">
        <f>VLOOKUP(B388,Sheet2!$J$4:$K$15,2,0)</f>
        <v>6</v>
      </c>
      <c r="J388" s="5">
        <f>IFERROR(VLOOKUP(C388,Sheet2!$M$4:$N$12,2,0),0)</f>
        <v>4000</v>
      </c>
      <c r="K388" s="5" t="str">
        <f t="shared" si="6"/>
        <v>within budget</v>
      </c>
    </row>
    <row r="389" spans="1:11" x14ac:dyDescent="0.3">
      <c r="A389" s="6">
        <v>45339</v>
      </c>
      <c r="B389" s="5" t="s">
        <v>33</v>
      </c>
      <c r="C389" s="5" t="s">
        <v>10</v>
      </c>
      <c r="D389" s="5" t="s">
        <v>11</v>
      </c>
      <c r="E389" s="5" t="s">
        <v>32</v>
      </c>
      <c r="F389" s="5">
        <v>2323</v>
      </c>
      <c r="G389" s="5" t="str">
        <f>VLOOKUP(C389,Sheet2!$C$3:$D$12,2,0)</f>
        <v>Variable</v>
      </c>
      <c r="H389" s="5" t="str">
        <f>IFERROR(VLOOKUP(E389,Sheet2!$G$3:$H$8,2,0),"unkwon")</f>
        <v>offline</v>
      </c>
      <c r="I389" s="5">
        <f>VLOOKUP(B389,Sheet2!$J$4:$K$15,2,0)</f>
        <v>2</v>
      </c>
      <c r="J389" s="5">
        <f>IFERROR(VLOOKUP(C389,Sheet2!$M$4:$N$12,2,0),0)</f>
        <v>5000</v>
      </c>
      <c r="K389" s="5" t="str">
        <f t="shared" si="6"/>
        <v>within budget</v>
      </c>
    </row>
    <row r="390" spans="1:11" x14ac:dyDescent="0.3">
      <c r="A390" s="6">
        <v>45364</v>
      </c>
      <c r="B390" s="5" t="s">
        <v>19</v>
      </c>
      <c r="C390" s="5" t="s">
        <v>30</v>
      </c>
      <c r="D390" s="5" t="s">
        <v>34</v>
      </c>
      <c r="E390" s="5" t="s">
        <v>32</v>
      </c>
      <c r="F390" s="5">
        <v>3743</v>
      </c>
      <c r="G390" s="5" t="str">
        <f>VLOOKUP(C390,Sheet2!$C$3:$D$12,2,0)</f>
        <v>Fixed</v>
      </c>
      <c r="H390" s="5" t="str">
        <f>IFERROR(VLOOKUP(E390,Sheet2!$G$3:$H$8,2,0),"unkwon")</f>
        <v>offline</v>
      </c>
      <c r="I390" s="5">
        <f>VLOOKUP(B390,Sheet2!$J$4:$K$15,2,0)</f>
        <v>3</v>
      </c>
      <c r="J390" s="5">
        <f>IFERROR(VLOOKUP(C390,Sheet2!$M$4:$N$12,2,0),0)</f>
        <v>3000</v>
      </c>
      <c r="K390" s="5" t="str">
        <f t="shared" si="6"/>
        <v>over budget</v>
      </c>
    </row>
    <row r="391" spans="1:11" x14ac:dyDescent="0.3">
      <c r="A391" s="6">
        <v>45206</v>
      </c>
      <c r="B391" s="5" t="s">
        <v>6</v>
      </c>
      <c r="C391" s="5" t="s">
        <v>36</v>
      </c>
      <c r="D391" s="5" t="s">
        <v>23</v>
      </c>
      <c r="E391" s="5" t="s">
        <v>9</v>
      </c>
      <c r="F391" s="5">
        <v>1603</v>
      </c>
      <c r="G391" s="5" t="str">
        <f>VLOOKUP(C391,Sheet2!$C$3:$D$12,2,0)</f>
        <v>Variable</v>
      </c>
      <c r="H391" s="5" t="str">
        <f>IFERROR(VLOOKUP(E391,Sheet2!$G$3:$H$8,2,0),"unkwon")</f>
        <v>online</v>
      </c>
      <c r="I391" s="5">
        <f>VLOOKUP(B391,Sheet2!$J$4:$K$15,2,0)</f>
        <v>10</v>
      </c>
      <c r="J391" s="5">
        <f>IFERROR(VLOOKUP(C391,Sheet2!$M$4:$N$12,2,0),0)</f>
        <v>10000</v>
      </c>
      <c r="K391" s="5" t="str">
        <f t="shared" si="6"/>
        <v>within budget</v>
      </c>
    </row>
    <row r="392" spans="1:11" x14ac:dyDescent="0.3">
      <c r="A392" s="6">
        <v>45096</v>
      </c>
      <c r="B392" s="5" t="s">
        <v>39</v>
      </c>
      <c r="C392" s="5" t="s">
        <v>27</v>
      </c>
      <c r="D392" s="5" t="s">
        <v>18</v>
      </c>
      <c r="E392" s="5" t="s">
        <v>9</v>
      </c>
      <c r="F392" s="5">
        <v>3456</v>
      </c>
      <c r="G392" s="5" t="str">
        <f>VLOOKUP(C392,Sheet2!$C$3:$D$12,2,0)</f>
        <v>Variable</v>
      </c>
      <c r="H392" s="5" t="str">
        <f>IFERROR(VLOOKUP(E392,Sheet2!$G$3:$H$8,2,0),"unkwon")</f>
        <v>online</v>
      </c>
      <c r="I392" s="5">
        <f>VLOOKUP(B392,Sheet2!$J$4:$K$15,2,0)</f>
        <v>6</v>
      </c>
      <c r="J392" s="5">
        <f>IFERROR(VLOOKUP(C392,Sheet2!$M$4:$N$12,2,0),0)</f>
        <v>4000</v>
      </c>
      <c r="K392" s="5" t="str">
        <f t="shared" si="6"/>
        <v>within budget</v>
      </c>
    </row>
    <row r="393" spans="1:11" x14ac:dyDescent="0.3">
      <c r="A393" s="6">
        <v>45032</v>
      </c>
      <c r="B393" s="5" t="s">
        <v>29</v>
      </c>
      <c r="C393" s="5" t="s">
        <v>35</v>
      </c>
      <c r="D393" s="5" t="s">
        <v>23</v>
      </c>
      <c r="E393" s="5" t="s">
        <v>15</v>
      </c>
      <c r="F393" s="5">
        <v>4918</v>
      </c>
      <c r="G393" s="5" t="str">
        <f>VLOOKUP(C393,Sheet2!$C$3:$D$12,2,0)</f>
        <v>Fixed</v>
      </c>
      <c r="H393" s="5" t="str">
        <f>IFERROR(VLOOKUP(E393,Sheet2!$G$3:$H$8,2,0),"unkwon")</f>
        <v>online</v>
      </c>
      <c r="I393" s="5">
        <f>VLOOKUP(B393,Sheet2!$J$4:$K$15,2,0)</f>
        <v>4</v>
      </c>
      <c r="J393" s="5">
        <f>IFERROR(VLOOKUP(C393,Sheet2!$M$4:$N$12,2,0),0)</f>
        <v>5500</v>
      </c>
      <c r="K393" s="5" t="str">
        <f t="shared" si="6"/>
        <v>within budget</v>
      </c>
    </row>
    <row r="394" spans="1:11" x14ac:dyDescent="0.3">
      <c r="A394" s="6">
        <v>45200</v>
      </c>
      <c r="B394" s="5" t="s">
        <v>6</v>
      </c>
      <c r="C394" s="5" t="s">
        <v>30</v>
      </c>
      <c r="D394" s="5" t="s">
        <v>23</v>
      </c>
      <c r="E394" s="5" t="s">
        <v>12</v>
      </c>
      <c r="F394" s="5">
        <v>2494</v>
      </c>
      <c r="G394" s="5" t="str">
        <f>VLOOKUP(C394,Sheet2!$C$3:$D$12,2,0)</f>
        <v>Fixed</v>
      </c>
      <c r="H394" s="5" t="str">
        <f>IFERROR(VLOOKUP(E394,Sheet2!$G$3:$H$8,2,0),"unkwon")</f>
        <v>online</v>
      </c>
      <c r="I394" s="5">
        <f>VLOOKUP(B394,Sheet2!$J$4:$K$15,2,0)</f>
        <v>10</v>
      </c>
      <c r="J394" s="5">
        <f>IFERROR(VLOOKUP(C394,Sheet2!$M$4:$N$12,2,0),0)</f>
        <v>3000</v>
      </c>
      <c r="K394" s="5" t="str">
        <f t="shared" si="6"/>
        <v>within budget</v>
      </c>
    </row>
    <row r="395" spans="1:11" x14ac:dyDescent="0.3">
      <c r="A395" s="6">
        <v>45319</v>
      </c>
      <c r="B395" s="5" t="s">
        <v>37</v>
      </c>
      <c r="C395" s="5" t="s">
        <v>27</v>
      </c>
      <c r="D395" s="5" t="s">
        <v>26</v>
      </c>
      <c r="E395" s="5" t="s">
        <v>9</v>
      </c>
      <c r="F395" s="5">
        <v>808</v>
      </c>
      <c r="G395" s="5" t="str">
        <f>VLOOKUP(C395,Sheet2!$C$3:$D$12,2,0)</f>
        <v>Variable</v>
      </c>
      <c r="H395" s="5" t="str">
        <f>IFERROR(VLOOKUP(E395,Sheet2!$G$3:$H$8,2,0),"unkwon")</f>
        <v>online</v>
      </c>
      <c r="I395" s="5">
        <f>VLOOKUP(B395,Sheet2!$J$4:$K$15,2,0)</f>
        <v>1</v>
      </c>
      <c r="J395" s="5">
        <f>IFERROR(VLOOKUP(C395,Sheet2!$M$4:$N$12,2,0),0)</f>
        <v>4000</v>
      </c>
      <c r="K395" s="5" t="str">
        <f t="shared" si="6"/>
        <v>within budget</v>
      </c>
    </row>
    <row r="396" spans="1:11" x14ac:dyDescent="0.3">
      <c r="A396" s="6">
        <v>45209</v>
      </c>
      <c r="B396" s="5" t="s">
        <v>6</v>
      </c>
      <c r="C396" s="5" t="s">
        <v>30</v>
      </c>
      <c r="D396" s="5" t="s">
        <v>23</v>
      </c>
      <c r="E396" s="5" t="s">
        <v>15</v>
      </c>
      <c r="F396" s="5">
        <v>4956</v>
      </c>
      <c r="G396" s="5" t="str">
        <f>VLOOKUP(C396,Sheet2!$C$3:$D$12,2,0)</f>
        <v>Fixed</v>
      </c>
      <c r="H396" s="5" t="str">
        <f>IFERROR(VLOOKUP(E396,Sheet2!$G$3:$H$8,2,0),"unkwon")</f>
        <v>online</v>
      </c>
      <c r="I396" s="5">
        <f>VLOOKUP(B396,Sheet2!$J$4:$K$15,2,0)</f>
        <v>10</v>
      </c>
      <c r="J396" s="5">
        <f>IFERROR(VLOOKUP(C396,Sheet2!$M$4:$N$12,2,0),0)</f>
        <v>3000</v>
      </c>
      <c r="K396" s="5" t="str">
        <f t="shared" si="6"/>
        <v>over budget</v>
      </c>
    </row>
    <row r="397" spans="1:11" x14ac:dyDescent="0.3">
      <c r="A397" s="6">
        <v>45204</v>
      </c>
      <c r="B397" s="5" t="s">
        <v>6</v>
      </c>
      <c r="C397" s="5" t="s">
        <v>35</v>
      </c>
      <c r="D397" s="5" t="s">
        <v>20</v>
      </c>
      <c r="E397" s="5" t="s">
        <v>15</v>
      </c>
      <c r="F397" s="5">
        <v>3436</v>
      </c>
      <c r="G397" s="5" t="str">
        <f>VLOOKUP(C397,Sheet2!$C$3:$D$12,2,0)</f>
        <v>Fixed</v>
      </c>
      <c r="H397" s="5" t="str">
        <f>IFERROR(VLOOKUP(E397,Sheet2!$G$3:$H$8,2,0),"unkwon")</f>
        <v>online</v>
      </c>
      <c r="I397" s="5">
        <f>VLOOKUP(B397,Sheet2!$J$4:$K$15,2,0)</f>
        <v>10</v>
      </c>
      <c r="J397" s="5">
        <f>IFERROR(VLOOKUP(C397,Sheet2!$M$4:$N$12,2,0),0)</f>
        <v>5500</v>
      </c>
      <c r="K397" s="5" t="str">
        <f t="shared" si="6"/>
        <v>within budget</v>
      </c>
    </row>
    <row r="398" spans="1:11" x14ac:dyDescent="0.3">
      <c r="A398" s="6">
        <v>45081</v>
      </c>
      <c r="B398" s="5" t="s">
        <v>39</v>
      </c>
      <c r="C398" s="5" t="s">
        <v>41</v>
      </c>
      <c r="D398" s="5" t="s">
        <v>24</v>
      </c>
      <c r="E398" s="5" t="s">
        <v>32</v>
      </c>
      <c r="F398" s="5">
        <v>3689</v>
      </c>
      <c r="G398" s="5" t="str">
        <f>VLOOKUP(C398,Sheet2!$C$3:$D$12,2,0)</f>
        <v>Variable</v>
      </c>
      <c r="H398" s="5" t="str">
        <f>IFERROR(VLOOKUP(E398,Sheet2!$G$3:$H$8,2,0),"unkwon")</f>
        <v>offline</v>
      </c>
      <c r="I398" s="5">
        <f>VLOOKUP(B398,Sheet2!$J$4:$K$15,2,0)</f>
        <v>6</v>
      </c>
      <c r="J398" s="5">
        <f>IFERROR(VLOOKUP(C398,Sheet2!$M$4:$N$12,2,0),0)</f>
        <v>7000</v>
      </c>
      <c r="K398" s="5" t="str">
        <f t="shared" si="6"/>
        <v>within budget</v>
      </c>
    </row>
    <row r="399" spans="1:11" x14ac:dyDescent="0.3">
      <c r="A399" s="6">
        <v>44931</v>
      </c>
      <c r="B399" s="5" t="s">
        <v>37</v>
      </c>
      <c r="C399" s="5" t="s">
        <v>35</v>
      </c>
      <c r="D399" s="5" t="s">
        <v>23</v>
      </c>
      <c r="E399" s="5" t="s">
        <v>15</v>
      </c>
      <c r="F399" s="5">
        <v>4034</v>
      </c>
      <c r="G399" s="5" t="str">
        <f>VLOOKUP(C399,Sheet2!$C$3:$D$12,2,0)</f>
        <v>Fixed</v>
      </c>
      <c r="H399" s="5" t="str">
        <f>IFERROR(VLOOKUP(E399,Sheet2!$G$3:$H$8,2,0),"unkwon")</f>
        <v>online</v>
      </c>
      <c r="I399" s="5">
        <f>VLOOKUP(B399,Sheet2!$J$4:$K$15,2,0)</f>
        <v>1</v>
      </c>
      <c r="J399" s="5">
        <f>IFERROR(VLOOKUP(C399,Sheet2!$M$4:$N$12,2,0),0)</f>
        <v>5500</v>
      </c>
      <c r="K399" s="5" t="str">
        <f t="shared" si="6"/>
        <v>within budget</v>
      </c>
    </row>
    <row r="400" spans="1:11" x14ac:dyDescent="0.3">
      <c r="A400" s="6">
        <v>45137</v>
      </c>
      <c r="B400" s="5" t="s">
        <v>21</v>
      </c>
      <c r="C400" s="5" t="s">
        <v>30</v>
      </c>
      <c r="D400" s="5" t="s">
        <v>26</v>
      </c>
      <c r="E400" s="5" t="s">
        <v>9</v>
      </c>
      <c r="F400" s="5">
        <v>1610</v>
      </c>
      <c r="G400" s="5" t="str">
        <f>VLOOKUP(C400,Sheet2!$C$3:$D$12,2,0)</f>
        <v>Fixed</v>
      </c>
      <c r="H400" s="5" t="str">
        <f>IFERROR(VLOOKUP(E400,Sheet2!$G$3:$H$8,2,0),"unkwon")</f>
        <v>online</v>
      </c>
      <c r="I400" s="5">
        <f>VLOOKUP(B400,Sheet2!$J$4:$K$15,2,0)</f>
        <v>7</v>
      </c>
      <c r="J400" s="5">
        <f>IFERROR(VLOOKUP(C400,Sheet2!$M$4:$N$12,2,0),0)</f>
        <v>3000</v>
      </c>
      <c r="K400" s="5" t="str">
        <f t="shared" si="6"/>
        <v>within budget</v>
      </c>
    </row>
    <row r="401" spans="1:11" x14ac:dyDescent="0.3">
      <c r="A401" s="6">
        <v>45045</v>
      </c>
      <c r="B401" s="5" t="s">
        <v>29</v>
      </c>
      <c r="C401" s="5" t="s">
        <v>30</v>
      </c>
      <c r="D401" s="5" t="s">
        <v>23</v>
      </c>
      <c r="E401" s="5" t="s">
        <v>32</v>
      </c>
      <c r="F401" s="5">
        <v>1927</v>
      </c>
      <c r="G401" s="5" t="str">
        <f>VLOOKUP(C401,Sheet2!$C$3:$D$12,2,0)</f>
        <v>Fixed</v>
      </c>
      <c r="H401" s="5" t="str">
        <f>IFERROR(VLOOKUP(E401,Sheet2!$G$3:$H$8,2,0),"unkwon")</f>
        <v>offline</v>
      </c>
      <c r="I401" s="5">
        <f>VLOOKUP(B401,Sheet2!$J$4:$K$15,2,0)</f>
        <v>4</v>
      </c>
      <c r="J401" s="5">
        <f>IFERROR(VLOOKUP(C401,Sheet2!$M$4:$N$12,2,0),0)</f>
        <v>3000</v>
      </c>
      <c r="K401" s="5" t="str">
        <f t="shared" si="6"/>
        <v>within budget</v>
      </c>
    </row>
    <row r="402" spans="1:11" x14ac:dyDescent="0.3">
      <c r="A402" s="6">
        <v>45285</v>
      </c>
      <c r="B402" s="5" t="s">
        <v>16</v>
      </c>
      <c r="C402" s="5" t="s">
        <v>7</v>
      </c>
      <c r="D402" s="5" t="s">
        <v>31</v>
      </c>
      <c r="E402" s="5" t="s">
        <v>32</v>
      </c>
      <c r="F402" s="5">
        <v>1445</v>
      </c>
      <c r="G402" s="5" t="str">
        <f>VLOOKUP(C402,Sheet2!$C$3:$D$12,2,0)</f>
        <v>Fixed</v>
      </c>
      <c r="H402" s="5" t="str">
        <f>IFERROR(VLOOKUP(E402,Sheet2!$G$3:$H$8,2,0),"unkwon")</f>
        <v>offline</v>
      </c>
      <c r="I402" s="5">
        <f>VLOOKUP(B402,Sheet2!$J$4:$K$15,2,0)</f>
        <v>12</v>
      </c>
      <c r="J402" s="5">
        <f>IFERROR(VLOOKUP(C402,Sheet2!$M$4:$N$12,2,0),0)</f>
        <v>2000</v>
      </c>
      <c r="K402" s="5" t="str">
        <f t="shared" si="6"/>
        <v>within budget</v>
      </c>
    </row>
    <row r="403" spans="1:11" x14ac:dyDescent="0.3">
      <c r="A403" s="6">
        <v>44986</v>
      </c>
      <c r="B403" s="5" t="s">
        <v>19</v>
      </c>
      <c r="C403" s="5" t="s">
        <v>10</v>
      </c>
      <c r="D403" s="5" t="s">
        <v>31</v>
      </c>
      <c r="E403" s="5" t="s">
        <v>17</v>
      </c>
      <c r="F403" s="5">
        <v>1824</v>
      </c>
      <c r="G403" s="5" t="str">
        <f>VLOOKUP(C403,Sheet2!$C$3:$D$12,2,0)</f>
        <v>Variable</v>
      </c>
      <c r="H403" s="5" t="str">
        <f>IFERROR(VLOOKUP(E403,Sheet2!$G$3:$H$8,2,0),"unkwon")</f>
        <v>online</v>
      </c>
      <c r="I403" s="5">
        <f>VLOOKUP(B403,Sheet2!$J$4:$K$15,2,0)</f>
        <v>3</v>
      </c>
      <c r="J403" s="5">
        <f>IFERROR(VLOOKUP(C403,Sheet2!$M$4:$N$12,2,0),0)</f>
        <v>5000</v>
      </c>
      <c r="K403" s="5" t="str">
        <f t="shared" si="6"/>
        <v>within budget</v>
      </c>
    </row>
    <row r="404" spans="1:11" x14ac:dyDescent="0.3">
      <c r="A404" s="6">
        <v>45590</v>
      </c>
      <c r="B404" s="5" t="s">
        <v>6</v>
      </c>
      <c r="C404" s="5" t="s">
        <v>13</v>
      </c>
      <c r="D404" s="5" t="s">
        <v>20</v>
      </c>
      <c r="E404" s="5" t="s">
        <v>15</v>
      </c>
      <c r="F404" s="5">
        <v>2807</v>
      </c>
      <c r="G404" s="5" t="str">
        <f>VLOOKUP(C404,Sheet2!$C$3:$D$12,2,0)</f>
        <v>Variable</v>
      </c>
      <c r="H404" s="5" t="str">
        <f>IFERROR(VLOOKUP(E404,Sheet2!$G$3:$H$8,2,0),"unkwon")</f>
        <v>online</v>
      </c>
      <c r="I404" s="5">
        <f>VLOOKUP(B404,Sheet2!$J$4:$K$15,2,0)</f>
        <v>10</v>
      </c>
      <c r="J404" s="5">
        <f>IFERROR(VLOOKUP(C404,Sheet2!$M$4:$N$12,2,0),0)</f>
        <v>5000</v>
      </c>
      <c r="K404" s="5" t="str">
        <f t="shared" si="6"/>
        <v>within budget</v>
      </c>
    </row>
    <row r="405" spans="1:11" x14ac:dyDescent="0.3">
      <c r="A405" s="6">
        <v>45106</v>
      </c>
      <c r="B405" s="5" t="s">
        <v>39</v>
      </c>
      <c r="C405" s="5" t="s">
        <v>27</v>
      </c>
      <c r="D405" s="5" t="s">
        <v>23</v>
      </c>
      <c r="E405" s="5" t="s">
        <v>32</v>
      </c>
      <c r="F405" s="5">
        <v>3006</v>
      </c>
      <c r="G405" s="5" t="str">
        <f>VLOOKUP(C405,Sheet2!$C$3:$D$12,2,0)</f>
        <v>Variable</v>
      </c>
      <c r="H405" s="5" t="str">
        <f>IFERROR(VLOOKUP(E405,Sheet2!$G$3:$H$8,2,0),"unkwon")</f>
        <v>offline</v>
      </c>
      <c r="I405" s="5">
        <f>VLOOKUP(B405,Sheet2!$J$4:$K$15,2,0)</f>
        <v>6</v>
      </c>
      <c r="J405" s="5">
        <f>IFERROR(VLOOKUP(C405,Sheet2!$M$4:$N$12,2,0),0)</f>
        <v>4000</v>
      </c>
      <c r="K405" s="5" t="str">
        <f t="shared" si="6"/>
        <v>within budget</v>
      </c>
    </row>
    <row r="406" spans="1:11" x14ac:dyDescent="0.3">
      <c r="A406" s="6">
        <v>45167</v>
      </c>
      <c r="B406" s="5" t="s">
        <v>25</v>
      </c>
      <c r="C406" s="5" t="s">
        <v>35</v>
      </c>
      <c r="D406" s="5" t="s">
        <v>14</v>
      </c>
      <c r="E406" s="5" t="s">
        <v>12</v>
      </c>
      <c r="F406" s="5">
        <v>3798</v>
      </c>
      <c r="G406" s="5" t="str">
        <f>VLOOKUP(C406,Sheet2!$C$3:$D$12,2,0)</f>
        <v>Fixed</v>
      </c>
      <c r="H406" s="5" t="str">
        <f>IFERROR(VLOOKUP(E406,Sheet2!$G$3:$H$8,2,0),"unkwon")</f>
        <v>online</v>
      </c>
      <c r="I406" s="5">
        <f>VLOOKUP(B406,Sheet2!$J$4:$K$15,2,0)</f>
        <v>8</v>
      </c>
      <c r="J406" s="5">
        <f>IFERROR(VLOOKUP(C406,Sheet2!$M$4:$N$12,2,0),0)</f>
        <v>5500</v>
      </c>
      <c r="K406" s="5" t="str">
        <f t="shared" si="6"/>
        <v>within budget</v>
      </c>
    </row>
    <row r="407" spans="1:11" x14ac:dyDescent="0.3">
      <c r="A407" s="6">
        <v>45400</v>
      </c>
      <c r="B407" s="5" t="s">
        <v>29</v>
      </c>
      <c r="C407" s="5" t="s">
        <v>36</v>
      </c>
      <c r="D407" s="5" t="s">
        <v>11</v>
      </c>
      <c r="E407" s="5" t="s">
        <v>9</v>
      </c>
      <c r="F407" s="5">
        <v>1180</v>
      </c>
      <c r="G407" s="5" t="str">
        <f>VLOOKUP(C407,Sheet2!$C$3:$D$12,2,0)</f>
        <v>Variable</v>
      </c>
      <c r="H407" s="5" t="str">
        <f>IFERROR(VLOOKUP(E407,Sheet2!$G$3:$H$8,2,0),"unkwon")</f>
        <v>online</v>
      </c>
      <c r="I407" s="5">
        <f>VLOOKUP(B407,Sheet2!$J$4:$K$15,2,0)</f>
        <v>4</v>
      </c>
      <c r="J407" s="5">
        <f>IFERROR(VLOOKUP(C407,Sheet2!$M$4:$N$12,2,0),0)</f>
        <v>10000</v>
      </c>
      <c r="K407" s="5" t="str">
        <f t="shared" si="6"/>
        <v>within budget</v>
      </c>
    </row>
    <row r="408" spans="1:11" x14ac:dyDescent="0.3">
      <c r="A408" s="6">
        <v>45505</v>
      </c>
      <c r="B408" s="5" t="s">
        <v>25</v>
      </c>
      <c r="C408" s="5" t="s">
        <v>7</v>
      </c>
      <c r="D408" s="5" t="s">
        <v>23</v>
      </c>
      <c r="E408" s="5" t="s">
        <v>32</v>
      </c>
      <c r="F408" s="5">
        <v>1182</v>
      </c>
      <c r="G408" s="5" t="str">
        <f>VLOOKUP(C408,Sheet2!$C$3:$D$12,2,0)</f>
        <v>Fixed</v>
      </c>
      <c r="H408" s="5" t="str">
        <f>IFERROR(VLOOKUP(E408,Sheet2!$G$3:$H$8,2,0),"unkwon")</f>
        <v>offline</v>
      </c>
      <c r="I408" s="5">
        <f>VLOOKUP(B408,Sheet2!$J$4:$K$15,2,0)</f>
        <v>8</v>
      </c>
      <c r="J408" s="5">
        <f>IFERROR(VLOOKUP(C408,Sheet2!$M$4:$N$12,2,0),0)</f>
        <v>2000</v>
      </c>
      <c r="K408" s="5" t="str">
        <f t="shared" si="6"/>
        <v>within budget</v>
      </c>
    </row>
    <row r="409" spans="1:11" x14ac:dyDescent="0.3">
      <c r="A409" s="6">
        <v>45485</v>
      </c>
      <c r="B409" s="5" t="s">
        <v>21</v>
      </c>
      <c r="C409" s="5" t="s">
        <v>22</v>
      </c>
      <c r="D409" s="5" t="s">
        <v>18</v>
      </c>
      <c r="E409" s="5" t="s">
        <v>9</v>
      </c>
      <c r="F409" s="5">
        <v>292</v>
      </c>
      <c r="G409" s="5" t="str">
        <f>VLOOKUP(C409,Sheet2!$C$3:$D$12,2,0)</f>
        <v>Variable</v>
      </c>
      <c r="H409" s="5" t="str">
        <f>IFERROR(VLOOKUP(E409,Sheet2!$G$3:$H$8,2,0),"unkwon")</f>
        <v>online</v>
      </c>
      <c r="I409" s="5">
        <f>VLOOKUP(B409,Sheet2!$J$4:$K$15,2,0)</f>
        <v>7</v>
      </c>
      <c r="J409" s="5">
        <f>IFERROR(VLOOKUP(C409,Sheet2!$M$4:$N$12,2,0),0)</f>
        <v>1000</v>
      </c>
      <c r="K409" s="5" t="str">
        <f t="shared" si="6"/>
        <v>within budget</v>
      </c>
    </row>
    <row r="410" spans="1:11" x14ac:dyDescent="0.3">
      <c r="A410" s="6">
        <v>45627</v>
      </c>
      <c r="B410" s="5" t="s">
        <v>16</v>
      </c>
      <c r="C410" s="5" t="s">
        <v>27</v>
      </c>
      <c r="D410" s="5" t="s">
        <v>31</v>
      </c>
      <c r="E410" s="5" t="s">
        <v>12</v>
      </c>
      <c r="F410" s="5">
        <v>4742</v>
      </c>
      <c r="G410" s="5" t="str">
        <f>VLOOKUP(C410,Sheet2!$C$3:$D$12,2,0)</f>
        <v>Variable</v>
      </c>
      <c r="H410" s="5" t="str">
        <f>IFERROR(VLOOKUP(E410,Sheet2!$G$3:$H$8,2,0),"unkwon")</f>
        <v>online</v>
      </c>
      <c r="I410" s="5">
        <f>VLOOKUP(B410,Sheet2!$J$4:$K$15,2,0)</f>
        <v>12</v>
      </c>
      <c r="J410" s="5">
        <f>IFERROR(VLOOKUP(C410,Sheet2!$M$4:$N$12,2,0),0)</f>
        <v>4000</v>
      </c>
      <c r="K410" s="5" t="str">
        <f t="shared" si="6"/>
        <v>over budget</v>
      </c>
    </row>
    <row r="411" spans="1:11" x14ac:dyDescent="0.3">
      <c r="A411" s="6">
        <v>45280</v>
      </c>
      <c r="B411" s="5" t="s">
        <v>16</v>
      </c>
      <c r="C411" s="5" t="s">
        <v>36</v>
      </c>
      <c r="D411" s="5" t="s">
        <v>31</v>
      </c>
      <c r="E411" s="5" t="s">
        <v>32</v>
      </c>
      <c r="F411" s="5">
        <v>602</v>
      </c>
      <c r="G411" s="5" t="str">
        <f>VLOOKUP(C411,Sheet2!$C$3:$D$12,2,0)</f>
        <v>Variable</v>
      </c>
      <c r="H411" s="5" t="str">
        <f>IFERROR(VLOOKUP(E411,Sheet2!$G$3:$H$8,2,0),"unkwon")</f>
        <v>offline</v>
      </c>
      <c r="I411" s="5">
        <f>VLOOKUP(B411,Sheet2!$J$4:$K$15,2,0)</f>
        <v>12</v>
      </c>
      <c r="J411" s="5">
        <f>IFERROR(VLOOKUP(C411,Sheet2!$M$4:$N$12,2,0),0)</f>
        <v>10000</v>
      </c>
      <c r="K411" s="5" t="str">
        <f t="shared" si="6"/>
        <v>within budget</v>
      </c>
    </row>
    <row r="412" spans="1:11" x14ac:dyDescent="0.3">
      <c r="A412" s="6">
        <v>45320</v>
      </c>
      <c r="B412" s="5" t="s">
        <v>37</v>
      </c>
      <c r="C412" s="5" t="s">
        <v>22</v>
      </c>
      <c r="D412" s="5" t="s">
        <v>26</v>
      </c>
      <c r="E412" s="5" t="s">
        <v>12</v>
      </c>
      <c r="F412" s="5">
        <v>4495</v>
      </c>
      <c r="G412" s="5" t="str">
        <f>VLOOKUP(C412,Sheet2!$C$3:$D$12,2,0)</f>
        <v>Variable</v>
      </c>
      <c r="H412" s="5" t="str">
        <f>IFERROR(VLOOKUP(E412,Sheet2!$G$3:$H$8,2,0),"unkwon")</f>
        <v>online</v>
      </c>
      <c r="I412" s="5">
        <f>VLOOKUP(B412,Sheet2!$J$4:$K$15,2,0)</f>
        <v>1</v>
      </c>
      <c r="J412" s="5">
        <f>IFERROR(VLOOKUP(C412,Sheet2!$M$4:$N$12,2,0),0)</f>
        <v>1000</v>
      </c>
      <c r="K412" s="5" t="str">
        <f t="shared" si="6"/>
        <v>over budget</v>
      </c>
    </row>
    <row r="413" spans="1:11" x14ac:dyDescent="0.3">
      <c r="A413" s="6">
        <v>45381</v>
      </c>
      <c r="B413" s="5" t="s">
        <v>19</v>
      </c>
      <c r="C413" s="5" t="s">
        <v>22</v>
      </c>
      <c r="D413" s="5" t="s">
        <v>20</v>
      </c>
      <c r="E413" s="5" t="s">
        <v>12</v>
      </c>
      <c r="F413" s="5">
        <v>3293</v>
      </c>
      <c r="G413" s="5" t="str">
        <f>VLOOKUP(C413,Sheet2!$C$3:$D$12,2,0)</f>
        <v>Variable</v>
      </c>
      <c r="H413" s="5" t="str">
        <f>IFERROR(VLOOKUP(E413,Sheet2!$G$3:$H$8,2,0),"unkwon")</f>
        <v>online</v>
      </c>
      <c r="I413" s="5">
        <f>VLOOKUP(B413,Sheet2!$J$4:$K$15,2,0)</f>
        <v>3</v>
      </c>
      <c r="J413" s="5">
        <f>IFERROR(VLOOKUP(C413,Sheet2!$M$4:$N$12,2,0),0)</f>
        <v>1000</v>
      </c>
      <c r="K413" s="5" t="str">
        <f t="shared" si="6"/>
        <v>over budget</v>
      </c>
    </row>
    <row r="414" spans="1:11" x14ac:dyDescent="0.3">
      <c r="A414" s="6">
        <v>45142</v>
      </c>
      <c r="B414" s="5" t="s">
        <v>25</v>
      </c>
      <c r="C414" s="5" t="s">
        <v>22</v>
      </c>
      <c r="D414" s="5" t="s">
        <v>23</v>
      </c>
      <c r="E414" s="5" t="s">
        <v>32</v>
      </c>
      <c r="F414" s="5">
        <v>4032</v>
      </c>
      <c r="G414" s="5" t="str">
        <f>VLOOKUP(C414,Sheet2!$C$3:$D$12,2,0)</f>
        <v>Variable</v>
      </c>
      <c r="H414" s="5" t="str">
        <f>IFERROR(VLOOKUP(E414,Sheet2!$G$3:$H$8,2,0),"unkwon")</f>
        <v>offline</v>
      </c>
      <c r="I414" s="5">
        <f>VLOOKUP(B414,Sheet2!$J$4:$K$15,2,0)</f>
        <v>8</v>
      </c>
      <c r="J414" s="5">
        <f>IFERROR(VLOOKUP(C414,Sheet2!$M$4:$N$12,2,0),0)</f>
        <v>1000</v>
      </c>
      <c r="K414" s="5" t="str">
        <f t="shared" si="6"/>
        <v>over budget</v>
      </c>
    </row>
    <row r="415" spans="1:11" x14ac:dyDescent="0.3">
      <c r="A415" s="6">
        <v>45139</v>
      </c>
      <c r="B415" s="5" t="s">
        <v>25</v>
      </c>
      <c r="C415" s="5" t="s">
        <v>13</v>
      </c>
      <c r="D415" s="5" t="s">
        <v>23</v>
      </c>
      <c r="E415" s="5" t="s">
        <v>12</v>
      </c>
      <c r="F415" s="5">
        <v>3900</v>
      </c>
      <c r="G415" s="5" t="str">
        <f>VLOOKUP(C415,Sheet2!$C$3:$D$12,2,0)</f>
        <v>Variable</v>
      </c>
      <c r="H415" s="5" t="str">
        <f>IFERROR(VLOOKUP(E415,Sheet2!$G$3:$H$8,2,0),"unkwon")</f>
        <v>online</v>
      </c>
      <c r="I415" s="5">
        <f>VLOOKUP(B415,Sheet2!$J$4:$K$15,2,0)</f>
        <v>8</v>
      </c>
      <c r="J415" s="5">
        <f>IFERROR(VLOOKUP(C415,Sheet2!$M$4:$N$12,2,0),0)</f>
        <v>5000</v>
      </c>
      <c r="K415" s="5" t="str">
        <f t="shared" si="6"/>
        <v>within budget</v>
      </c>
    </row>
    <row r="416" spans="1:11" x14ac:dyDescent="0.3">
      <c r="A416" s="6">
        <v>45479</v>
      </c>
      <c r="B416" s="5" t="s">
        <v>21</v>
      </c>
      <c r="C416" s="5" t="s">
        <v>27</v>
      </c>
      <c r="D416" s="5" t="s">
        <v>24</v>
      </c>
      <c r="E416" s="5" t="s">
        <v>32</v>
      </c>
      <c r="F416" s="5">
        <v>1425</v>
      </c>
      <c r="G416" s="5" t="str">
        <f>VLOOKUP(C416,Sheet2!$C$3:$D$12,2,0)</f>
        <v>Variable</v>
      </c>
      <c r="H416" s="5" t="str">
        <f>IFERROR(VLOOKUP(E416,Sheet2!$G$3:$H$8,2,0),"unkwon")</f>
        <v>offline</v>
      </c>
      <c r="I416" s="5">
        <f>VLOOKUP(B416,Sheet2!$J$4:$K$15,2,0)</f>
        <v>7</v>
      </c>
      <c r="J416" s="5">
        <f>IFERROR(VLOOKUP(C416,Sheet2!$M$4:$N$12,2,0),0)</f>
        <v>4000</v>
      </c>
      <c r="K416" s="5" t="str">
        <f t="shared" si="6"/>
        <v>within budget</v>
      </c>
    </row>
    <row r="417" spans="1:11" x14ac:dyDescent="0.3">
      <c r="A417" s="6">
        <v>45311</v>
      </c>
      <c r="B417" s="5" t="s">
        <v>37</v>
      </c>
      <c r="C417" s="5" t="s">
        <v>10</v>
      </c>
      <c r="D417" s="5" t="s">
        <v>8</v>
      </c>
      <c r="E417" s="5" t="s">
        <v>17</v>
      </c>
      <c r="F417" s="5">
        <v>1371</v>
      </c>
      <c r="G417" s="5" t="str">
        <f>VLOOKUP(C417,Sheet2!$C$3:$D$12,2,0)</f>
        <v>Variable</v>
      </c>
      <c r="H417" s="5" t="str">
        <f>IFERROR(VLOOKUP(E417,Sheet2!$G$3:$H$8,2,0),"unkwon")</f>
        <v>online</v>
      </c>
      <c r="I417" s="5">
        <f>VLOOKUP(B417,Sheet2!$J$4:$K$15,2,0)</f>
        <v>1</v>
      </c>
      <c r="J417" s="5">
        <f>IFERROR(VLOOKUP(C417,Sheet2!$M$4:$N$12,2,0),0)</f>
        <v>5000</v>
      </c>
      <c r="K417" s="5" t="str">
        <f t="shared" si="6"/>
        <v>within budget</v>
      </c>
    </row>
    <row r="418" spans="1:11" x14ac:dyDescent="0.3">
      <c r="A418" s="6">
        <v>45014</v>
      </c>
      <c r="B418" s="5" t="s">
        <v>19</v>
      </c>
      <c r="C418" s="5" t="s">
        <v>13</v>
      </c>
      <c r="D418" s="5" t="s">
        <v>24</v>
      </c>
      <c r="E418" s="5" t="s">
        <v>9</v>
      </c>
      <c r="F418" s="5">
        <v>556</v>
      </c>
      <c r="G418" s="5" t="str">
        <f>VLOOKUP(C418,Sheet2!$C$3:$D$12,2,0)</f>
        <v>Variable</v>
      </c>
      <c r="H418" s="5" t="str">
        <f>IFERROR(VLOOKUP(E418,Sheet2!$G$3:$H$8,2,0),"unkwon")</f>
        <v>online</v>
      </c>
      <c r="I418" s="5">
        <f>VLOOKUP(B418,Sheet2!$J$4:$K$15,2,0)</f>
        <v>3</v>
      </c>
      <c r="J418" s="5">
        <f>IFERROR(VLOOKUP(C418,Sheet2!$M$4:$N$12,2,0),0)</f>
        <v>5000</v>
      </c>
      <c r="K418" s="5" t="str">
        <f t="shared" si="6"/>
        <v>within budget</v>
      </c>
    </row>
    <row r="419" spans="1:11" x14ac:dyDescent="0.3">
      <c r="A419" s="6">
        <v>44982</v>
      </c>
      <c r="B419" s="5" t="s">
        <v>33</v>
      </c>
      <c r="C419" s="5" t="s">
        <v>30</v>
      </c>
      <c r="D419" s="5" t="s">
        <v>14</v>
      </c>
      <c r="E419" s="5" t="s">
        <v>9</v>
      </c>
      <c r="F419" s="5">
        <v>2724</v>
      </c>
      <c r="G419" s="5" t="str">
        <f>VLOOKUP(C419,Sheet2!$C$3:$D$12,2,0)</f>
        <v>Fixed</v>
      </c>
      <c r="H419" s="5" t="str">
        <f>IFERROR(VLOOKUP(E419,Sheet2!$G$3:$H$8,2,0),"unkwon")</f>
        <v>online</v>
      </c>
      <c r="I419" s="5">
        <f>VLOOKUP(B419,Sheet2!$J$4:$K$15,2,0)</f>
        <v>2</v>
      </c>
      <c r="J419" s="5">
        <f>IFERROR(VLOOKUP(C419,Sheet2!$M$4:$N$12,2,0),0)</f>
        <v>3000</v>
      </c>
      <c r="K419" s="5" t="str">
        <f t="shared" si="6"/>
        <v>within budget</v>
      </c>
    </row>
    <row r="420" spans="1:11" x14ac:dyDescent="0.3">
      <c r="A420" s="6">
        <v>45568</v>
      </c>
      <c r="B420" s="5" t="s">
        <v>6</v>
      </c>
      <c r="C420" s="5" t="s">
        <v>7</v>
      </c>
      <c r="D420" s="5" t="s">
        <v>26</v>
      </c>
      <c r="E420" s="5" t="s">
        <v>17</v>
      </c>
      <c r="F420" s="5">
        <v>305</v>
      </c>
      <c r="G420" s="5" t="str">
        <f>VLOOKUP(C420,Sheet2!$C$3:$D$12,2,0)</f>
        <v>Fixed</v>
      </c>
      <c r="H420" s="5" t="str">
        <f>IFERROR(VLOOKUP(E420,Sheet2!$G$3:$H$8,2,0),"unkwon")</f>
        <v>online</v>
      </c>
      <c r="I420" s="5">
        <f>VLOOKUP(B420,Sheet2!$J$4:$K$15,2,0)</f>
        <v>10</v>
      </c>
      <c r="J420" s="5">
        <f>IFERROR(VLOOKUP(C420,Sheet2!$M$4:$N$12,2,0),0)</f>
        <v>2000</v>
      </c>
      <c r="K420" s="5" t="str">
        <f t="shared" si="6"/>
        <v>within budget</v>
      </c>
    </row>
    <row r="421" spans="1:11" x14ac:dyDescent="0.3">
      <c r="A421" s="6">
        <v>45297</v>
      </c>
      <c r="B421" s="5" t="s">
        <v>37</v>
      </c>
      <c r="C421" s="5" t="s">
        <v>41</v>
      </c>
      <c r="D421" s="5" t="s">
        <v>24</v>
      </c>
      <c r="E421" s="5" t="s">
        <v>12</v>
      </c>
      <c r="F421" s="5">
        <v>1966</v>
      </c>
      <c r="G421" s="5" t="str">
        <f>VLOOKUP(C421,Sheet2!$C$3:$D$12,2,0)</f>
        <v>Variable</v>
      </c>
      <c r="H421" s="5" t="str">
        <f>IFERROR(VLOOKUP(E421,Sheet2!$G$3:$H$8,2,0),"unkwon")</f>
        <v>online</v>
      </c>
      <c r="I421" s="5">
        <f>VLOOKUP(B421,Sheet2!$J$4:$K$15,2,0)</f>
        <v>1</v>
      </c>
      <c r="J421" s="5">
        <f>IFERROR(VLOOKUP(C421,Sheet2!$M$4:$N$12,2,0),0)</f>
        <v>7000</v>
      </c>
      <c r="K421" s="5" t="str">
        <f t="shared" si="6"/>
        <v>within budget</v>
      </c>
    </row>
    <row r="422" spans="1:11" x14ac:dyDescent="0.3">
      <c r="A422" s="6">
        <v>45285</v>
      </c>
      <c r="B422" s="5" t="s">
        <v>16</v>
      </c>
      <c r="C422" s="5" t="s">
        <v>30</v>
      </c>
      <c r="D422" s="5" t="s">
        <v>11</v>
      </c>
      <c r="E422" s="5" t="s">
        <v>32</v>
      </c>
      <c r="F422" s="5">
        <v>2641</v>
      </c>
      <c r="G422" s="5" t="str">
        <f>VLOOKUP(C422,Sheet2!$C$3:$D$12,2,0)</f>
        <v>Fixed</v>
      </c>
      <c r="H422" s="5" t="str">
        <f>IFERROR(VLOOKUP(E422,Sheet2!$G$3:$H$8,2,0),"unkwon")</f>
        <v>offline</v>
      </c>
      <c r="I422" s="5">
        <f>VLOOKUP(B422,Sheet2!$J$4:$K$15,2,0)</f>
        <v>12</v>
      </c>
      <c r="J422" s="5">
        <f>IFERROR(VLOOKUP(C422,Sheet2!$M$4:$N$12,2,0),0)</f>
        <v>3000</v>
      </c>
      <c r="K422" s="5" t="str">
        <f t="shared" si="6"/>
        <v>within budget</v>
      </c>
    </row>
    <row r="423" spans="1:11" x14ac:dyDescent="0.3">
      <c r="A423" s="6">
        <v>45141</v>
      </c>
      <c r="B423" s="5" t="s">
        <v>25</v>
      </c>
      <c r="C423" s="5" t="s">
        <v>27</v>
      </c>
      <c r="D423" s="5" t="s">
        <v>23</v>
      </c>
      <c r="E423" s="5" t="s">
        <v>9</v>
      </c>
      <c r="F423" s="5">
        <v>4175</v>
      </c>
      <c r="G423" s="5" t="str">
        <f>VLOOKUP(C423,Sheet2!$C$3:$D$12,2,0)</f>
        <v>Variable</v>
      </c>
      <c r="H423" s="5" t="str">
        <f>IFERROR(VLOOKUP(E423,Sheet2!$G$3:$H$8,2,0),"unkwon")</f>
        <v>online</v>
      </c>
      <c r="I423" s="5">
        <f>VLOOKUP(B423,Sheet2!$J$4:$K$15,2,0)</f>
        <v>8</v>
      </c>
      <c r="J423" s="5">
        <f>IFERROR(VLOOKUP(C423,Sheet2!$M$4:$N$12,2,0),0)</f>
        <v>4000</v>
      </c>
      <c r="K423" s="5" t="str">
        <f t="shared" si="6"/>
        <v>over budget</v>
      </c>
    </row>
    <row r="424" spans="1:11" x14ac:dyDescent="0.3">
      <c r="A424" s="6">
        <v>45501</v>
      </c>
      <c r="B424" s="5" t="s">
        <v>21</v>
      </c>
      <c r="C424" s="5" t="s">
        <v>30</v>
      </c>
      <c r="D424" s="5" t="s">
        <v>8</v>
      </c>
      <c r="E424" s="5" t="s">
        <v>17</v>
      </c>
      <c r="F424" s="5">
        <v>2010</v>
      </c>
      <c r="G424" s="5" t="str">
        <f>VLOOKUP(C424,Sheet2!$C$3:$D$12,2,0)</f>
        <v>Fixed</v>
      </c>
      <c r="H424" s="5" t="str">
        <f>IFERROR(VLOOKUP(E424,Sheet2!$G$3:$H$8,2,0),"unkwon")</f>
        <v>online</v>
      </c>
      <c r="I424" s="5">
        <f>VLOOKUP(B424,Sheet2!$J$4:$K$15,2,0)</f>
        <v>7</v>
      </c>
      <c r="J424" s="5">
        <f>IFERROR(VLOOKUP(C424,Sheet2!$M$4:$N$12,2,0),0)</f>
        <v>3000</v>
      </c>
      <c r="K424" s="5" t="str">
        <f t="shared" si="6"/>
        <v>within budget</v>
      </c>
    </row>
    <row r="425" spans="1:11" x14ac:dyDescent="0.3">
      <c r="A425" s="6">
        <v>45073</v>
      </c>
      <c r="B425" s="5" t="s">
        <v>28</v>
      </c>
      <c r="C425" s="5" t="s">
        <v>13</v>
      </c>
      <c r="D425" s="5" t="s">
        <v>11</v>
      </c>
      <c r="E425" s="5" t="s">
        <v>12</v>
      </c>
      <c r="F425" s="5">
        <v>4116</v>
      </c>
      <c r="G425" s="5" t="str">
        <f>VLOOKUP(C425,Sheet2!$C$3:$D$12,2,0)</f>
        <v>Variable</v>
      </c>
      <c r="H425" s="5" t="str">
        <f>IFERROR(VLOOKUP(E425,Sheet2!$G$3:$H$8,2,0),"unkwon")</f>
        <v>online</v>
      </c>
      <c r="I425" s="5">
        <f>VLOOKUP(B425,Sheet2!$J$4:$K$15,2,0)</f>
        <v>5</v>
      </c>
      <c r="J425" s="5">
        <f>IFERROR(VLOOKUP(C425,Sheet2!$M$4:$N$12,2,0),0)</f>
        <v>5000</v>
      </c>
      <c r="K425" s="5" t="str">
        <f t="shared" si="6"/>
        <v>within budget</v>
      </c>
    </row>
    <row r="426" spans="1:11" x14ac:dyDescent="0.3">
      <c r="A426" s="6">
        <v>45445</v>
      </c>
      <c r="B426" s="5" t="s">
        <v>39</v>
      </c>
      <c r="C426" s="5" t="s">
        <v>10</v>
      </c>
      <c r="D426" s="5" t="s">
        <v>31</v>
      </c>
      <c r="E426" s="5" t="s">
        <v>9</v>
      </c>
      <c r="F426" s="5">
        <v>3979</v>
      </c>
      <c r="G426" s="5" t="str">
        <f>VLOOKUP(C426,Sheet2!$C$3:$D$12,2,0)</f>
        <v>Variable</v>
      </c>
      <c r="H426" s="5" t="str">
        <f>IFERROR(VLOOKUP(E426,Sheet2!$G$3:$H$8,2,0),"unkwon")</f>
        <v>online</v>
      </c>
      <c r="I426" s="5">
        <f>VLOOKUP(B426,Sheet2!$J$4:$K$15,2,0)</f>
        <v>6</v>
      </c>
      <c r="J426" s="5">
        <f>IFERROR(VLOOKUP(C426,Sheet2!$M$4:$N$12,2,0),0)</f>
        <v>5000</v>
      </c>
      <c r="K426" s="5" t="str">
        <f t="shared" si="6"/>
        <v>within budget</v>
      </c>
    </row>
    <row r="427" spans="1:11" x14ac:dyDescent="0.3">
      <c r="A427" s="6">
        <v>45061</v>
      </c>
      <c r="B427" s="5" t="s">
        <v>28</v>
      </c>
      <c r="C427" s="5" t="s">
        <v>13</v>
      </c>
      <c r="D427" s="5" t="s">
        <v>31</v>
      </c>
      <c r="E427" s="5" t="s">
        <v>32</v>
      </c>
      <c r="F427" s="5">
        <v>2498</v>
      </c>
      <c r="G427" s="5" t="str">
        <f>VLOOKUP(C427,Sheet2!$C$3:$D$12,2,0)</f>
        <v>Variable</v>
      </c>
      <c r="H427" s="5" t="str">
        <f>IFERROR(VLOOKUP(E427,Sheet2!$G$3:$H$8,2,0),"unkwon")</f>
        <v>offline</v>
      </c>
      <c r="I427" s="5">
        <f>VLOOKUP(B427,Sheet2!$J$4:$K$15,2,0)</f>
        <v>5</v>
      </c>
      <c r="J427" s="5">
        <f>IFERROR(VLOOKUP(C427,Sheet2!$M$4:$N$12,2,0),0)</f>
        <v>5000</v>
      </c>
      <c r="K427" s="5" t="str">
        <f t="shared" si="6"/>
        <v>within budget</v>
      </c>
    </row>
    <row r="428" spans="1:11" x14ac:dyDescent="0.3">
      <c r="A428" s="6">
        <v>45476</v>
      </c>
      <c r="B428" s="5" t="s">
        <v>21</v>
      </c>
      <c r="C428" s="5" t="s">
        <v>27</v>
      </c>
      <c r="D428" s="5" t="s">
        <v>20</v>
      </c>
      <c r="E428" s="5" t="s">
        <v>32</v>
      </c>
      <c r="F428" s="5">
        <v>1982</v>
      </c>
      <c r="G428" s="5" t="str">
        <f>VLOOKUP(C428,Sheet2!$C$3:$D$12,2,0)</f>
        <v>Variable</v>
      </c>
      <c r="H428" s="5" t="str">
        <f>IFERROR(VLOOKUP(E428,Sheet2!$G$3:$H$8,2,0),"unkwon")</f>
        <v>offline</v>
      </c>
      <c r="I428" s="5">
        <f>VLOOKUP(B428,Sheet2!$J$4:$K$15,2,0)</f>
        <v>7</v>
      </c>
      <c r="J428" s="5">
        <f>IFERROR(VLOOKUP(C428,Sheet2!$M$4:$N$12,2,0),0)</f>
        <v>4000</v>
      </c>
      <c r="K428" s="5" t="str">
        <f t="shared" si="6"/>
        <v>within budget</v>
      </c>
    </row>
    <row r="429" spans="1:11" x14ac:dyDescent="0.3">
      <c r="A429" s="6">
        <v>45107</v>
      </c>
      <c r="B429" s="5" t="s">
        <v>39</v>
      </c>
      <c r="C429" s="5" t="s">
        <v>13</v>
      </c>
      <c r="D429" s="5" t="s">
        <v>14</v>
      </c>
      <c r="E429" s="5" t="s">
        <v>12</v>
      </c>
      <c r="F429" s="5">
        <v>1372</v>
      </c>
      <c r="G429" s="5" t="str">
        <f>VLOOKUP(C429,Sheet2!$C$3:$D$12,2,0)</f>
        <v>Variable</v>
      </c>
      <c r="H429" s="5" t="str">
        <f>IFERROR(VLOOKUP(E429,Sheet2!$G$3:$H$8,2,0),"unkwon")</f>
        <v>online</v>
      </c>
      <c r="I429" s="5">
        <f>VLOOKUP(B429,Sheet2!$J$4:$K$15,2,0)</f>
        <v>6</v>
      </c>
      <c r="J429" s="5">
        <f>IFERROR(VLOOKUP(C429,Sheet2!$M$4:$N$12,2,0),0)</f>
        <v>5000</v>
      </c>
      <c r="K429" s="5" t="str">
        <f t="shared" si="6"/>
        <v>within budget</v>
      </c>
    </row>
    <row r="430" spans="1:11" x14ac:dyDescent="0.3">
      <c r="A430" s="6">
        <v>45560</v>
      </c>
      <c r="B430" s="5" t="s">
        <v>38</v>
      </c>
      <c r="C430" s="5" t="s">
        <v>7</v>
      </c>
      <c r="D430" s="5" t="s">
        <v>23</v>
      </c>
      <c r="E430" s="5" t="s">
        <v>12</v>
      </c>
      <c r="F430" s="5">
        <v>1163</v>
      </c>
      <c r="G430" s="5" t="str">
        <f>VLOOKUP(C430,Sheet2!$C$3:$D$12,2,0)</f>
        <v>Fixed</v>
      </c>
      <c r="H430" s="5" t="str">
        <f>IFERROR(VLOOKUP(E430,Sheet2!$G$3:$H$8,2,0),"unkwon")</f>
        <v>online</v>
      </c>
      <c r="I430" s="5">
        <f>VLOOKUP(B430,Sheet2!$J$4:$K$15,2,0)</f>
        <v>9</v>
      </c>
      <c r="J430" s="5">
        <f>IFERROR(VLOOKUP(C430,Sheet2!$M$4:$N$12,2,0),0)</f>
        <v>2000</v>
      </c>
      <c r="K430" s="5" t="str">
        <f t="shared" si="6"/>
        <v>within budget</v>
      </c>
    </row>
    <row r="431" spans="1:11" x14ac:dyDescent="0.3">
      <c r="A431" s="6">
        <v>45391</v>
      </c>
      <c r="B431" s="5" t="s">
        <v>29</v>
      </c>
      <c r="C431" s="5" t="s">
        <v>30</v>
      </c>
      <c r="D431" s="5" t="s">
        <v>26</v>
      </c>
      <c r="E431" s="5" t="s">
        <v>17</v>
      </c>
      <c r="F431" s="5">
        <v>4150</v>
      </c>
      <c r="G431" s="5" t="str">
        <f>VLOOKUP(C431,Sheet2!$C$3:$D$12,2,0)</f>
        <v>Fixed</v>
      </c>
      <c r="H431" s="5" t="str">
        <f>IFERROR(VLOOKUP(E431,Sheet2!$G$3:$H$8,2,0),"unkwon")</f>
        <v>online</v>
      </c>
      <c r="I431" s="5">
        <f>VLOOKUP(B431,Sheet2!$J$4:$K$15,2,0)</f>
        <v>4</v>
      </c>
      <c r="J431" s="5">
        <f>IFERROR(VLOOKUP(C431,Sheet2!$M$4:$N$12,2,0),0)</f>
        <v>3000</v>
      </c>
      <c r="K431" s="5" t="str">
        <f t="shared" si="6"/>
        <v>over budget</v>
      </c>
    </row>
    <row r="432" spans="1:11" x14ac:dyDescent="0.3">
      <c r="A432" s="6">
        <v>45284</v>
      </c>
      <c r="B432" s="5" t="s">
        <v>16</v>
      </c>
      <c r="C432" s="5" t="s">
        <v>36</v>
      </c>
      <c r="D432" s="5" t="s">
        <v>26</v>
      </c>
      <c r="E432" s="5" t="s">
        <v>17</v>
      </c>
      <c r="F432" s="5">
        <v>3553</v>
      </c>
      <c r="G432" s="5" t="str">
        <f>VLOOKUP(C432,Sheet2!$C$3:$D$12,2,0)</f>
        <v>Variable</v>
      </c>
      <c r="H432" s="5" t="str">
        <f>IFERROR(VLOOKUP(E432,Sheet2!$G$3:$H$8,2,0),"unkwon")</f>
        <v>online</v>
      </c>
      <c r="I432" s="5">
        <f>VLOOKUP(B432,Sheet2!$J$4:$K$15,2,0)</f>
        <v>12</v>
      </c>
      <c r="J432" s="5">
        <f>IFERROR(VLOOKUP(C432,Sheet2!$M$4:$N$12,2,0),0)</f>
        <v>10000</v>
      </c>
      <c r="K432" s="5" t="str">
        <f t="shared" si="6"/>
        <v>within budget</v>
      </c>
    </row>
    <row r="433" spans="1:11" x14ac:dyDescent="0.3">
      <c r="A433" s="6">
        <v>45446</v>
      </c>
      <c r="B433" s="5" t="s">
        <v>39</v>
      </c>
      <c r="C433" s="5" t="s">
        <v>41</v>
      </c>
      <c r="D433" s="5" t="s">
        <v>8</v>
      </c>
      <c r="E433" s="5" t="s">
        <v>9</v>
      </c>
      <c r="F433" s="5">
        <v>2839</v>
      </c>
      <c r="G433" s="5" t="str">
        <f>VLOOKUP(C433,Sheet2!$C$3:$D$12,2,0)</f>
        <v>Variable</v>
      </c>
      <c r="H433" s="5" t="str">
        <f>IFERROR(VLOOKUP(E433,Sheet2!$G$3:$H$8,2,0),"unkwon")</f>
        <v>online</v>
      </c>
      <c r="I433" s="5">
        <f>VLOOKUP(B433,Sheet2!$J$4:$K$15,2,0)</f>
        <v>6</v>
      </c>
      <c r="J433" s="5">
        <f>IFERROR(VLOOKUP(C433,Sheet2!$M$4:$N$12,2,0),0)</f>
        <v>7000</v>
      </c>
      <c r="K433" s="5" t="str">
        <f t="shared" si="6"/>
        <v>within budget</v>
      </c>
    </row>
    <row r="434" spans="1:11" x14ac:dyDescent="0.3">
      <c r="A434" s="6">
        <v>45187</v>
      </c>
      <c r="B434" s="5" t="s">
        <v>38</v>
      </c>
      <c r="C434" s="5" t="s">
        <v>7</v>
      </c>
      <c r="D434" s="5" t="s">
        <v>8</v>
      </c>
      <c r="E434" s="5" t="s">
        <v>9</v>
      </c>
      <c r="F434" s="5">
        <v>72</v>
      </c>
      <c r="G434" s="5" t="str">
        <f>VLOOKUP(C434,Sheet2!$C$3:$D$12,2,0)</f>
        <v>Fixed</v>
      </c>
      <c r="H434" s="5" t="str">
        <f>IFERROR(VLOOKUP(E434,Sheet2!$G$3:$H$8,2,0),"unkwon")</f>
        <v>online</v>
      </c>
      <c r="I434" s="5">
        <f>VLOOKUP(B434,Sheet2!$J$4:$K$15,2,0)</f>
        <v>9</v>
      </c>
      <c r="J434" s="5">
        <f>IFERROR(VLOOKUP(C434,Sheet2!$M$4:$N$12,2,0),0)</f>
        <v>2000</v>
      </c>
      <c r="K434" s="5" t="str">
        <f t="shared" si="6"/>
        <v>within budget</v>
      </c>
    </row>
    <row r="435" spans="1:11" x14ac:dyDescent="0.3">
      <c r="A435" s="6">
        <v>45615</v>
      </c>
      <c r="B435" s="5" t="s">
        <v>40</v>
      </c>
      <c r="C435" s="5" t="s">
        <v>22</v>
      </c>
      <c r="D435" s="5" t="s">
        <v>26</v>
      </c>
      <c r="E435" s="5" t="s">
        <v>12</v>
      </c>
      <c r="F435" s="5">
        <v>756</v>
      </c>
      <c r="G435" s="5" t="str">
        <f>VLOOKUP(C435,Sheet2!$C$3:$D$12,2,0)</f>
        <v>Variable</v>
      </c>
      <c r="H435" s="5" t="str">
        <f>IFERROR(VLOOKUP(E435,Sheet2!$G$3:$H$8,2,0),"unkwon")</f>
        <v>online</v>
      </c>
      <c r="I435" s="5">
        <f>VLOOKUP(B435,Sheet2!$J$4:$K$15,2,0)</f>
        <v>11</v>
      </c>
      <c r="J435" s="5">
        <f>IFERROR(VLOOKUP(C435,Sheet2!$M$4:$N$12,2,0),0)</f>
        <v>1000</v>
      </c>
      <c r="K435" s="5" t="str">
        <f t="shared" si="6"/>
        <v>within budget</v>
      </c>
    </row>
    <row r="436" spans="1:11" x14ac:dyDescent="0.3">
      <c r="A436" s="6">
        <v>45275</v>
      </c>
      <c r="B436" s="5" t="s">
        <v>16</v>
      </c>
      <c r="C436" s="5" t="s">
        <v>7</v>
      </c>
      <c r="D436" s="5" t="s">
        <v>23</v>
      </c>
      <c r="E436" s="5" t="s">
        <v>12</v>
      </c>
      <c r="F436" s="5">
        <v>2163</v>
      </c>
      <c r="G436" s="5" t="str">
        <f>VLOOKUP(C436,Sheet2!$C$3:$D$12,2,0)</f>
        <v>Fixed</v>
      </c>
      <c r="H436" s="5" t="str">
        <f>IFERROR(VLOOKUP(E436,Sheet2!$G$3:$H$8,2,0),"unkwon")</f>
        <v>online</v>
      </c>
      <c r="I436" s="5">
        <f>VLOOKUP(B436,Sheet2!$J$4:$K$15,2,0)</f>
        <v>12</v>
      </c>
      <c r="J436" s="5">
        <f>IFERROR(VLOOKUP(C436,Sheet2!$M$4:$N$12,2,0),0)</f>
        <v>2000</v>
      </c>
      <c r="K436" s="5" t="str">
        <f t="shared" si="6"/>
        <v>over budget</v>
      </c>
    </row>
    <row r="437" spans="1:11" x14ac:dyDescent="0.3">
      <c r="A437" s="6">
        <v>45325</v>
      </c>
      <c r="B437" s="5" t="s">
        <v>33</v>
      </c>
      <c r="C437" s="5" t="s">
        <v>13</v>
      </c>
      <c r="D437" s="5" t="s">
        <v>26</v>
      </c>
      <c r="E437" s="5" t="s">
        <v>32</v>
      </c>
      <c r="F437" s="5">
        <v>616</v>
      </c>
      <c r="G437" s="5" t="str">
        <f>VLOOKUP(C437,Sheet2!$C$3:$D$12,2,0)</f>
        <v>Variable</v>
      </c>
      <c r="H437" s="5" t="str">
        <f>IFERROR(VLOOKUP(E437,Sheet2!$G$3:$H$8,2,0),"unkwon")</f>
        <v>offline</v>
      </c>
      <c r="I437" s="5">
        <f>VLOOKUP(B437,Sheet2!$J$4:$K$15,2,0)</f>
        <v>2</v>
      </c>
      <c r="J437" s="5">
        <f>IFERROR(VLOOKUP(C437,Sheet2!$M$4:$N$12,2,0),0)</f>
        <v>5000</v>
      </c>
      <c r="K437" s="5" t="str">
        <f t="shared" si="6"/>
        <v>within budget</v>
      </c>
    </row>
    <row r="438" spans="1:11" x14ac:dyDescent="0.3">
      <c r="A438" s="6">
        <v>45463</v>
      </c>
      <c r="B438" s="5" t="s">
        <v>39</v>
      </c>
      <c r="C438" s="5" t="s">
        <v>36</v>
      </c>
      <c r="D438" s="5" t="s">
        <v>8</v>
      </c>
      <c r="E438" s="5" t="s">
        <v>15</v>
      </c>
      <c r="F438" s="5">
        <v>1022</v>
      </c>
      <c r="G438" s="5" t="str">
        <f>VLOOKUP(C438,Sheet2!$C$3:$D$12,2,0)</f>
        <v>Variable</v>
      </c>
      <c r="H438" s="5" t="str">
        <f>IFERROR(VLOOKUP(E438,Sheet2!$G$3:$H$8,2,0),"unkwon")</f>
        <v>online</v>
      </c>
      <c r="I438" s="5">
        <f>VLOOKUP(B438,Sheet2!$J$4:$K$15,2,0)</f>
        <v>6</v>
      </c>
      <c r="J438" s="5">
        <f>IFERROR(VLOOKUP(C438,Sheet2!$M$4:$N$12,2,0),0)</f>
        <v>10000</v>
      </c>
      <c r="K438" s="5" t="str">
        <f t="shared" si="6"/>
        <v>within budget</v>
      </c>
    </row>
    <row r="439" spans="1:11" x14ac:dyDescent="0.3">
      <c r="A439" s="6">
        <v>45269</v>
      </c>
      <c r="B439" s="5" t="s">
        <v>16</v>
      </c>
      <c r="C439" s="5" t="s">
        <v>41</v>
      </c>
      <c r="D439" s="5" t="s">
        <v>31</v>
      </c>
      <c r="E439" s="5" t="s">
        <v>9</v>
      </c>
      <c r="F439" s="5">
        <v>2080</v>
      </c>
      <c r="G439" s="5" t="str">
        <f>VLOOKUP(C439,Sheet2!$C$3:$D$12,2,0)</f>
        <v>Variable</v>
      </c>
      <c r="H439" s="5" t="str">
        <f>IFERROR(VLOOKUP(E439,Sheet2!$G$3:$H$8,2,0),"unkwon")</f>
        <v>online</v>
      </c>
      <c r="I439" s="5">
        <f>VLOOKUP(B439,Sheet2!$J$4:$K$15,2,0)</f>
        <v>12</v>
      </c>
      <c r="J439" s="5">
        <f>IFERROR(VLOOKUP(C439,Sheet2!$M$4:$N$12,2,0),0)</f>
        <v>7000</v>
      </c>
      <c r="K439" s="5" t="str">
        <f t="shared" si="6"/>
        <v>within budget</v>
      </c>
    </row>
    <row r="440" spans="1:11" x14ac:dyDescent="0.3">
      <c r="A440" s="6">
        <v>45648</v>
      </c>
      <c r="B440" s="5" t="s">
        <v>16</v>
      </c>
      <c r="C440" s="5" t="s">
        <v>13</v>
      </c>
      <c r="D440" s="5" t="s">
        <v>11</v>
      </c>
      <c r="E440" s="5" t="s">
        <v>15</v>
      </c>
      <c r="F440" s="5">
        <v>997</v>
      </c>
      <c r="G440" s="5" t="str">
        <f>VLOOKUP(C440,Sheet2!$C$3:$D$12,2,0)</f>
        <v>Variable</v>
      </c>
      <c r="H440" s="5" t="str">
        <f>IFERROR(VLOOKUP(E440,Sheet2!$G$3:$H$8,2,0),"unkwon")</f>
        <v>online</v>
      </c>
      <c r="I440" s="5">
        <f>VLOOKUP(B440,Sheet2!$J$4:$K$15,2,0)</f>
        <v>12</v>
      </c>
      <c r="J440" s="5">
        <f>IFERROR(VLOOKUP(C440,Sheet2!$M$4:$N$12,2,0),0)</f>
        <v>5000</v>
      </c>
      <c r="K440" s="5" t="str">
        <f t="shared" si="6"/>
        <v>within budget</v>
      </c>
    </row>
    <row r="441" spans="1:11" x14ac:dyDescent="0.3">
      <c r="A441" s="6">
        <v>45039</v>
      </c>
      <c r="B441" s="5" t="s">
        <v>29</v>
      </c>
      <c r="C441" s="5" t="s">
        <v>27</v>
      </c>
      <c r="D441" s="5" t="s">
        <v>8</v>
      </c>
      <c r="E441" s="5" t="s">
        <v>9</v>
      </c>
      <c r="F441" s="5">
        <v>1103</v>
      </c>
      <c r="G441" s="5" t="str">
        <f>VLOOKUP(C441,Sheet2!$C$3:$D$12,2,0)</f>
        <v>Variable</v>
      </c>
      <c r="H441" s="5" t="str">
        <f>IFERROR(VLOOKUP(E441,Sheet2!$G$3:$H$8,2,0),"unkwon")</f>
        <v>online</v>
      </c>
      <c r="I441" s="5">
        <f>VLOOKUP(B441,Sheet2!$J$4:$K$15,2,0)</f>
        <v>4</v>
      </c>
      <c r="J441" s="5">
        <f>IFERROR(VLOOKUP(C441,Sheet2!$M$4:$N$12,2,0),0)</f>
        <v>4000</v>
      </c>
      <c r="K441" s="5" t="str">
        <f t="shared" si="6"/>
        <v>within budget</v>
      </c>
    </row>
    <row r="442" spans="1:11" x14ac:dyDescent="0.3">
      <c r="A442" s="6">
        <v>45645</v>
      </c>
      <c r="B442" s="5" t="s">
        <v>16</v>
      </c>
      <c r="C442" s="5" t="s">
        <v>27</v>
      </c>
      <c r="D442" s="5" t="s">
        <v>20</v>
      </c>
      <c r="E442" s="5" t="s">
        <v>15</v>
      </c>
      <c r="F442" s="5">
        <v>446</v>
      </c>
      <c r="G442" s="5" t="str">
        <f>VLOOKUP(C442,Sheet2!$C$3:$D$12,2,0)</f>
        <v>Variable</v>
      </c>
      <c r="H442" s="5" t="str">
        <f>IFERROR(VLOOKUP(E442,Sheet2!$G$3:$H$8,2,0),"unkwon")</f>
        <v>online</v>
      </c>
      <c r="I442" s="5">
        <f>VLOOKUP(B442,Sheet2!$J$4:$K$15,2,0)</f>
        <v>12</v>
      </c>
      <c r="J442" s="5">
        <f>IFERROR(VLOOKUP(C442,Sheet2!$M$4:$N$12,2,0),0)</f>
        <v>4000</v>
      </c>
      <c r="K442" s="5" t="str">
        <f t="shared" si="6"/>
        <v>within budget</v>
      </c>
    </row>
    <row r="443" spans="1:11" x14ac:dyDescent="0.3">
      <c r="A443" s="6">
        <v>45188</v>
      </c>
      <c r="B443" s="5" t="s">
        <v>38</v>
      </c>
      <c r="C443" s="5" t="s">
        <v>36</v>
      </c>
      <c r="D443" s="5" t="s">
        <v>11</v>
      </c>
      <c r="E443" s="5" t="s">
        <v>32</v>
      </c>
      <c r="F443" s="5">
        <v>2308</v>
      </c>
      <c r="G443" s="5" t="str">
        <f>VLOOKUP(C443,Sheet2!$C$3:$D$12,2,0)</f>
        <v>Variable</v>
      </c>
      <c r="H443" s="5" t="str">
        <f>IFERROR(VLOOKUP(E443,Sheet2!$G$3:$H$8,2,0),"unkwon")</f>
        <v>offline</v>
      </c>
      <c r="I443" s="5">
        <f>VLOOKUP(B443,Sheet2!$J$4:$K$15,2,0)</f>
        <v>9</v>
      </c>
      <c r="J443" s="5">
        <f>IFERROR(VLOOKUP(C443,Sheet2!$M$4:$N$12,2,0),0)</f>
        <v>10000</v>
      </c>
      <c r="K443" s="5" t="str">
        <f t="shared" si="6"/>
        <v>within budget</v>
      </c>
    </row>
    <row r="444" spans="1:11" x14ac:dyDescent="0.3">
      <c r="A444" s="6">
        <v>45457</v>
      </c>
      <c r="B444" s="5" t="s">
        <v>39</v>
      </c>
      <c r="C444" s="5" t="s">
        <v>13</v>
      </c>
      <c r="D444" s="5" t="s">
        <v>26</v>
      </c>
      <c r="E444" s="5" t="s">
        <v>12</v>
      </c>
      <c r="F444" s="5">
        <v>2480</v>
      </c>
      <c r="G444" s="5" t="str">
        <f>VLOOKUP(C444,Sheet2!$C$3:$D$12,2,0)</f>
        <v>Variable</v>
      </c>
      <c r="H444" s="5" t="str">
        <f>IFERROR(VLOOKUP(E444,Sheet2!$G$3:$H$8,2,0),"unkwon")</f>
        <v>online</v>
      </c>
      <c r="I444" s="5">
        <f>VLOOKUP(B444,Sheet2!$J$4:$K$15,2,0)</f>
        <v>6</v>
      </c>
      <c r="J444" s="5">
        <f>IFERROR(VLOOKUP(C444,Sheet2!$M$4:$N$12,2,0),0)</f>
        <v>5000</v>
      </c>
      <c r="K444" s="5" t="str">
        <f t="shared" si="6"/>
        <v>within budget</v>
      </c>
    </row>
    <row r="445" spans="1:11" x14ac:dyDescent="0.3">
      <c r="A445" s="6">
        <v>45181</v>
      </c>
      <c r="B445" s="5" t="s">
        <v>38</v>
      </c>
      <c r="C445" s="5" t="s">
        <v>30</v>
      </c>
      <c r="D445" s="5" t="s">
        <v>18</v>
      </c>
      <c r="E445" s="5" t="s">
        <v>17</v>
      </c>
      <c r="F445" s="5">
        <v>1199</v>
      </c>
      <c r="G445" s="5" t="str">
        <f>VLOOKUP(C445,Sheet2!$C$3:$D$12,2,0)</f>
        <v>Fixed</v>
      </c>
      <c r="H445" s="5" t="str">
        <f>IFERROR(VLOOKUP(E445,Sheet2!$G$3:$H$8,2,0),"unkwon")</f>
        <v>online</v>
      </c>
      <c r="I445" s="5">
        <f>VLOOKUP(B445,Sheet2!$J$4:$K$15,2,0)</f>
        <v>9</v>
      </c>
      <c r="J445" s="5">
        <f>IFERROR(VLOOKUP(C445,Sheet2!$M$4:$N$12,2,0),0)</f>
        <v>3000</v>
      </c>
      <c r="K445" s="5" t="str">
        <f t="shared" si="6"/>
        <v>within budget</v>
      </c>
    </row>
    <row r="446" spans="1:11" x14ac:dyDescent="0.3">
      <c r="A446" s="6">
        <v>45330</v>
      </c>
      <c r="B446" s="5" t="s">
        <v>33</v>
      </c>
      <c r="C446" s="5" t="s">
        <v>36</v>
      </c>
      <c r="D446" s="5" t="s">
        <v>11</v>
      </c>
      <c r="E446" s="5" t="s">
        <v>32</v>
      </c>
      <c r="F446" s="5">
        <v>2269</v>
      </c>
      <c r="G446" s="5" t="str">
        <f>VLOOKUP(C446,Sheet2!$C$3:$D$12,2,0)</f>
        <v>Variable</v>
      </c>
      <c r="H446" s="5" t="str">
        <f>IFERROR(VLOOKUP(E446,Sheet2!$G$3:$H$8,2,0),"unkwon")</f>
        <v>offline</v>
      </c>
      <c r="I446" s="5">
        <f>VLOOKUP(B446,Sheet2!$J$4:$K$15,2,0)</f>
        <v>2</v>
      </c>
      <c r="J446" s="5">
        <f>IFERROR(VLOOKUP(C446,Sheet2!$M$4:$N$12,2,0),0)</f>
        <v>10000</v>
      </c>
      <c r="K446" s="5" t="str">
        <f t="shared" si="6"/>
        <v>within budget</v>
      </c>
    </row>
    <row r="447" spans="1:11" x14ac:dyDescent="0.3">
      <c r="A447" s="6">
        <v>45466</v>
      </c>
      <c r="B447" s="5" t="s">
        <v>39</v>
      </c>
      <c r="C447" s="5" t="s">
        <v>10</v>
      </c>
      <c r="D447" s="5" t="s">
        <v>31</v>
      </c>
      <c r="E447" s="5" t="s">
        <v>32</v>
      </c>
      <c r="F447" s="5">
        <v>2037</v>
      </c>
      <c r="G447" s="5" t="str">
        <f>VLOOKUP(C447,Sheet2!$C$3:$D$12,2,0)</f>
        <v>Variable</v>
      </c>
      <c r="H447" s="5" t="str">
        <f>IFERROR(VLOOKUP(E447,Sheet2!$G$3:$H$8,2,0),"unkwon")</f>
        <v>offline</v>
      </c>
      <c r="I447" s="5">
        <f>VLOOKUP(B447,Sheet2!$J$4:$K$15,2,0)</f>
        <v>6</v>
      </c>
      <c r="J447" s="5">
        <f>IFERROR(VLOOKUP(C447,Sheet2!$M$4:$N$12,2,0),0)</f>
        <v>5000</v>
      </c>
      <c r="K447" s="5" t="str">
        <f t="shared" si="6"/>
        <v>within budget</v>
      </c>
    </row>
    <row r="448" spans="1:11" x14ac:dyDescent="0.3">
      <c r="A448" s="6">
        <v>45095</v>
      </c>
      <c r="B448" s="5" t="s">
        <v>39</v>
      </c>
      <c r="C448" s="5" t="s">
        <v>22</v>
      </c>
      <c r="D448" s="5" t="s">
        <v>26</v>
      </c>
      <c r="E448" s="5" t="s">
        <v>12</v>
      </c>
      <c r="F448" s="5">
        <v>574</v>
      </c>
      <c r="G448" s="5" t="str">
        <f>VLOOKUP(C448,Sheet2!$C$3:$D$12,2,0)</f>
        <v>Variable</v>
      </c>
      <c r="H448" s="5" t="str">
        <f>IFERROR(VLOOKUP(E448,Sheet2!$G$3:$H$8,2,0),"unkwon")</f>
        <v>online</v>
      </c>
      <c r="I448" s="5">
        <f>VLOOKUP(B448,Sheet2!$J$4:$K$15,2,0)</f>
        <v>6</v>
      </c>
      <c r="J448" s="5">
        <f>IFERROR(VLOOKUP(C448,Sheet2!$M$4:$N$12,2,0),0)</f>
        <v>1000</v>
      </c>
      <c r="K448" s="5" t="str">
        <f t="shared" si="6"/>
        <v>within budget</v>
      </c>
    </row>
    <row r="449" spans="1:11" x14ac:dyDescent="0.3">
      <c r="A449" s="6">
        <v>45510</v>
      </c>
      <c r="B449" s="5" t="s">
        <v>25</v>
      </c>
      <c r="C449" s="5" t="s">
        <v>22</v>
      </c>
      <c r="D449" s="5" t="s">
        <v>23</v>
      </c>
      <c r="E449" s="5" t="s">
        <v>17</v>
      </c>
      <c r="F449" s="5">
        <v>1503</v>
      </c>
      <c r="G449" s="5" t="str">
        <f>VLOOKUP(C449,Sheet2!$C$3:$D$12,2,0)</f>
        <v>Variable</v>
      </c>
      <c r="H449" s="5" t="str">
        <f>IFERROR(VLOOKUP(E449,Sheet2!$G$3:$H$8,2,0),"unkwon")</f>
        <v>online</v>
      </c>
      <c r="I449" s="5">
        <f>VLOOKUP(B449,Sheet2!$J$4:$K$15,2,0)</f>
        <v>8</v>
      </c>
      <c r="J449" s="5">
        <f>IFERROR(VLOOKUP(C449,Sheet2!$M$4:$N$12,2,0),0)</f>
        <v>1000</v>
      </c>
      <c r="K449" s="5" t="str">
        <f t="shared" si="6"/>
        <v>over budget</v>
      </c>
    </row>
    <row r="450" spans="1:11" x14ac:dyDescent="0.3">
      <c r="A450" s="6">
        <v>45377</v>
      </c>
      <c r="B450" s="5" t="s">
        <v>19</v>
      </c>
      <c r="C450" s="5" t="s">
        <v>10</v>
      </c>
      <c r="D450" s="5" t="s">
        <v>23</v>
      </c>
      <c r="E450" s="5" t="s">
        <v>32</v>
      </c>
      <c r="F450" s="5">
        <v>1633</v>
      </c>
      <c r="G450" s="5" t="str">
        <f>VLOOKUP(C450,Sheet2!$C$3:$D$12,2,0)</f>
        <v>Variable</v>
      </c>
      <c r="H450" s="5" t="str">
        <f>IFERROR(VLOOKUP(E450,Sheet2!$G$3:$H$8,2,0),"unkwon")</f>
        <v>offline</v>
      </c>
      <c r="I450" s="5">
        <f>VLOOKUP(B450,Sheet2!$J$4:$K$15,2,0)</f>
        <v>3</v>
      </c>
      <c r="J450" s="5">
        <f>IFERROR(VLOOKUP(C450,Sheet2!$M$4:$N$12,2,0),0)</f>
        <v>5000</v>
      </c>
      <c r="K450" s="5" t="str">
        <f t="shared" si="6"/>
        <v>within budget</v>
      </c>
    </row>
    <row r="451" spans="1:11" x14ac:dyDescent="0.3">
      <c r="A451" s="6">
        <v>45639</v>
      </c>
      <c r="B451" s="5" t="s">
        <v>16</v>
      </c>
      <c r="C451" s="5" t="s">
        <v>35</v>
      </c>
      <c r="D451" s="5" t="s">
        <v>11</v>
      </c>
      <c r="E451" s="5" t="s">
        <v>9</v>
      </c>
      <c r="F451" s="5">
        <v>2459</v>
      </c>
      <c r="G451" s="5" t="str">
        <f>VLOOKUP(C451,Sheet2!$C$3:$D$12,2,0)</f>
        <v>Fixed</v>
      </c>
      <c r="H451" s="5" t="str">
        <f>IFERROR(VLOOKUP(E451,Sheet2!$G$3:$H$8,2,0),"unkwon")</f>
        <v>online</v>
      </c>
      <c r="I451" s="5">
        <f>VLOOKUP(B451,Sheet2!$J$4:$K$15,2,0)</f>
        <v>12</v>
      </c>
      <c r="J451" s="5">
        <f>IFERROR(VLOOKUP(C451,Sheet2!$M$4:$N$12,2,0),0)</f>
        <v>5500</v>
      </c>
      <c r="K451" s="5" t="str">
        <f t="shared" ref="K451:K514" si="7">IF(F451&gt;J451,"over budget","within budget")</f>
        <v>within budget</v>
      </c>
    </row>
    <row r="452" spans="1:11" x14ac:dyDescent="0.3">
      <c r="A452" s="6">
        <v>45340</v>
      </c>
      <c r="B452" s="5" t="s">
        <v>33</v>
      </c>
      <c r="C452" s="5" t="s">
        <v>27</v>
      </c>
      <c r="D452" s="5" t="s">
        <v>8</v>
      </c>
      <c r="E452" s="5" t="s">
        <v>12</v>
      </c>
      <c r="F452" s="5">
        <v>4595</v>
      </c>
      <c r="G452" s="5" t="str">
        <f>VLOOKUP(C452,Sheet2!$C$3:$D$12,2,0)</f>
        <v>Variable</v>
      </c>
      <c r="H452" s="5" t="str">
        <f>IFERROR(VLOOKUP(E452,Sheet2!$G$3:$H$8,2,0),"unkwon")</f>
        <v>online</v>
      </c>
      <c r="I452" s="5">
        <f>VLOOKUP(B452,Sheet2!$J$4:$K$15,2,0)</f>
        <v>2</v>
      </c>
      <c r="J452" s="5">
        <f>IFERROR(VLOOKUP(C452,Sheet2!$M$4:$N$12,2,0),0)</f>
        <v>4000</v>
      </c>
      <c r="K452" s="5" t="str">
        <f t="shared" si="7"/>
        <v>over budget</v>
      </c>
    </row>
    <row r="453" spans="1:11" x14ac:dyDescent="0.3">
      <c r="A453" s="6">
        <v>45364</v>
      </c>
      <c r="B453" s="5" t="s">
        <v>19</v>
      </c>
      <c r="C453" s="5" t="s">
        <v>35</v>
      </c>
      <c r="D453" s="5" t="s">
        <v>18</v>
      </c>
      <c r="E453" s="5" t="s">
        <v>15</v>
      </c>
      <c r="F453" s="5">
        <v>2873</v>
      </c>
      <c r="G453" s="5" t="str">
        <f>VLOOKUP(C453,Sheet2!$C$3:$D$12,2,0)</f>
        <v>Fixed</v>
      </c>
      <c r="H453" s="5" t="str">
        <f>IFERROR(VLOOKUP(E453,Sheet2!$G$3:$H$8,2,0),"unkwon")</f>
        <v>online</v>
      </c>
      <c r="I453" s="5">
        <f>VLOOKUP(B453,Sheet2!$J$4:$K$15,2,0)</f>
        <v>3</v>
      </c>
      <c r="J453" s="5">
        <f>IFERROR(VLOOKUP(C453,Sheet2!$M$4:$N$12,2,0),0)</f>
        <v>5500</v>
      </c>
      <c r="K453" s="5" t="str">
        <f t="shared" si="7"/>
        <v>within budget</v>
      </c>
    </row>
    <row r="454" spans="1:11" x14ac:dyDescent="0.3">
      <c r="A454" s="6">
        <v>45197</v>
      </c>
      <c r="B454" s="5" t="s">
        <v>38</v>
      </c>
      <c r="C454" s="5" t="s">
        <v>36</v>
      </c>
      <c r="D454" s="5" t="s">
        <v>20</v>
      </c>
      <c r="E454" s="5" t="s">
        <v>12</v>
      </c>
      <c r="F454" s="5">
        <v>4588</v>
      </c>
      <c r="G454" s="5" t="str">
        <f>VLOOKUP(C454,Sheet2!$C$3:$D$12,2,0)</f>
        <v>Variable</v>
      </c>
      <c r="H454" s="5" t="str">
        <f>IFERROR(VLOOKUP(E454,Sheet2!$G$3:$H$8,2,0),"unkwon")</f>
        <v>online</v>
      </c>
      <c r="I454" s="5">
        <f>VLOOKUP(B454,Sheet2!$J$4:$K$15,2,0)</f>
        <v>9</v>
      </c>
      <c r="J454" s="5">
        <f>IFERROR(VLOOKUP(C454,Sheet2!$M$4:$N$12,2,0),0)</f>
        <v>10000</v>
      </c>
      <c r="K454" s="5" t="str">
        <f t="shared" si="7"/>
        <v>within budget</v>
      </c>
    </row>
    <row r="455" spans="1:11" x14ac:dyDescent="0.3">
      <c r="A455" s="6">
        <v>45589</v>
      </c>
      <c r="B455" s="5" t="s">
        <v>6</v>
      </c>
      <c r="C455" s="5" t="s">
        <v>27</v>
      </c>
      <c r="D455" s="5" t="s">
        <v>31</v>
      </c>
      <c r="E455" s="5" t="s">
        <v>17</v>
      </c>
      <c r="F455" s="5">
        <v>532</v>
      </c>
      <c r="G455" s="5" t="str">
        <f>VLOOKUP(C455,Sheet2!$C$3:$D$12,2,0)</f>
        <v>Variable</v>
      </c>
      <c r="H455" s="5" t="str">
        <f>IFERROR(VLOOKUP(E455,Sheet2!$G$3:$H$8,2,0),"unkwon")</f>
        <v>online</v>
      </c>
      <c r="I455" s="5">
        <f>VLOOKUP(B455,Sheet2!$J$4:$K$15,2,0)</f>
        <v>10</v>
      </c>
      <c r="J455" s="5">
        <f>IFERROR(VLOOKUP(C455,Sheet2!$M$4:$N$12,2,0),0)</f>
        <v>4000</v>
      </c>
      <c r="K455" s="5" t="str">
        <f t="shared" si="7"/>
        <v>within budget</v>
      </c>
    </row>
    <row r="456" spans="1:11" x14ac:dyDescent="0.3">
      <c r="A456" s="6">
        <v>45537</v>
      </c>
      <c r="B456" s="5" t="s">
        <v>38</v>
      </c>
      <c r="C456" s="5" t="s">
        <v>10</v>
      </c>
      <c r="D456" s="5" t="s">
        <v>8</v>
      </c>
      <c r="E456" s="5" t="s">
        <v>32</v>
      </c>
      <c r="F456" s="5">
        <v>3021</v>
      </c>
      <c r="G456" s="5" t="str">
        <f>VLOOKUP(C456,Sheet2!$C$3:$D$12,2,0)</f>
        <v>Variable</v>
      </c>
      <c r="H456" s="5" t="str">
        <f>IFERROR(VLOOKUP(E456,Sheet2!$G$3:$H$8,2,0),"unkwon")</f>
        <v>offline</v>
      </c>
      <c r="I456" s="5">
        <f>VLOOKUP(B456,Sheet2!$J$4:$K$15,2,0)</f>
        <v>9</v>
      </c>
      <c r="J456" s="5">
        <f>IFERROR(VLOOKUP(C456,Sheet2!$M$4:$N$12,2,0),0)</f>
        <v>5000</v>
      </c>
      <c r="K456" s="5" t="str">
        <f t="shared" si="7"/>
        <v>within budget</v>
      </c>
    </row>
    <row r="457" spans="1:11" x14ac:dyDescent="0.3">
      <c r="A457" s="6">
        <v>45421</v>
      </c>
      <c r="B457" s="5" t="s">
        <v>28</v>
      </c>
      <c r="C457" s="5" t="s">
        <v>10</v>
      </c>
      <c r="D457" s="5" t="s">
        <v>24</v>
      </c>
      <c r="E457" s="5" t="s">
        <v>32</v>
      </c>
      <c r="F457" s="5">
        <v>2125</v>
      </c>
      <c r="G457" s="5" t="str">
        <f>VLOOKUP(C457,Sheet2!$C$3:$D$12,2,0)</f>
        <v>Variable</v>
      </c>
      <c r="H457" s="5" t="str">
        <f>IFERROR(VLOOKUP(E457,Sheet2!$G$3:$H$8,2,0),"unkwon")</f>
        <v>offline</v>
      </c>
      <c r="I457" s="5">
        <f>VLOOKUP(B457,Sheet2!$J$4:$K$15,2,0)</f>
        <v>5</v>
      </c>
      <c r="J457" s="5">
        <f>IFERROR(VLOOKUP(C457,Sheet2!$M$4:$N$12,2,0),0)</f>
        <v>5000</v>
      </c>
      <c r="K457" s="5" t="str">
        <f t="shared" si="7"/>
        <v>within budget</v>
      </c>
    </row>
    <row r="458" spans="1:11" x14ac:dyDescent="0.3">
      <c r="A458" s="6">
        <v>45550</v>
      </c>
      <c r="B458" s="5" t="s">
        <v>38</v>
      </c>
      <c r="C458" s="5" t="s">
        <v>35</v>
      </c>
      <c r="D458" s="5" t="s">
        <v>23</v>
      </c>
      <c r="E458" s="5" t="s">
        <v>15</v>
      </c>
      <c r="F458" s="5">
        <v>3188</v>
      </c>
      <c r="G458" s="5" t="str">
        <f>VLOOKUP(C458,Sheet2!$C$3:$D$12,2,0)</f>
        <v>Fixed</v>
      </c>
      <c r="H458" s="5" t="str">
        <f>IFERROR(VLOOKUP(E458,Sheet2!$G$3:$H$8,2,0),"unkwon")</f>
        <v>online</v>
      </c>
      <c r="I458" s="5">
        <f>VLOOKUP(B458,Sheet2!$J$4:$K$15,2,0)</f>
        <v>9</v>
      </c>
      <c r="J458" s="5">
        <f>IFERROR(VLOOKUP(C458,Sheet2!$M$4:$N$12,2,0),0)</f>
        <v>5500</v>
      </c>
      <c r="K458" s="5" t="str">
        <f t="shared" si="7"/>
        <v>within budget</v>
      </c>
    </row>
    <row r="459" spans="1:11" x14ac:dyDescent="0.3">
      <c r="A459" s="6">
        <v>44943</v>
      </c>
      <c r="B459" s="5" t="s">
        <v>37</v>
      </c>
      <c r="C459" s="5" t="s">
        <v>10</v>
      </c>
      <c r="D459" s="5" t="s">
        <v>8</v>
      </c>
      <c r="E459" s="5" t="s">
        <v>17</v>
      </c>
      <c r="F459" s="5">
        <v>4543</v>
      </c>
      <c r="G459" s="5" t="str">
        <f>VLOOKUP(C459,Sheet2!$C$3:$D$12,2,0)</f>
        <v>Variable</v>
      </c>
      <c r="H459" s="5" t="str">
        <f>IFERROR(VLOOKUP(E459,Sheet2!$G$3:$H$8,2,0),"unkwon")</f>
        <v>online</v>
      </c>
      <c r="I459" s="5">
        <f>VLOOKUP(B459,Sheet2!$J$4:$K$15,2,0)</f>
        <v>1</v>
      </c>
      <c r="J459" s="5">
        <f>IFERROR(VLOOKUP(C459,Sheet2!$M$4:$N$12,2,0),0)</f>
        <v>5000</v>
      </c>
      <c r="K459" s="5" t="str">
        <f t="shared" si="7"/>
        <v>within budget</v>
      </c>
    </row>
    <row r="460" spans="1:11" x14ac:dyDescent="0.3">
      <c r="A460" s="6">
        <v>45346</v>
      </c>
      <c r="B460" s="5" t="s">
        <v>33</v>
      </c>
      <c r="C460" s="5" t="s">
        <v>7</v>
      </c>
      <c r="D460" s="5" t="s">
        <v>23</v>
      </c>
      <c r="E460" s="5" t="s">
        <v>32</v>
      </c>
      <c r="F460" s="5">
        <v>2311</v>
      </c>
      <c r="G460" s="5" t="str">
        <f>VLOOKUP(C460,Sheet2!$C$3:$D$12,2,0)</f>
        <v>Fixed</v>
      </c>
      <c r="H460" s="5" t="str">
        <f>IFERROR(VLOOKUP(E460,Sheet2!$G$3:$H$8,2,0),"unkwon")</f>
        <v>offline</v>
      </c>
      <c r="I460" s="5">
        <f>VLOOKUP(B460,Sheet2!$J$4:$K$15,2,0)</f>
        <v>2</v>
      </c>
      <c r="J460" s="5">
        <f>IFERROR(VLOOKUP(C460,Sheet2!$M$4:$N$12,2,0),0)</f>
        <v>2000</v>
      </c>
      <c r="K460" s="5" t="str">
        <f t="shared" si="7"/>
        <v>over budget</v>
      </c>
    </row>
    <row r="461" spans="1:11" x14ac:dyDescent="0.3">
      <c r="A461" s="6">
        <v>45407</v>
      </c>
      <c r="B461" s="5" t="s">
        <v>29</v>
      </c>
      <c r="C461" s="5" t="s">
        <v>13</v>
      </c>
      <c r="D461" s="5" t="s">
        <v>26</v>
      </c>
      <c r="E461" s="5" t="s">
        <v>9</v>
      </c>
      <c r="F461" s="5">
        <v>796</v>
      </c>
      <c r="G461" s="5" t="str">
        <f>VLOOKUP(C461,Sheet2!$C$3:$D$12,2,0)</f>
        <v>Variable</v>
      </c>
      <c r="H461" s="5" t="str">
        <f>IFERROR(VLOOKUP(E461,Sheet2!$G$3:$H$8,2,0),"unkwon")</f>
        <v>online</v>
      </c>
      <c r="I461" s="5">
        <f>VLOOKUP(B461,Sheet2!$J$4:$K$15,2,0)</f>
        <v>4</v>
      </c>
      <c r="J461" s="5">
        <f>IFERROR(VLOOKUP(C461,Sheet2!$M$4:$N$12,2,0),0)</f>
        <v>5000</v>
      </c>
      <c r="K461" s="5" t="str">
        <f t="shared" si="7"/>
        <v>within budget</v>
      </c>
    </row>
    <row r="462" spans="1:11" x14ac:dyDescent="0.3">
      <c r="A462" s="6">
        <v>45442</v>
      </c>
      <c r="B462" s="5" t="s">
        <v>28</v>
      </c>
      <c r="C462" s="5" t="s">
        <v>10</v>
      </c>
      <c r="D462" s="5" t="s">
        <v>8</v>
      </c>
      <c r="E462" s="5" t="s">
        <v>32</v>
      </c>
      <c r="F462" s="5">
        <v>3850</v>
      </c>
      <c r="G462" s="5" t="str">
        <f>VLOOKUP(C462,Sheet2!$C$3:$D$12,2,0)</f>
        <v>Variable</v>
      </c>
      <c r="H462" s="5" t="str">
        <f>IFERROR(VLOOKUP(E462,Sheet2!$G$3:$H$8,2,0),"unkwon")</f>
        <v>offline</v>
      </c>
      <c r="I462" s="5">
        <f>VLOOKUP(B462,Sheet2!$J$4:$K$15,2,0)</f>
        <v>5</v>
      </c>
      <c r="J462" s="5">
        <f>IFERROR(VLOOKUP(C462,Sheet2!$M$4:$N$12,2,0),0)</f>
        <v>5000</v>
      </c>
      <c r="K462" s="5" t="str">
        <f t="shared" si="7"/>
        <v>within budget</v>
      </c>
    </row>
    <row r="463" spans="1:11" x14ac:dyDescent="0.3">
      <c r="A463" s="6">
        <v>45612</v>
      </c>
      <c r="B463" s="5" t="s">
        <v>40</v>
      </c>
      <c r="C463" s="5" t="s">
        <v>36</v>
      </c>
      <c r="D463" s="5" t="s">
        <v>31</v>
      </c>
      <c r="E463" s="5" t="s">
        <v>12</v>
      </c>
      <c r="F463" s="5">
        <v>4737</v>
      </c>
      <c r="G463" s="5" t="str">
        <f>VLOOKUP(C463,Sheet2!$C$3:$D$12,2,0)</f>
        <v>Variable</v>
      </c>
      <c r="H463" s="5" t="str">
        <f>IFERROR(VLOOKUP(E463,Sheet2!$G$3:$H$8,2,0),"unkwon")</f>
        <v>online</v>
      </c>
      <c r="I463" s="5">
        <f>VLOOKUP(B463,Sheet2!$J$4:$K$15,2,0)</f>
        <v>11</v>
      </c>
      <c r="J463" s="5">
        <f>IFERROR(VLOOKUP(C463,Sheet2!$M$4:$N$12,2,0),0)</f>
        <v>10000</v>
      </c>
      <c r="K463" s="5" t="str">
        <f t="shared" si="7"/>
        <v>within budget</v>
      </c>
    </row>
    <row r="464" spans="1:11" x14ac:dyDescent="0.3">
      <c r="A464" s="6">
        <v>45602</v>
      </c>
      <c r="B464" s="5" t="s">
        <v>40</v>
      </c>
      <c r="C464" s="5" t="s">
        <v>41</v>
      </c>
      <c r="D464" s="5" t="s">
        <v>8</v>
      </c>
      <c r="E464" s="5" t="s">
        <v>32</v>
      </c>
      <c r="F464" s="5">
        <v>3377</v>
      </c>
      <c r="G464" s="5" t="str">
        <f>VLOOKUP(C464,Sheet2!$C$3:$D$12,2,0)</f>
        <v>Variable</v>
      </c>
      <c r="H464" s="5" t="str">
        <f>IFERROR(VLOOKUP(E464,Sheet2!$G$3:$H$8,2,0),"unkwon")</f>
        <v>offline</v>
      </c>
      <c r="I464" s="5">
        <f>VLOOKUP(B464,Sheet2!$J$4:$K$15,2,0)</f>
        <v>11</v>
      </c>
      <c r="J464" s="5">
        <f>IFERROR(VLOOKUP(C464,Sheet2!$M$4:$N$12,2,0),0)</f>
        <v>7000</v>
      </c>
      <c r="K464" s="5" t="str">
        <f t="shared" si="7"/>
        <v>within budget</v>
      </c>
    </row>
    <row r="465" spans="1:11" x14ac:dyDescent="0.3">
      <c r="A465" s="6">
        <v>45547</v>
      </c>
      <c r="B465" s="5" t="s">
        <v>38</v>
      </c>
      <c r="C465" s="5" t="s">
        <v>35</v>
      </c>
      <c r="D465" s="5" t="s">
        <v>20</v>
      </c>
      <c r="E465" s="5" t="s">
        <v>17</v>
      </c>
      <c r="F465" s="5">
        <v>2850</v>
      </c>
      <c r="G465" s="5" t="str">
        <f>VLOOKUP(C465,Sheet2!$C$3:$D$12,2,0)</f>
        <v>Fixed</v>
      </c>
      <c r="H465" s="5" t="str">
        <f>IFERROR(VLOOKUP(E465,Sheet2!$G$3:$H$8,2,0),"unkwon")</f>
        <v>online</v>
      </c>
      <c r="I465" s="5">
        <f>VLOOKUP(B465,Sheet2!$J$4:$K$15,2,0)</f>
        <v>9</v>
      </c>
      <c r="J465" s="5">
        <f>IFERROR(VLOOKUP(C465,Sheet2!$M$4:$N$12,2,0),0)</f>
        <v>5500</v>
      </c>
      <c r="K465" s="5" t="str">
        <f t="shared" si="7"/>
        <v>within budget</v>
      </c>
    </row>
    <row r="466" spans="1:11" x14ac:dyDescent="0.3">
      <c r="A466" s="6">
        <v>45638</v>
      </c>
      <c r="B466" s="5" t="s">
        <v>16</v>
      </c>
      <c r="C466" s="5" t="s">
        <v>7</v>
      </c>
      <c r="D466" s="5" t="s">
        <v>18</v>
      </c>
      <c r="E466" s="5" t="s">
        <v>17</v>
      </c>
      <c r="F466" s="5">
        <v>167</v>
      </c>
      <c r="G466" s="5" t="str">
        <f>VLOOKUP(C466,Sheet2!$C$3:$D$12,2,0)</f>
        <v>Fixed</v>
      </c>
      <c r="H466" s="5" t="str">
        <f>IFERROR(VLOOKUP(E466,Sheet2!$G$3:$H$8,2,0),"unkwon")</f>
        <v>online</v>
      </c>
      <c r="I466" s="5">
        <f>VLOOKUP(B466,Sheet2!$J$4:$K$15,2,0)</f>
        <v>12</v>
      </c>
      <c r="J466" s="5">
        <f>IFERROR(VLOOKUP(C466,Sheet2!$M$4:$N$12,2,0),0)</f>
        <v>2000</v>
      </c>
      <c r="K466" s="5" t="str">
        <f t="shared" si="7"/>
        <v>within budget</v>
      </c>
    </row>
    <row r="467" spans="1:11" x14ac:dyDescent="0.3">
      <c r="A467" s="6">
        <v>45318</v>
      </c>
      <c r="B467" s="5" t="s">
        <v>37</v>
      </c>
      <c r="C467" s="5" t="s">
        <v>41</v>
      </c>
      <c r="D467" s="5" t="s">
        <v>8</v>
      </c>
      <c r="E467" s="5" t="s">
        <v>12</v>
      </c>
      <c r="F467" s="5">
        <v>678</v>
      </c>
      <c r="G467" s="5" t="str">
        <f>VLOOKUP(C467,Sheet2!$C$3:$D$12,2,0)</f>
        <v>Variable</v>
      </c>
      <c r="H467" s="5" t="str">
        <f>IFERROR(VLOOKUP(E467,Sheet2!$G$3:$H$8,2,0),"unkwon")</f>
        <v>online</v>
      </c>
      <c r="I467" s="5">
        <f>VLOOKUP(B467,Sheet2!$J$4:$K$15,2,0)</f>
        <v>1</v>
      </c>
      <c r="J467" s="5">
        <f>IFERROR(VLOOKUP(C467,Sheet2!$M$4:$N$12,2,0),0)</f>
        <v>7000</v>
      </c>
      <c r="K467" s="5" t="str">
        <f t="shared" si="7"/>
        <v>within budget</v>
      </c>
    </row>
    <row r="468" spans="1:11" x14ac:dyDescent="0.3">
      <c r="A468" s="6">
        <v>45264</v>
      </c>
      <c r="B468" s="5" t="s">
        <v>16</v>
      </c>
      <c r="C468" s="5" t="s">
        <v>7</v>
      </c>
      <c r="D468" s="5" t="s">
        <v>24</v>
      </c>
      <c r="E468" s="5" t="s">
        <v>17</v>
      </c>
      <c r="F468" s="5">
        <v>3745</v>
      </c>
      <c r="G468" s="5" t="str">
        <f>VLOOKUP(C468,Sheet2!$C$3:$D$12,2,0)</f>
        <v>Fixed</v>
      </c>
      <c r="H468" s="5" t="str">
        <f>IFERROR(VLOOKUP(E468,Sheet2!$G$3:$H$8,2,0),"unkwon")</f>
        <v>online</v>
      </c>
      <c r="I468" s="5">
        <f>VLOOKUP(B468,Sheet2!$J$4:$K$15,2,0)</f>
        <v>12</v>
      </c>
      <c r="J468" s="5">
        <f>IFERROR(VLOOKUP(C468,Sheet2!$M$4:$N$12,2,0),0)</f>
        <v>2000</v>
      </c>
      <c r="K468" s="5" t="str">
        <f t="shared" si="7"/>
        <v>over budget</v>
      </c>
    </row>
    <row r="469" spans="1:11" x14ac:dyDescent="0.3">
      <c r="A469" s="6">
        <v>45070</v>
      </c>
      <c r="B469" s="5" t="s">
        <v>28</v>
      </c>
      <c r="C469" s="5" t="s">
        <v>7</v>
      </c>
      <c r="D469" s="5" t="s">
        <v>8</v>
      </c>
      <c r="E469" s="5" t="s">
        <v>12</v>
      </c>
      <c r="F469" s="5">
        <v>4221</v>
      </c>
      <c r="G469" s="5" t="str">
        <f>VLOOKUP(C469,Sheet2!$C$3:$D$12,2,0)</f>
        <v>Fixed</v>
      </c>
      <c r="H469" s="5" t="str">
        <f>IFERROR(VLOOKUP(E469,Sheet2!$G$3:$H$8,2,0),"unkwon")</f>
        <v>online</v>
      </c>
      <c r="I469" s="5">
        <f>VLOOKUP(B469,Sheet2!$J$4:$K$15,2,0)</f>
        <v>5</v>
      </c>
      <c r="J469" s="5">
        <f>IFERROR(VLOOKUP(C469,Sheet2!$M$4:$N$12,2,0),0)</f>
        <v>2000</v>
      </c>
      <c r="K469" s="5" t="str">
        <f t="shared" si="7"/>
        <v>over budget</v>
      </c>
    </row>
    <row r="470" spans="1:11" x14ac:dyDescent="0.3">
      <c r="A470" s="6">
        <v>45259</v>
      </c>
      <c r="B470" s="5" t="s">
        <v>40</v>
      </c>
      <c r="C470" s="5" t="s">
        <v>10</v>
      </c>
      <c r="D470" s="5" t="s">
        <v>23</v>
      </c>
      <c r="E470" s="5" t="s">
        <v>9</v>
      </c>
      <c r="F470" s="5">
        <v>1831</v>
      </c>
      <c r="G470" s="5" t="str">
        <f>VLOOKUP(C470,Sheet2!$C$3:$D$12,2,0)</f>
        <v>Variable</v>
      </c>
      <c r="H470" s="5" t="str">
        <f>IFERROR(VLOOKUP(E470,Sheet2!$G$3:$H$8,2,0),"unkwon")</f>
        <v>online</v>
      </c>
      <c r="I470" s="5">
        <f>VLOOKUP(B470,Sheet2!$J$4:$K$15,2,0)</f>
        <v>11</v>
      </c>
      <c r="J470" s="5">
        <f>IFERROR(VLOOKUP(C470,Sheet2!$M$4:$N$12,2,0),0)</f>
        <v>5000</v>
      </c>
      <c r="K470" s="5" t="str">
        <f t="shared" si="7"/>
        <v>within budget</v>
      </c>
    </row>
    <row r="471" spans="1:11" x14ac:dyDescent="0.3">
      <c r="A471" s="6">
        <v>44948</v>
      </c>
      <c r="B471" s="5" t="s">
        <v>37</v>
      </c>
      <c r="C471" s="5" t="s">
        <v>10</v>
      </c>
      <c r="D471" s="5" t="s">
        <v>24</v>
      </c>
      <c r="E471" s="5" t="s">
        <v>15</v>
      </c>
      <c r="F471" s="5">
        <v>2202</v>
      </c>
      <c r="G471" s="5" t="str">
        <f>VLOOKUP(C471,Sheet2!$C$3:$D$12,2,0)</f>
        <v>Variable</v>
      </c>
      <c r="H471" s="5" t="str">
        <f>IFERROR(VLOOKUP(E471,Sheet2!$G$3:$H$8,2,0),"unkwon")</f>
        <v>online</v>
      </c>
      <c r="I471" s="5">
        <f>VLOOKUP(B471,Sheet2!$J$4:$K$15,2,0)</f>
        <v>1</v>
      </c>
      <c r="J471" s="5">
        <f>IFERROR(VLOOKUP(C471,Sheet2!$M$4:$N$12,2,0),0)</f>
        <v>5000</v>
      </c>
      <c r="K471" s="5" t="str">
        <f t="shared" si="7"/>
        <v>within budget</v>
      </c>
    </row>
    <row r="472" spans="1:11" x14ac:dyDescent="0.3">
      <c r="A472" s="6">
        <v>44967</v>
      </c>
      <c r="B472" s="5" t="s">
        <v>33</v>
      </c>
      <c r="C472" s="5" t="s">
        <v>27</v>
      </c>
      <c r="D472" s="5" t="s">
        <v>8</v>
      </c>
      <c r="E472" s="5" t="s">
        <v>15</v>
      </c>
      <c r="F472" s="5">
        <v>2362</v>
      </c>
      <c r="G472" s="5" t="str">
        <f>VLOOKUP(C472,Sheet2!$C$3:$D$12,2,0)</f>
        <v>Variable</v>
      </c>
      <c r="H472" s="5" t="str">
        <f>IFERROR(VLOOKUP(E472,Sheet2!$G$3:$H$8,2,0),"unkwon")</f>
        <v>online</v>
      </c>
      <c r="I472" s="5">
        <f>VLOOKUP(B472,Sheet2!$J$4:$K$15,2,0)</f>
        <v>2</v>
      </c>
      <c r="J472" s="5">
        <f>IFERROR(VLOOKUP(C472,Sheet2!$M$4:$N$12,2,0),0)</f>
        <v>4000</v>
      </c>
      <c r="K472" s="5" t="str">
        <f t="shared" si="7"/>
        <v>within budget</v>
      </c>
    </row>
    <row r="473" spans="1:11" x14ac:dyDescent="0.3">
      <c r="A473" s="6">
        <v>45055</v>
      </c>
      <c r="B473" s="5" t="s">
        <v>28</v>
      </c>
      <c r="C473" s="5" t="s">
        <v>27</v>
      </c>
      <c r="D473" s="5" t="s">
        <v>23</v>
      </c>
      <c r="E473" s="5" t="s">
        <v>17</v>
      </c>
      <c r="F473" s="5">
        <v>4334</v>
      </c>
      <c r="G473" s="5" t="str">
        <f>VLOOKUP(C473,Sheet2!$C$3:$D$12,2,0)</f>
        <v>Variable</v>
      </c>
      <c r="H473" s="5" t="str">
        <f>IFERROR(VLOOKUP(E473,Sheet2!$G$3:$H$8,2,0),"unkwon")</f>
        <v>online</v>
      </c>
      <c r="I473" s="5">
        <f>VLOOKUP(B473,Sheet2!$J$4:$K$15,2,0)</f>
        <v>5</v>
      </c>
      <c r="J473" s="5">
        <f>IFERROR(VLOOKUP(C473,Sheet2!$M$4:$N$12,2,0),0)</f>
        <v>4000</v>
      </c>
      <c r="K473" s="5" t="str">
        <f t="shared" si="7"/>
        <v>over budget</v>
      </c>
    </row>
    <row r="474" spans="1:11" x14ac:dyDescent="0.3">
      <c r="A474" s="6">
        <v>45431</v>
      </c>
      <c r="B474" s="5" t="s">
        <v>28</v>
      </c>
      <c r="C474" s="5" t="s">
        <v>22</v>
      </c>
      <c r="D474" s="5" t="s">
        <v>18</v>
      </c>
      <c r="E474" s="5" t="s">
        <v>17</v>
      </c>
      <c r="F474" s="5">
        <v>3118</v>
      </c>
      <c r="G474" s="5" t="str">
        <f>VLOOKUP(C474,Sheet2!$C$3:$D$12,2,0)</f>
        <v>Variable</v>
      </c>
      <c r="H474" s="5" t="str">
        <f>IFERROR(VLOOKUP(E474,Sheet2!$G$3:$H$8,2,0),"unkwon")</f>
        <v>online</v>
      </c>
      <c r="I474" s="5">
        <f>VLOOKUP(B474,Sheet2!$J$4:$K$15,2,0)</f>
        <v>5</v>
      </c>
      <c r="J474" s="5">
        <f>IFERROR(VLOOKUP(C474,Sheet2!$M$4:$N$12,2,0),0)</f>
        <v>1000</v>
      </c>
      <c r="K474" s="5" t="str">
        <f t="shared" si="7"/>
        <v>over budget</v>
      </c>
    </row>
    <row r="475" spans="1:11" x14ac:dyDescent="0.3">
      <c r="A475" s="6">
        <v>45618</v>
      </c>
      <c r="B475" s="5" t="s">
        <v>40</v>
      </c>
      <c r="C475" s="5" t="s">
        <v>7</v>
      </c>
      <c r="D475" s="5" t="s">
        <v>31</v>
      </c>
      <c r="E475" s="5" t="s">
        <v>15</v>
      </c>
      <c r="F475" s="5">
        <v>1887</v>
      </c>
      <c r="G475" s="5" t="str">
        <f>VLOOKUP(C475,Sheet2!$C$3:$D$12,2,0)</f>
        <v>Fixed</v>
      </c>
      <c r="H475" s="5" t="str">
        <f>IFERROR(VLOOKUP(E475,Sheet2!$G$3:$H$8,2,0),"unkwon")</f>
        <v>online</v>
      </c>
      <c r="I475" s="5">
        <f>VLOOKUP(B475,Sheet2!$J$4:$K$15,2,0)</f>
        <v>11</v>
      </c>
      <c r="J475" s="5">
        <f>IFERROR(VLOOKUP(C475,Sheet2!$M$4:$N$12,2,0),0)</f>
        <v>2000</v>
      </c>
      <c r="K475" s="5" t="str">
        <f t="shared" si="7"/>
        <v>within budget</v>
      </c>
    </row>
    <row r="476" spans="1:11" x14ac:dyDescent="0.3">
      <c r="A476" s="6">
        <v>45482</v>
      </c>
      <c r="B476" s="5" t="s">
        <v>21</v>
      </c>
      <c r="C476" s="5" t="s">
        <v>7</v>
      </c>
      <c r="D476" s="5" t="s">
        <v>23</v>
      </c>
      <c r="E476" s="5" t="s">
        <v>32</v>
      </c>
      <c r="F476" s="5">
        <v>1045</v>
      </c>
      <c r="G476" s="5" t="str">
        <f>VLOOKUP(C476,Sheet2!$C$3:$D$12,2,0)</f>
        <v>Fixed</v>
      </c>
      <c r="H476" s="5" t="str">
        <f>IFERROR(VLOOKUP(E476,Sheet2!$G$3:$H$8,2,0),"unkwon")</f>
        <v>offline</v>
      </c>
      <c r="I476" s="5">
        <f>VLOOKUP(B476,Sheet2!$J$4:$K$15,2,0)</f>
        <v>7</v>
      </c>
      <c r="J476" s="5">
        <f>IFERROR(VLOOKUP(C476,Sheet2!$M$4:$N$12,2,0),0)</f>
        <v>2000</v>
      </c>
      <c r="K476" s="5" t="str">
        <f t="shared" si="7"/>
        <v>within budget</v>
      </c>
    </row>
    <row r="477" spans="1:11" x14ac:dyDescent="0.3">
      <c r="A477" s="6">
        <v>45527</v>
      </c>
      <c r="B477" s="5" t="s">
        <v>25</v>
      </c>
      <c r="C477" s="5" t="s">
        <v>22</v>
      </c>
      <c r="D477" s="5" t="s">
        <v>8</v>
      </c>
      <c r="E477" s="5" t="s">
        <v>17</v>
      </c>
      <c r="F477" s="5">
        <v>4561</v>
      </c>
      <c r="G477" s="5" t="str">
        <f>VLOOKUP(C477,Sheet2!$C$3:$D$12,2,0)</f>
        <v>Variable</v>
      </c>
      <c r="H477" s="5" t="str">
        <f>IFERROR(VLOOKUP(E477,Sheet2!$G$3:$H$8,2,0),"unkwon")</f>
        <v>online</v>
      </c>
      <c r="I477" s="5">
        <f>VLOOKUP(B477,Sheet2!$J$4:$K$15,2,0)</f>
        <v>8</v>
      </c>
      <c r="J477" s="5">
        <f>IFERROR(VLOOKUP(C477,Sheet2!$M$4:$N$12,2,0),0)</f>
        <v>1000</v>
      </c>
      <c r="K477" s="5" t="str">
        <f t="shared" si="7"/>
        <v>over budget</v>
      </c>
    </row>
    <row r="478" spans="1:11" x14ac:dyDescent="0.3">
      <c r="A478" s="6">
        <v>45225</v>
      </c>
      <c r="B478" s="5" t="s">
        <v>6</v>
      </c>
      <c r="C478" s="5" t="s">
        <v>41</v>
      </c>
      <c r="D478" s="5" t="s">
        <v>24</v>
      </c>
      <c r="E478" s="5" t="s">
        <v>17</v>
      </c>
      <c r="F478" s="5">
        <v>3930</v>
      </c>
      <c r="G478" s="5" t="str">
        <f>VLOOKUP(C478,Sheet2!$C$3:$D$12,2,0)</f>
        <v>Variable</v>
      </c>
      <c r="H478" s="5" t="str">
        <f>IFERROR(VLOOKUP(E478,Sheet2!$G$3:$H$8,2,0),"unkwon")</f>
        <v>online</v>
      </c>
      <c r="I478" s="5">
        <f>VLOOKUP(B478,Sheet2!$J$4:$K$15,2,0)</f>
        <v>10</v>
      </c>
      <c r="J478" s="5">
        <f>IFERROR(VLOOKUP(C478,Sheet2!$M$4:$N$12,2,0),0)</f>
        <v>7000</v>
      </c>
      <c r="K478" s="5" t="str">
        <f t="shared" si="7"/>
        <v>within budget</v>
      </c>
    </row>
    <row r="479" spans="1:11" x14ac:dyDescent="0.3">
      <c r="A479" s="6">
        <v>45058</v>
      </c>
      <c r="B479" s="5" t="s">
        <v>28</v>
      </c>
      <c r="C479" s="5" t="s">
        <v>41</v>
      </c>
      <c r="D479" s="5" t="s">
        <v>8</v>
      </c>
      <c r="E479" s="5" t="s">
        <v>15</v>
      </c>
      <c r="F479" s="5">
        <v>3329</v>
      </c>
      <c r="G479" s="5" t="str">
        <f>VLOOKUP(C479,Sheet2!$C$3:$D$12,2,0)</f>
        <v>Variable</v>
      </c>
      <c r="H479" s="5" t="str">
        <f>IFERROR(VLOOKUP(E479,Sheet2!$G$3:$H$8,2,0),"unkwon")</f>
        <v>online</v>
      </c>
      <c r="I479" s="5">
        <f>VLOOKUP(B479,Sheet2!$J$4:$K$15,2,0)</f>
        <v>5</v>
      </c>
      <c r="J479" s="5">
        <f>IFERROR(VLOOKUP(C479,Sheet2!$M$4:$N$12,2,0),0)</f>
        <v>7000</v>
      </c>
      <c r="K479" s="5" t="str">
        <f t="shared" si="7"/>
        <v>within budget</v>
      </c>
    </row>
    <row r="480" spans="1:11" x14ac:dyDescent="0.3">
      <c r="A480" s="6">
        <v>45567</v>
      </c>
      <c r="B480" s="5" t="s">
        <v>6</v>
      </c>
      <c r="C480" s="5" t="s">
        <v>13</v>
      </c>
      <c r="D480" s="5" t="s">
        <v>11</v>
      </c>
      <c r="E480" s="5" t="s">
        <v>32</v>
      </c>
      <c r="F480" s="5">
        <v>4615</v>
      </c>
      <c r="G480" s="5" t="str">
        <f>VLOOKUP(C480,Sheet2!$C$3:$D$12,2,0)</f>
        <v>Variable</v>
      </c>
      <c r="H480" s="5" t="str">
        <f>IFERROR(VLOOKUP(E480,Sheet2!$G$3:$H$8,2,0),"unkwon")</f>
        <v>offline</v>
      </c>
      <c r="I480" s="5">
        <f>VLOOKUP(B480,Sheet2!$J$4:$K$15,2,0)</f>
        <v>10</v>
      </c>
      <c r="J480" s="5">
        <f>IFERROR(VLOOKUP(C480,Sheet2!$M$4:$N$12,2,0),0)</f>
        <v>5000</v>
      </c>
      <c r="K480" s="5" t="str">
        <f t="shared" si="7"/>
        <v>within budget</v>
      </c>
    </row>
    <row r="481" spans="1:11" x14ac:dyDescent="0.3">
      <c r="A481" s="6">
        <v>45196</v>
      </c>
      <c r="B481" s="5" t="s">
        <v>38</v>
      </c>
      <c r="C481" s="5" t="s">
        <v>13</v>
      </c>
      <c r="D481" s="5" t="s">
        <v>23</v>
      </c>
      <c r="E481" s="5" t="s">
        <v>15</v>
      </c>
      <c r="F481" s="5">
        <v>3329</v>
      </c>
      <c r="G481" s="5" t="str">
        <f>VLOOKUP(C481,Sheet2!$C$3:$D$12,2,0)</f>
        <v>Variable</v>
      </c>
      <c r="H481" s="5" t="str">
        <f>IFERROR(VLOOKUP(E481,Sheet2!$G$3:$H$8,2,0),"unkwon")</f>
        <v>online</v>
      </c>
      <c r="I481" s="5">
        <f>VLOOKUP(B481,Sheet2!$J$4:$K$15,2,0)</f>
        <v>9</v>
      </c>
      <c r="J481" s="5">
        <f>IFERROR(VLOOKUP(C481,Sheet2!$M$4:$N$12,2,0),0)</f>
        <v>5000</v>
      </c>
      <c r="K481" s="5" t="str">
        <f t="shared" si="7"/>
        <v>within budget</v>
      </c>
    </row>
    <row r="482" spans="1:11" x14ac:dyDescent="0.3">
      <c r="A482" s="6">
        <v>45532</v>
      </c>
      <c r="B482" s="5" t="s">
        <v>25</v>
      </c>
      <c r="C482" s="5" t="s">
        <v>13</v>
      </c>
      <c r="D482" s="5" t="s">
        <v>14</v>
      </c>
      <c r="E482" s="5" t="s">
        <v>15</v>
      </c>
      <c r="F482" s="5">
        <v>2345</v>
      </c>
      <c r="G482" s="5" t="str">
        <f>VLOOKUP(C482,Sheet2!$C$3:$D$12,2,0)</f>
        <v>Variable</v>
      </c>
      <c r="H482" s="5" t="str">
        <f>IFERROR(VLOOKUP(E482,Sheet2!$G$3:$H$8,2,0),"unkwon")</f>
        <v>online</v>
      </c>
      <c r="I482" s="5">
        <f>VLOOKUP(B482,Sheet2!$J$4:$K$15,2,0)</f>
        <v>8</v>
      </c>
      <c r="J482" s="5">
        <f>IFERROR(VLOOKUP(C482,Sheet2!$M$4:$N$12,2,0),0)</f>
        <v>5000</v>
      </c>
      <c r="K482" s="5" t="str">
        <f t="shared" si="7"/>
        <v>within budget</v>
      </c>
    </row>
    <row r="483" spans="1:11" x14ac:dyDescent="0.3">
      <c r="A483" s="6">
        <v>45004</v>
      </c>
      <c r="B483" s="5" t="s">
        <v>19</v>
      </c>
      <c r="C483" s="5" t="s">
        <v>10</v>
      </c>
      <c r="D483" s="5" t="s">
        <v>8</v>
      </c>
      <c r="E483" s="5" t="s">
        <v>15</v>
      </c>
      <c r="F483" s="5">
        <v>731</v>
      </c>
      <c r="G483" s="5" t="str">
        <f>VLOOKUP(C483,Sheet2!$C$3:$D$12,2,0)</f>
        <v>Variable</v>
      </c>
      <c r="H483" s="5" t="str">
        <f>IFERROR(VLOOKUP(E483,Sheet2!$G$3:$H$8,2,0),"unkwon")</f>
        <v>online</v>
      </c>
      <c r="I483" s="5">
        <f>VLOOKUP(B483,Sheet2!$J$4:$K$15,2,0)</f>
        <v>3</v>
      </c>
      <c r="J483" s="5">
        <f>IFERROR(VLOOKUP(C483,Sheet2!$M$4:$N$12,2,0),0)</f>
        <v>5000</v>
      </c>
      <c r="K483" s="5" t="str">
        <f t="shared" si="7"/>
        <v>within budget</v>
      </c>
    </row>
    <row r="484" spans="1:11" x14ac:dyDescent="0.3">
      <c r="A484" s="6">
        <v>44995</v>
      </c>
      <c r="B484" s="5" t="s">
        <v>19</v>
      </c>
      <c r="C484" s="5" t="s">
        <v>27</v>
      </c>
      <c r="D484" s="5" t="s">
        <v>24</v>
      </c>
      <c r="E484" s="5" t="s">
        <v>12</v>
      </c>
      <c r="F484" s="5">
        <v>3081</v>
      </c>
      <c r="G484" s="5" t="str">
        <f>VLOOKUP(C484,Sheet2!$C$3:$D$12,2,0)</f>
        <v>Variable</v>
      </c>
      <c r="H484" s="5" t="str">
        <f>IFERROR(VLOOKUP(E484,Sheet2!$G$3:$H$8,2,0),"unkwon")</f>
        <v>online</v>
      </c>
      <c r="I484" s="5">
        <f>VLOOKUP(B484,Sheet2!$J$4:$K$15,2,0)</f>
        <v>3</v>
      </c>
      <c r="J484" s="5">
        <f>IFERROR(VLOOKUP(C484,Sheet2!$M$4:$N$12,2,0),0)</f>
        <v>4000</v>
      </c>
      <c r="K484" s="5" t="str">
        <f t="shared" si="7"/>
        <v>within budget</v>
      </c>
    </row>
    <row r="485" spans="1:11" x14ac:dyDescent="0.3">
      <c r="A485" s="6">
        <v>45474</v>
      </c>
      <c r="B485" s="5" t="s">
        <v>21</v>
      </c>
      <c r="C485" s="5" t="s">
        <v>36</v>
      </c>
      <c r="D485" s="5" t="s">
        <v>20</v>
      </c>
      <c r="E485" s="5" t="s">
        <v>32</v>
      </c>
      <c r="F485" s="5">
        <v>4225</v>
      </c>
      <c r="G485" s="5" t="str">
        <f>VLOOKUP(C485,Sheet2!$C$3:$D$12,2,0)</f>
        <v>Variable</v>
      </c>
      <c r="H485" s="5" t="str">
        <f>IFERROR(VLOOKUP(E485,Sheet2!$G$3:$H$8,2,0),"unkwon")</f>
        <v>offline</v>
      </c>
      <c r="I485" s="5">
        <f>VLOOKUP(B485,Sheet2!$J$4:$K$15,2,0)</f>
        <v>7</v>
      </c>
      <c r="J485" s="5">
        <f>IFERROR(VLOOKUP(C485,Sheet2!$M$4:$N$12,2,0),0)</f>
        <v>10000</v>
      </c>
      <c r="K485" s="5" t="str">
        <f t="shared" si="7"/>
        <v>within budget</v>
      </c>
    </row>
    <row r="486" spans="1:11" x14ac:dyDescent="0.3">
      <c r="A486" s="6">
        <v>45652</v>
      </c>
      <c r="B486" s="5" t="s">
        <v>16</v>
      </c>
      <c r="C486" s="5" t="s">
        <v>30</v>
      </c>
      <c r="D486" s="5" t="s">
        <v>18</v>
      </c>
      <c r="E486" s="5" t="s">
        <v>12</v>
      </c>
      <c r="F486" s="5">
        <v>4291</v>
      </c>
      <c r="G486" s="5" t="str">
        <f>VLOOKUP(C486,Sheet2!$C$3:$D$12,2,0)</f>
        <v>Fixed</v>
      </c>
      <c r="H486" s="5" t="str">
        <f>IFERROR(VLOOKUP(E486,Sheet2!$G$3:$H$8,2,0),"unkwon")</f>
        <v>online</v>
      </c>
      <c r="I486" s="5">
        <f>VLOOKUP(B486,Sheet2!$J$4:$K$15,2,0)</f>
        <v>12</v>
      </c>
      <c r="J486" s="5">
        <f>IFERROR(VLOOKUP(C486,Sheet2!$M$4:$N$12,2,0),0)</f>
        <v>3000</v>
      </c>
      <c r="K486" s="5" t="str">
        <f t="shared" si="7"/>
        <v>over budget</v>
      </c>
    </row>
    <row r="487" spans="1:11" x14ac:dyDescent="0.3">
      <c r="A487" s="6">
        <v>45504</v>
      </c>
      <c r="B487" s="5" t="s">
        <v>21</v>
      </c>
      <c r="C487" s="5" t="s">
        <v>22</v>
      </c>
      <c r="D487" s="5" t="s">
        <v>18</v>
      </c>
      <c r="E487" s="5" t="s">
        <v>17</v>
      </c>
      <c r="F487" s="5">
        <v>3257</v>
      </c>
      <c r="G487" s="5" t="str">
        <f>VLOOKUP(C487,Sheet2!$C$3:$D$12,2,0)</f>
        <v>Variable</v>
      </c>
      <c r="H487" s="5" t="str">
        <f>IFERROR(VLOOKUP(E487,Sheet2!$G$3:$H$8,2,0),"unkwon")</f>
        <v>online</v>
      </c>
      <c r="I487" s="5">
        <f>VLOOKUP(B487,Sheet2!$J$4:$K$15,2,0)</f>
        <v>7</v>
      </c>
      <c r="J487" s="5">
        <f>IFERROR(VLOOKUP(C487,Sheet2!$M$4:$N$12,2,0),0)</f>
        <v>1000</v>
      </c>
      <c r="K487" s="5" t="str">
        <f t="shared" si="7"/>
        <v>over budget</v>
      </c>
    </row>
    <row r="488" spans="1:11" x14ac:dyDescent="0.3">
      <c r="A488" s="6">
        <v>44974</v>
      </c>
      <c r="B488" s="5" t="s">
        <v>33</v>
      </c>
      <c r="C488" s="5" t="s">
        <v>13</v>
      </c>
      <c r="D488" s="5" t="s">
        <v>23</v>
      </c>
      <c r="E488" s="5" t="s">
        <v>9</v>
      </c>
      <c r="F488" s="5">
        <v>3843</v>
      </c>
      <c r="G488" s="5" t="str">
        <f>VLOOKUP(C488,Sheet2!$C$3:$D$12,2,0)</f>
        <v>Variable</v>
      </c>
      <c r="H488" s="5" t="str">
        <f>IFERROR(VLOOKUP(E488,Sheet2!$G$3:$H$8,2,0),"unkwon")</f>
        <v>online</v>
      </c>
      <c r="I488" s="5">
        <f>VLOOKUP(B488,Sheet2!$J$4:$K$15,2,0)</f>
        <v>2</v>
      </c>
      <c r="J488" s="5">
        <f>IFERROR(VLOOKUP(C488,Sheet2!$M$4:$N$12,2,0),0)</f>
        <v>5000</v>
      </c>
      <c r="K488" s="5" t="str">
        <f t="shared" si="7"/>
        <v>within budget</v>
      </c>
    </row>
    <row r="489" spans="1:11" x14ac:dyDescent="0.3">
      <c r="A489" s="6">
        <v>45502</v>
      </c>
      <c r="B489" s="5" t="s">
        <v>21</v>
      </c>
      <c r="C489" s="5" t="s">
        <v>7</v>
      </c>
      <c r="D489" s="5" t="s">
        <v>31</v>
      </c>
      <c r="E489" s="5" t="s">
        <v>15</v>
      </c>
      <c r="F489" s="5">
        <v>2036</v>
      </c>
      <c r="G489" s="5" t="str">
        <f>VLOOKUP(C489,Sheet2!$C$3:$D$12,2,0)</f>
        <v>Fixed</v>
      </c>
      <c r="H489" s="5" t="str">
        <f>IFERROR(VLOOKUP(E489,Sheet2!$G$3:$H$8,2,0),"unkwon")</f>
        <v>online</v>
      </c>
      <c r="I489" s="5">
        <f>VLOOKUP(B489,Sheet2!$J$4:$K$15,2,0)</f>
        <v>7</v>
      </c>
      <c r="J489" s="5">
        <f>IFERROR(VLOOKUP(C489,Sheet2!$M$4:$N$12,2,0),0)</f>
        <v>2000</v>
      </c>
      <c r="K489" s="5" t="str">
        <f t="shared" si="7"/>
        <v>over budget</v>
      </c>
    </row>
    <row r="490" spans="1:11" x14ac:dyDescent="0.3">
      <c r="A490" s="6">
        <v>45053</v>
      </c>
      <c r="B490" s="5" t="s">
        <v>28</v>
      </c>
      <c r="C490" s="5" t="s">
        <v>22</v>
      </c>
      <c r="D490" s="5" t="s">
        <v>24</v>
      </c>
      <c r="E490" s="5" t="s">
        <v>12</v>
      </c>
      <c r="F490" s="5">
        <v>1313</v>
      </c>
      <c r="G490" s="5" t="str">
        <f>VLOOKUP(C490,Sheet2!$C$3:$D$12,2,0)</f>
        <v>Variable</v>
      </c>
      <c r="H490" s="5" t="str">
        <f>IFERROR(VLOOKUP(E490,Sheet2!$G$3:$H$8,2,0),"unkwon")</f>
        <v>online</v>
      </c>
      <c r="I490" s="5">
        <f>VLOOKUP(B490,Sheet2!$J$4:$K$15,2,0)</f>
        <v>5</v>
      </c>
      <c r="J490" s="5">
        <f>IFERROR(VLOOKUP(C490,Sheet2!$M$4:$N$12,2,0),0)</f>
        <v>1000</v>
      </c>
      <c r="K490" s="5" t="str">
        <f t="shared" si="7"/>
        <v>over budget</v>
      </c>
    </row>
    <row r="491" spans="1:11" x14ac:dyDescent="0.3">
      <c r="A491" s="6">
        <v>45423</v>
      </c>
      <c r="B491" s="5" t="s">
        <v>28</v>
      </c>
      <c r="C491" s="5" t="s">
        <v>27</v>
      </c>
      <c r="D491" s="5" t="s">
        <v>14</v>
      </c>
      <c r="E491" s="5" t="s">
        <v>15</v>
      </c>
      <c r="F491" s="5">
        <v>3544</v>
      </c>
      <c r="G491" s="5" t="str">
        <f>VLOOKUP(C491,Sheet2!$C$3:$D$12,2,0)</f>
        <v>Variable</v>
      </c>
      <c r="H491" s="5" t="str">
        <f>IFERROR(VLOOKUP(E491,Sheet2!$G$3:$H$8,2,0),"unkwon")</f>
        <v>online</v>
      </c>
      <c r="I491" s="5">
        <f>VLOOKUP(B491,Sheet2!$J$4:$K$15,2,0)</f>
        <v>5</v>
      </c>
      <c r="J491" s="5">
        <f>IFERROR(VLOOKUP(C491,Sheet2!$M$4:$N$12,2,0),0)</f>
        <v>4000</v>
      </c>
      <c r="K491" s="5" t="str">
        <f t="shared" si="7"/>
        <v>within budget</v>
      </c>
    </row>
    <row r="492" spans="1:11" x14ac:dyDescent="0.3">
      <c r="A492" s="6">
        <v>45059</v>
      </c>
      <c r="B492" s="5" t="s">
        <v>28</v>
      </c>
      <c r="C492" s="5" t="s">
        <v>41</v>
      </c>
      <c r="D492" s="5" t="s">
        <v>31</v>
      </c>
      <c r="E492" s="5" t="s">
        <v>17</v>
      </c>
      <c r="F492" s="5">
        <v>4788</v>
      </c>
      <c r="G492" s="5" t="str">
        <f>VLOOKUP(C492,Sheet2!$C$3:$D$12,2,0)</f>
        <v>Variable</v>
      </c>
      <c r="H492" s="5" t="str">
        <f>IFERROR(VLOOKUP(E492,Sheet2!$G$3:$H$8,2,0),"unkwon")</f>
        <v>online</v>
      </c>
      <c r="I492" s="5">
        <f>VLOOKUP(B492,Sheet2!$J$4:$K$15,2,0)</f>
        <v>5</v>
      </c>
      <c r="J492" s="5">
        <f>IFERROR(VLOOKUP(C492,Sheet2!$M$4:$N$12,2,0),0)</f>
        <v>7000</v>
      </c>
      <c r="K492" s="5" t="str">
        <f t="shared" si="7"/>
        <v>within budget</v>
      </c>
    </row>
    <row r="493" spans="1:11" x14ac:dyDescent="0.3">
      <c r="A493" s="6">
        <v>45224</v>
      </c>
      <c r="B493" s="5" t="s">
        <v>6</v>
      </c>
      <c r="C493" s="5" t="s">
        <v>13</v>
      </c>
      <c r="D493" s="5" t="s">
        <v>23</v>
      </c>
      <c r="E493" s="5" t="s">
        <v>12</v>
      </c>
      <c r="F493" s="5">
        <v>2187</v>
      </c>
      <c r="G493" s="5" t="str">
        <f>VLOOKUP(C493,Sheet2!$C$3:$D$12,2,0)</f>
        <v>Variable</v>
      </c>
      <c r="H493" s="5" t="str">
        <f>IFERROR(VLOOKUP(E493,Sheet2!$G$3:$H$8,2,0),"unkwon")</f>
        <v>online</v>
      </c>
      <c r="I493" s="5">
        <f>VLOOKUP(B493,Sheet2!$J$4:$K$15,2,0)</f>
        <v>10</v>
      </c>
      <c r="J493" s="5">
        <f>IFERROR(VLOOKUP(C493,Sheet2!$M$4:$N$12,2,0),0)</f>
        <v>5000</v>
      </c>
      <c r="K493" s="5" t="str">
        <f t="shared" si="7"/>
        <v>within budget</v>
      </c>
    </row>
    <row r="494" spans="1:11" x14ac:dyDescent="0.3">
      <c r="A494" s="6">
        <v>45418</v>
      </c>
      <c r="B494" s="5" t="s">
        <v>28</v>
      </c>
      <c r="C494" s="5" t="s">
        <v>13</v>
      </c>
      <c r="D494" s="5" t="s">
        <v>31</v>
      </c>
      <c r="E494" s="5" t="s">
        <v>12</v>
      </c>
      <c r="F494" s="5">
        <v>407</v>
      </c>
      <c r="G494" s="5" t="str">
        <f>VLOOKUP(C494,Sheet2!$C$3:$D$12,2,0)</f>
        <v>Variable</v>
      </c>
      <c r="H494" s="5" t="str">
        <f>IFERROR(VLOOKUP(E494,Sheet2!$G$3:$H$8,2,0),"unkwon")</f>
        <v>online</v>
      </c>
      <c r="I494" s="5">
        <f>VLOOKUP(B494,Sheet2!$J$4:$K$15,2,0)</f>
        <v>5</v>
      </c>
      <c r="J494" s="5">
        <f>IFERROR(VLOOKUP(C494,Sheet2!$M$4:$N$12,2,0),0)</f>
        <v>5000</v>
      </c>
      <c r="K494" s="5" t="str">
        <f t="shared" si="7"/>
        <v>within budget</v>
      </c>
    </row>
    <row r="495" spans="1:11" x14ac:dyDescent="0.3">
      <c r="A495" s="6">
        <v>45345</v>
      </c>
      <c r="B495" s="5" t="s">
        <v>33</v>
      </c>
      <c r="C495" s="5" t="s">
        <v>13</v>
      </c>
      <c r="D495" s="5" t="s">
        <v>31</v>
      </c>
      <c r="E495" s="5" t="s">
        <v>9</v>
      </c>
      <c r="F495" s="5">
        <v>865</v>
      </c>
      <c r="G495" s="5" t="str">
        <f>VLOOKUP(C495,Sheet2!$C$3:$D$12,2,0)</f>
        <v>Variable</v>
      </c>
      <c r="H495" s="5" t="str">
        <f>IFERROR(VLOOKUP(E495,Sheet2!$G$3:$H$8,2,0),"unkwon")</f>
        <v>online</v>
      </c>
      <c r="I495" s="5">
        <f>VLOOKUP(B495,Sheet2!$J$4:$K$15,2,0)</f>
        <v>2</v>
      </c>
      <c r="J495" s="5">
        <f>IFERROR(VLOOKUP(C495,Sheet2!$M$4:$N$12,2,0),0)</f>
        <v>5000</v>
      </c>
      <c r="K495" s="5" t="str">
        <f t="shared" si="7"/>
        <v>within budget</v>
      </c>
    </row>
    <row r="496" spans="1:11" x14ac:dyDescent="0.3">
      <c r="A496" s="6">
        <v>45525</v>
      </c>
      <c r="B496" s="5" t="s">
        <v>25</v>
      </c>
      <c r="C496" s="5" t="s">
        <v>27</v>
      </c>
      <c r="D496" s="5" t="s">
        <v>34</v>
      </c>
      <c r="E496" s="5" t="s">
        <v>17</v>
      </c>
      <c r="F496" s="5">
        <v>4497</v>
      </c>
      <c r="G496" s="5" t="str">
        <f>VLOOKUP(C496,Sheet2!$C$3:$D$12,2,0)</f>
        <v>Variable</v>
      </c>
      <c r="H496" s="5" t="str">
        <f>IFERROR(VLOOKUP(E496,Sheet2!$G$3:$H$8,2,0),"unkwon")</f>
        <v>online</v>
      </c>
      <c r="I496" s="5">
        <f>VLOOKUP(B496,Sheet2!$J$4:$K$15,2,0)</f>
        <v>8</v>
      </c>
      <c r="J496" s="5">
        <f>IFERROR(VLOOKUP(C496,Sheet2!$M$4:$N$12,2,0),0)</f>
        <v>4000</v>
      </c>
      <c r="K496" s="5" t="str">
        <f t="shared" si="7"/>
        <v>over budget</v>
      </c>
    </row>
    <row r="497" spans="1:11" x14ac:dyDescent="0.3">
      <c r="A497" s="6">
        <v>45218</v>
      </c>
      <c r="B497" s="5" t="s">
        <v>6</v>
      </c>
      <c r="C497" s="5" t="s">
        <v>13</v>
      </c>
      <c r="D497" s="5" t="s">
        <v>24</v>
      </c>
      <c r="E497" s="5" t="s">
        <v>12</v>
      </c>
      <c r="F497" s="5">
        <v>4879</v>
      </c>
      <c r="G497" s="5" t="str">
        <f>VLOOKUP(C497,Sheet2!$C$3:$D$12,2,0)</f>
        <v>Variable</v>
      </c>
      <c r="H497" s="5" t="str">
        <f>IFERROR(VLOOKUP(E497,Sheet2!$G$3:$H$8,2,0),"unkwon")</f>
        <v>online</v>
      </c>
      <c r="I497" s="5">
        <f>VLOOKUP(B497,Sheet2!$J$4:$K$15,2,0)</f>
        <v>10</v>
      </c>
      <c r="J497" s="5">
        <f>IFERROR(VLOOKUP(C497,Sheet2!$M$4:$N$12,2,0),0)</f>
        <v>5000</v>
      </c>
      <c r="K497" s="5" t="str">
        <f t="shared" si="7"/>
        <v>within budget</v>
      </c>
    </row>
    <row r="498" spans="1:11" x14ac:dyDescent="0.3">
      <c r="A498" s="6">
        <v>45196</v>
      </c>
      <c r="B498" s="5" t="s">
        <v>38</v>
      </c>
      <c r="C498" s="5" t="s">
        <v>41</v>
      </c>
      <c r="D498" s="5" t="s">
        <v>23</v>
      </c>
      <c r="E498" s="5" t="s">
        <v>12</v>
      </c>
      <c r="F498" s="5">
        <v>1055</v>
      </c>
      <c r="G498" s="5" t="str">
        <f>VLOOKUP(C498,Sheet2!$C$3:$D$12,2,0)</f>
        <v>Variable</v>
      </c>
      <c r="H498" s="5" t="str">
        <f>IFERROR(VLOOKUP(E498,Sheet2!$G$3:$H$8,2,0),"unkwon")</f>
        <v>online</v>
      </c>
      <c r="I498" s="5">
        <f>VLOOKUP(B498,Sheet2!$J$4:$K$15,2,0)</f>
        <v>9</v>
      </c>
      <c r="J498" s="5">
        <f>IFERROR(VLOOKUP(C498,Sheet2!$M$4:$N$12,2,0),0)</f>
        <v>7000</v>
      </c>
      <c r="K498" s="5" t="str">
        <f t="shared" si="7"/>
        <v>within budget</v>
      </c>
    </row>
    <row r="499" spans="1:11" x14ac:dyDescent="0.3">
      <c r="A499" s="6">
        <v>45387</v>
      </c>
      <c r="B499" s="5" t="s">
        <v>29</v>
      </c>
      <c r="C499" s="5" t="s">
        <v>41</v>
      </c>
      <c r="D499" s="5" t="s">
        <v>14</v>
      </c>
      <c r="E499" s="5" t="s">
        <v>9</v>
      </c>
      <c r="F499" s="5">
        <v>1419</v>
      </c>
      <c r="G499" s="5" t="str">
        <f>VLOOKUP(C499,Sheet2!$C$3:$D$12,2,0)</f>
        <v>Variable</v>
      </c>
      <c r="H499" s="5" t="str">
        <f>IFERROR(VLOOKUP(E499,Sheet2!$G$3:$H$8,2,0),"unkwon")</f>
        <v>online</v>
      </c>
      <c r="I499" s="5">
        <f>VLOOKUP(B499,Sheet2!$J$4:$K$15,2,0)</f>
        <v>4</v>
      </c>
      <c r="J499" s="5">
        <f>IFERROR(VLOOKUP(C499,Sheet2!$M$4:$N$12,2,0),0)</f>
        <v>7000</v>
      </c>
      <c r="K499" s="5" t="str">
        <f t="shared" si="7"/>
        <v>within budget</v>
      </c>
    </row>
    <row r="500" spans="1:11" x14ac:dyDescent="0.3">
      <c r="A500" s="6">
        <v>44941</v>
      </c>
      <c r="B500" s="5" t="s">
        <v>37</v>
      </c>
      <c r="C500" s="5" t="s">
        <v>41</v>
      </c>
      <c r="D500" s="5" t="s">
        <v>23</v>
      </c>
      <c r="E500" s="5" t="s">
        <v>32</v>
      </c>
      <c r="F500" s="5">
        <v>3349</v>
      </c>
      <c r="G500" s="5" t="str">
        <f>VLOOKUP(C500,Sheet2!$C$3:$D$12,2,0)</f>
        <v>Variable</v>
      </c>
      <c r="H500" s="5" t="str">
        <f>IFERROR(VLOOKUP(E500,Sheet2!$G$3:$H$8,2,0),"unkwon")</f>
        <v>offline</v>
      </c>
      <c r="I500" s="5">
        <f>VLOOKUP(B500,Sheet2!$J$4:$K$15,2,0)</f>
        <v>1</v>
      </c>
      <c r="J500" s="5">
        <f>IFERROR(VLOOKUP(C500,Sheet2!$M$4:$N$12,2,0),0)</f>
        <v>7000</v>
      </c>
      <c r="K500" s="5" t="str">
        <f t="shared" si="7"/>
        <v>within budget</v>
      </c>
    </row>
    <row r="501" spans="1:11" x14ac:dyDescent="0.3">
      <c r="A501" s="6">
        <v>45603</v>
      </c>
      <c r="B501" s="5" t="s">
        <v>40</v>
      </c>
      <c r="C501" s="5" t="s">
        <v>27</v>
      </c>
      <c r="D501" s="5" t="s">
        <v>11</v>
      </c>
      <c r="E501" s="5" t="s">
        <v>17</v>
      </c>
      <c r="F501" s="5">
        <v>2253</v>
      </c>
      <c r="G501" s="5" t="str">
        <f>VLOOKUP(C501,Sheet2!$C$3:$D$12,2,0)</f>
        <v>Variable</v>
      </c>
      <c r="H501" s="5" t="str">
        <f>IFERROR(VLOOKUP(E501,Sheet2!$G$3:$H$8,2,0),"unkwon")</f>
        <v>online</v>
      </c>
      <c r="I501" s="5">
        <f>VLOOKUP(B501,Sheet2!$J$4:$K$15,2,0)</f>
        <v>11</v>
      </c>
      <c r="J501" s="5">
        <f>IFERROR(VLOOKUP(C501,Sheet2!$M$4:$N$12,2,0),0)</f>
        <v>4000</v>
      </c>
      <c r="K501" s="5" t="str">
        <f t="shared" si="7"/>
        <v>within budget</v>
      </c>
    </row>
    <row r="502" spans="1:11" x14ac:dyDescent="0.3">
      <c r="A502" s="6">
        <v>45276</v>
      </c>
      <c r="B502" s="5" t="s">
        <v>16</v>
      </c>
      <c r="C502" s="5" t="s">
        <v>22</v>
      </c>
      <c r="D502" s="5" t="s">
        <v>31</v>
      </c>
      <c r="E502" s="5" t="s">
        <v>17</v>
      </c>
      <c r="F502" s="5">
        <v>50</v>
      </c>
      <c r="G502" s="5" t="str">
        <f>VLOOKUP(C502,Sheet2!$C$3:$D$12,2,0)</f>
        <v>Variable</v>
      </c>
      <c r="H502" s="5" t="str">
        <f>IFERROR(VLOOKUP(E502,Sheet2!$G$3:$H$8,2,0),"unkwon")</f>
        <v>online</v>
      </c>
      <c r="I502" s="5">
        <f>VLOOKUP(B502,Sheet2!$J$4:$K$15,2,0)</f>
        <v>12</v>
      </c>
      <c r="J502" s="5">
        <f>IFERROR(VLOOKUP(C502,Sheet2!$M$4:$N$12,2,0),0)</f>
        <v>1000</v>
      </c>
      <c r="K502" s="5" t="str">
        <f t="shared" si="7"/>
        <v>within budget</v>
      </c>
    </row>
    <row r="503" spans="1:11" x14ac:dyDescent="0.3">
      <c r="A503" s="6">
        <v>45157</v>
      </c>
      <c r="B503" s="5" t="s">
        <v>25</v>
      </c>
      <c r="C503" s="5" t="s">
        <v>27</v>
      </c>
      <c r="D503" s="5" t="s">
        <v>31</v>
      </c>
      <c r="E503" s="5" t="s">
        <v>9</v>
      </c>
      <c r="F503" s="5">
        <v>348</v>
      </c>
      <c r="G503" s="5" t="str">
        <f>VLOOKUP(C503,Sheet2!$C$3:$D$12,2,0)</f>
        <v>Variable</v>
      </c>
      <c r="H503" s="5" t="str">
        <f>IFERROR(VLOOKUP(E503,Sheet2!$G$3:$H$8,2,0),"unkwon")</f>
        <v>online</v>
      </c>
      <c r="I503" s="5">
        <f>VLOOKUP(B503,Sheet2!$J$4:$K$15,2,0)</f>
        <v>8</v>
      </c>
      <c r="J503" s="5">
        <f>IFERROR(VLOOKUP(C503,Sheet2!$M$4:$N$12,2,0),0)</f>
        <v>4000</v>
      </c>
      <c r="K503" s="5" t="str">
        <f t="shared" si="7"/>
        <v>within budget</v>
      </c>
    </row>
    <row r="504" spans="1:11" x14ac:dyDescent="0.3">
      <c r="A504" s="6">
        <v>45545</v>
      </c>
      <c r="B504" s="5" t="s">
        <v>38</v>
      </c>
      <c r="C504" s="5" t="s">
        <v>36</v>
      </c>
      <c r="D504" s="5" t="s">
        <v>24</v>
      </c>
      <c r="E504" s="5" t="s">
        <v>15</v>
      </c>
      <c r="F504" s="5">
        <v>1223</v>
      </c>
      <c r="G504" s="5" t="str">
        <f>VLOOKUP(C504,Sheet2!$C$3:$D$12,2,0)</f>
        <v>Variable</v>
      </c>
      <c r="H504" s="5" t="str">
        <f>IFERROR(VLOOKUP(E504,Sheet2!$G$3:$H$8,2,0),"unkwon")</f>
        <v>online</v>
      </c>
      <c r="I504" s="5">
        <f>VLOOKUP(B504,Sheet2!$J$4:$K$15,2,0)</f>
        <v>9</v>
      </c>
      <c r="J504" s="5">
        <f>IFERROR(VLOOKUP(C504,Sheet2!$M$4:$N$12,2,0),0)</f>
        <v>10000</v>
      </c>
      <c r="K504" s="5" t="str">
        <f t="shared" si="7"/>
        <v>within budget</v>
      </c>
    </row>
    <row r="505" spans="1:11" x14ac:dyDescent="0.3">
      <c r="A505" s="6">
        <v>45616</v>
      </c>
      <c r="B505" s="5" t="s">
        <v>40</v>
      </c>
      <c r="C505" s="5" t="s">
        <v>22</v>
      </c>
      <c r="D505" s="5" t="s">
        <v>14</v>
      </c>
      <c r="E505" s="5" t="s">
        <v>32</v>
      </c>
      <c r="F505" s="5">
        <v>1855</v>
      </c>
      <c r="G505" s="5" t="str">
        <f>VLOOKUP(C505,Sheet2!$C$3:$D$12,2,0)</f>
        <v>Variable</v>
      </c>
      <c r="H505" s="5" t="str">
        <f>IFERROR(VLOOKUP(E505,Sheet2!$G$3:$H$8,2,0),"unkwon")</f>
        <v>offline</v>
      </c>
      <c r="I505" s="5">
        <f>VLOOKUP(B505,Sheet2!$J$4:$K$15,2,0)</f>
        <v>11</v>
      </c>
      <c r="J505" s="5">
        <f>IFERROR(VLOOKUP(C505,Sheet2!$M$4:$N$12,2,0),0)</f>
        <v>1000</v>
      </c>
      <c r="K505" s="5" t="str">
        <f t="shared" si="7"/>
        <v>over budget</v>
      </c>
    </row>
    <row r="506" spans="1:11" x14ac:dyDescent="0.3">
      <c r="A506" s="6">
        <v>45001</v>
      </c>
      <c r="B506" s="5" t="s">
        <v>19</v>
      </c>
      <c r="C506" s="5" t="s">
        <v>36</v>
      </c>
      <c r="D506" s="5" t="s">
        <v>20</v>
      </c>
      <c r="E506" s="5" t="s">
        <v>32</v>
      </c>
      <c r="F506" s="5">
        <v>4352</v>
      </c>
      <c r="G506" s="5" t="str">
        <f>VLOOKUP(C506,Sheet2!$C$3:$D$12,2,0)</f>
        <v>Variable</v>
      </c>
      <c r="H506" s="5" t="str">
        <f>IFERROR(VLOOKUP(E506,Sheet2!$G$3:$H$8,2,0),"unkwon")</f>
        <v>offline</v>
      </c>
      <c r="I506" s="5">
        <f>VLOOKUP(B506,Sheet2!$J$4:$K$15,2,0)</f>
        <v>3</v>
      </c>
      <c r="J506" s="5">
        <f>IFERROR(VLOOKUP(C506,Sheet2!$M$4:$N$12,2,0),0)</f>
        <v>10000</v>
      </c>
      <c r="K506" s="5" t="str">
        <f t="shared" si="7"/>
        <v>within budget</v>
      </c>
    </row>
    <row r="507" spans="1:11" x14ac:dyDescent="0.3">
      <c r="A507" s="6">
        <v>45330</v>
      </c>
      <c r="B507" s="5" t="s">
        <v>33</v>
      </c>
      <c r="C507" s="5" t="s">
        <v>30</v>
      </c>
      <c r="D507" s="5" t="s">
        <v>20</v>
      </c>
      <c r="E507" s="5" t="s">
        <v>15</v>
      </c>
      <c r="F507" s="5">
        <v>621</v>
      </c>
      <c r="G507" s="5" t="str">
        <f>VLOOKUP(C507,Sheet2!$C$3:$D$12,2,0)</f>
        <v>Fixed</v>
      </c>
      <c r="H507" s="5" t="str">
        <f>IFERROR(VLOOKUP(E507,Sheet2!$G$3:$H$8,2,0),"unkwon")</f>
        <v>online</v>
      </c>
      <c r="I507" s="5">
        <f>VLOOKUP(B507,Sheet2!$J$4:$K$15,2,0)</f>
        <v>2</v>
      </c>
      <c r="J507" s="5">
        <f>IFERROR(VLOOKUP(C507,Sheet2!$M$4:$N$12,2,0),0)</f>
        <v>3000</v>
      </c>
      <c r="K507" s="5" t="str">
        <f t="shared" si="7"/>
        <v>within budget</v>
      </c>
    </row>
    <row r="508" spans="1:11" x14ac:dyDescent="0.3">
      <c r="A508" s="6">
        <v>45326</v>
      </c>
      <c r="B508" s="5" t="s">
        <v>33</v>
      </c>
      <c r="C508" s="5" t="s">
        <v>10</v>
      </c>
      <c r="D508" s="5" t="s">
        <v>26</v>
      </c>
      <c r="E508" s="5" t="s">
        <v>12</v>
      </c>
      <c r="F508" s="5">
        <v>4314</v>
      </c>
      <c r="G508" s="5" t="str">
        <f>VLOOKUP(C508,Sheet2!$C$3:$D$12,2,0)</f>
        <v>Variable</v>
      </c>
      <c r="H508" s="5" t="str">
        <f>IFERROR(VLOOKUP(E508,Sheet2!$G$3:$H$8,2,0),"unkwon")</f>
        <v>online</v>
      </c>
      <c r="I508" s="5">
        <f>VLOOKUP(B508,Sheet2!$J$4:$K$15,2,0)</f>
        <v>2</v>
      </c>
      <c r="J508" s="5">
        <f>IFERROR(VLOOKUP(C508,Sheet2!$M$4:$N$12,2,0),0)</f>
        <v>5000</v>
      </c>
      <c r="K508" s="5" t="str">
        <f t="shared" si="7"/>
        <v>within budget</v>
      </c>
    </row>
    <row r="509" spans="1:11" x14ac:dyDescent="0.3">
      <c r="A509" s="6">
        <v>45129</v>
      </c>
      <c r="B509" s="5" t="s">
        <v>21</v>
      </c>
      <c r="C509" s="5" t="s">
        <v>36</v>
      </c>
      <c r="D509" s="5" t="s">
        <v>31</v>
      </c>
      <c r="E509" s="5" t="s">
        <v>9</v>
      </c>
      <c r="F509" s="5">
        <v>1284</v>
      </c>
      <c r="G509" s="5" t="str">
        <f>VLOOKUP(C509,Sheet2!$C$3:$D$12,2,0)</f>
        <v>Variable</v>
      </c>
      <c r="H509" s="5" t="str">
        <f>IFERROR(VLOOKUP(E509,Sheet2!$G$3:$H$8,2,0),"unkwon")</f>
        <v>online</v>
      </c>
      <c r="I509" s="5">
        <f>VLOOKUP(B509,Sheet2!$J$4:$K$15,2,0)</f>
        <v>7</v>
      </c>
      <c r="J509" s="5">
        <f>IFERROR(VLOOKUP(C509,Sheet2!$M$4:$N$12,2,0),0)</f>
        <v>10000</v>
      </c>
      <c r="K509" s="5" t="str">
        <f t="shared" si="7"/>
        <v>within budget</v>
      </c>
    </row>
    <row r="510" spans="1:11" x14ac:dyDescent="0.3">
      <c r="A510" s="6">
        <v>45213</v>
      </c>
      <c r="B510" s="5" t="s">
        <v>6</v>
      </c>
      <c r="C510" s="5" t="s">
        <v>13</v>
      </c>
      <c r="D510" s="5" t="s">
        <v>26</v>
      </c>
      <c r="E510" s="5" t="s">
        <v>15</v>
      </c>
      <c r="F510" s="5">
        <v>392</v>
      </c>
      <c r="G510" s="5" t="str">
        <f>VLOOKUP(C510,Sheet2!$C$3:$D$12,2,0)</f>
        <v>Variable</v>
      </c>
      <c r="H510" s="5" t="str">
        <f>IFERROR(VLOOKUP(E510,Sheet2!$G$3:$H$8,2,0),"unkwon")</f>
        <v>online</v>
      </c>
      <c r="I510" s="5">
        <f>VLOOKUP(B510,Sheet2!$J$4:$K$15,2,0)</f>
        <v>10</v>
      </c>
      <c r="J510" s="5">
        <f>IFERROR(VLOOKUP(C510,Sheet2!$M$4:$N$12,2,0),0)</f>
        <v>5000</v>
      </c>
      <c r="K510" s="5" t="str">
        <f t="shared" si="7"/>
        <v>within budget</v>
      </c>
    </row>
    <row r="511" spans="1:11" x14ac:dyDescent="0.3">
      <c r="A511" s="6">
        <v>45233</v>
      </c>
      <c r="B511" s="5" t="s">
        <v>40</v>
      </c>
      <c r="C511" s="5" t="s">
        <v>41</v>
      </c>
      <c r="D511" s="5" t="s">
        <v>20</v>
      </c>
      <c r="E511" s="5" t="s">
        <v>9</v>
      </c>
      <c r="F511" s="5">
        <v>4067</v>
      </c>
      <c r="G511" s="5" t="str">
        <f>VLOOKUP(C511,Sheet2!$C$3:$D$12,2,0)</f>
        <v>Variable</v>
      </c>
      <c r="H511" s="5" t="str">
        <f>IFERROR(VLOOKUP(E511,Sheet2!$G$3:$H$8,2,0),"unkwon")</f>
        <v>online</v>
      </c>
      <c r="I511" s="5">
        <f>VLOOKUP(B511,Sheet2!$J$4:$K$15,2,0)</f>
        <v>11</v>
      </c>
      <c r="J511" s="5">
        <f>IFERROR(VLOOKUP(C511,Sheet2!$M$4:$N$12,2,0),0)</f>
        <v>7000</v>
      </c>
      <c r="K511" s="5" t="str">
        <f t="shared" si="7"/>
        <v>within budget</v>
      </c>
    </row>
    <row r="512" spans="1:11" x14ac:dyDescent="0.3">
      <c r="A512" s="6">
        <v>45024</v>
      </c>
      <c r="B512" s="5" t="s">
        <v>29</v>
      </c>
      <c r="C512" s="5" t="s">
        <v>27</v>
      </c>
      <c r="D512" s="5" t="s">
        <v>23</v>
      </c>
      <c r="E512" s="5" t="s">
        <v>9</v>
      </c>
      <c r="F512" s="5">
        <v>2673</v>
      </c>
      <c r="G512" s="5" t="str">
        <f>VLOOKUP(C512,Sheet2!$C$3:$D$12,2,0)</f>
        <v>Variable</v>
      </c>
      <c r="H512" s="5" t="str">
        <f>IFERROR(VLOOKUP(E512,Sheet2!$G$3:$H$8,2,0),"unkwon")</f>
        <v>online</v>
      </c>
      <c r="I512" s="5">
        <f>VLOOKUP(B512,Sheet2!$J$4:$K$15,2,0)</f>
        <v>4</v>
      </c>
      <c r="J512" s="5">
        <f>IFERROR(VLOOKUP(C512,Sheet2!$M$4:$N$12,2,0),0)</f>
        <v>4000</v>
      </c>
      <c r="K512" s="5" t="str">
        <f t="shared" si="7"/>
        <v>within budget</v>
      </c>
    </row>
    <row r="513" spans="1:11" x14ac:dyDescent="0.3">
      <c r="A513" s="6">
        <v>45310</v>
      </c>
      <c r="B513" s="5" t="s">
        <v>37</v>
      </c>
      <c r="C513" s="5" t="s">
        <v>22</v>
      </c>
      <c r="D513" s="5" t="s">
        <v>14</v>
      </c>
      <c r="E513" s="5" t="s">
        <v>17</v>
      </c>
      <c r="F513" s="5">
        <v>3129</v>
      </c>
      <c r="G513" s="5" t="str">
        <f>VLOOKUP(C513,Sheet2!$C$3:$D$12,2,0)</f>
        <v>Variable</v>
      </c>
      <c r="H513" s="5" t="str">
        <f>IFERROR(VLOOKUP(E513,Sheet2!$G$3:$H$8,2,0),"unkwon")</f>
        <v>online</v>
      </c>
      <c r="I513" s="5">
        <f>VLOOKUP(B513,Sheet2!$J$4:$K$15,2,0)</f>
        <v>1</v>
      </c>
      <c r="J513" s="5">
        <f>IFERROR(VLOOKUP(C513,Sheet2!$M$4:$N$12,2,0),0)</f>
        <v>1000</v>
      </c>
      <c r="K513" s="5" t="str">
        <f t="shared" si="7"/>
        <v>over budget</v>
      </c>
    </row>
    <row r="514" spans="1:11" x14ac:dyDescent="0.3">
      <c r="A514" s="6">
        <v>44977</v>
      </c>
      <c r="B514" s="5" t="s">
        <v>33</v>
      </c>
      <c r="C514" s="5" t="s">
        <v>7</v>
      </c>
      <c r="D514" s="5" t="s">
        <v>31</v>
      </c>
      <c r="E514" s="5" t="s">
        <v>9</v>
      </c>
      <c r="F514" s="5">
        <v>353</v>
      </c>
      <c r="G514" s="5" t="str">
        <f>VLOOKUP(C514,Sheet2!$C$3:$D$12,2,0)</f>
        <v>Fixed</v>
      </c>
      <c r="H514" s="5" t="str">
        <f>IFERROR(VLOOKUP(E514,Sheet2!$G$3:$H$8,2,0),"unkwon")</f>
        <v>online</v>
      </c>
      <c r="I514" s="5">
        <f>VLOOKUP(B514,Sheet2!$J$4:$K$15,2,0)</f>
        <v>2</v>
      </c>
      <c r="J514" s="5">
        <f>IFERROR(VLOOKUP(C514,Sheet2!$M$4:$N$12,2,0),0)</f>
        <v>2000</v>
      </c>
      <c r="K514" s="5" t="str">
        <f t="shared" si="7"/>
        <v>within budget</v>
      </c>
    </row>
    <row r="515" spans="1:11" x14ac:dyDescent="0.3">
      <c r="A515" s="6">
        <v>45385</v>
      </c>
      <c r="B515" s="5" t="s">
        <v>29</v>
      </c>
      <c r="C515" s="5" t="s">
        <v>7</v>
      </c>
      <c r="D515" s="5" t="s">
        <v>24</v>
      </c>
      <c r="E515" s="5" t="s">
        <v>12</v>
      </c>
      <c r="F515" s="5">
        <v>2042</v>
      </c>
      <c r="G515" s="5" t="str">
        <f>VLOOKUP(C515,Sheet2!$C$3:$D$12,2,0)</f>
        <v>Fixed</v>
      </c>
      <c r="H515" s="5" t="str">
        <f>IFERROR(VLOOKUP(E515,Sheet2!$G$3:$H$8,2,0),"unkwon")</f>
        <v>online</v>
      </c>
      <c r="I515" s="5">
        <f>VLOOKUP(B515,Sheet2!$J$4:$K$15,2,0)</f>
        <v>4</v>
      </c>
      <c r="J515" s="5">
        <f>IFERROR(VLOOKUP(C515,Sheet2!$M$4:$N$12,2,0),0)</f>
        <v>2000</v>
      </c>
      <c r="K515" s="5" t="str">
        <f t="shared" ref="K515:K578" si="8">IF(F515&gt;J515,"over budget","within budget")</f>
        <v>over budget</v>
      </c>
    </row>
    <row r="516" spans="1:11" x14ac:dyDescent="0.3">
      <c r="A516" s="6">
        <v>45055</v>
      </c>
      <c r="B516" s="5" t="s">
        <v>28</v>
      </c>
      <c r="C516" s="5" t="s">
        <v>36</v>
      </c>
      <c r="D516" s="5" t="s">
        <v>8</v>
      </c>
      <c r="E516" s="5" t="s">
        <v>15</v>
      </c>
      <c r="F516" s="5">
        <v>1430</v>
      </c>
      <c r="G516" s="5" t="str">
        <f>VLOOKUP(C516,Sheet2!$C$3:$D$12,2,0)</f>
        <v>Variable</v>
      </c>
      <c r="H516" s="5" t="str">
        <f>IFERROR(VLOOKUP(E516,Sheet2!$G$3:$H$8,2,0),"unkwon")</f>
        <v>online</v>
      </c>
      <c r="I516" s="5">
        <f>VLOOKUP(B516,Sheet2!$J$4:$K$15,2,0)</f>
        <v>5</v>
      </c>
      <c r="J516" s="5">
        <f>IFERROR(VLOOKUP(C516,Sheet2!$M$4:$N$12,2,0),0)</f>
        <v>10000</v>
      </c>
      <c r="K516" s="5" t="str">
        <f t="shared" si="8"/>
        <v>within budget</v>
      </c>
    </row>
    <row r="517" spans="1:11" x14ac:dyDescent="0.3">
      <c r="A517" s="6">
        <v>45376</v>
      </c>
      <c r="B517" s="5" t="s">
        <v>19</v>
      </c>
      <c r="C517" s="5" t="s">
        <v>30</v>
      </c>
      <c r="D517" s="5" t="s">
        <v>11</v>
      </c>
      <c r="E517" s="5" t="s">
        <v>32</v>
      </c>
      <c r="F517" s="5">
        <v>3773</v>
      </c>
      <c r="G517" s="5" t="str">
        <f>VLOOKUP(C517,Sheet2!$C$3:$D$12,2,0)</f>
        <v>Fixed</v>
      </c>
      <c r="H517" s="5" t="str">
        <f>IFERROR(VLOOKUP(E517,Sheet2!$G$3:$H$8,2,0),"unkwon")</f>
        <v>offline</v>
      </c>
      <c r="I517" s="5">
        <f>VLOOKUP(B517,Sheet2!$J$4:$K$15,2,0)</f>
        <v>3</v>
      </c>
      <c r="J517" s="5">
        <f>IFERROR(VLOOKUP(C517,Sheet2!$M$4:$N$12,2,0),0)</f>
        <v>3000</v>
      </c>
      <c r="K517" s="5" t="str">
        <f t="shared" si="8"/>
        <v>over budget</v>
      </c>
    </row>
    <row r="518" spans="1:11" x14ac:dyDescent="0.3">
      <c r="A518" s="6">
        <v>44955</v>
      </c>
      <c r="B518" s="5" t="s">
        <v>37</v>
      </c>
      <c r="C518" s="5" t="s">
        <v>13</v>
      </c>
      <c r="D518" s="5" t="s">
        <v>23</v>
      </c>
      <c r="E518" s="5" t="s">
        <v>12</v>
      </c>
      <c r="F518" s="5">
        <v>1383</v>
      </c>
      <c r="G518" s="5" t="str">
        <f>VLOOKUP(C518,Sheet2!$C$3:$D$12,2,0)</f>
        <v>Variable</v>
      </c>
      <c r="H518" s="5" t="str">
        <f>IFERROR(VLOOKUP(E518,Sheet2!$G$3:$H$8,2,0),"unkwon")</f>
        <v>online</v>
      </c>
      <c r="I518" s="5">
        <f>VLOOKUP(B518,Sheet2!$J$4:$K$15,2,0)</f>
        <v>1</v>
      </c>
      <c r="J518" s="5">
        <f>IFERROR(VLOOKUP(C518,Sheet2!$M$4:$N$12,2,0),0)</f>
        <v>5000</v>
      </c>
      <c r="K518" s="5" t="str">
        <f t="shared" si="8"/>
        <v>within budget</v>
      </c>
    </row>
    <row r="519" spans="1:11" x14ac:dyDescent="0.3">
      <c r="A519" s="6">
        <v>44985</v>
      </c>
      <c r="B519" s="5" t="s">
        <v>33</v>
      </c>
      <c r="C519" s="5" t="s">
        <v>10</v>
      </c>
      <c r="D519" s="5" t="s">
        <v>14</v>
      </c>
      <c r="E519" s="5" t="s">
        <v>17</v>
      </c>
      <c r="F519" s="5">
        <v>900</v>
      </c>
      <c r="G519" s="5" t="str">
        <f>VLOOKUP(C519,Sheet2!$C$3:$D$12,2,0)</f>
        <v>Variable</v>
      </c>
      <c r="H519" s="5" t="str">
        <f>IFERROR(VLOOKUP(E519,Sheet2!$G$3:$H$8,2,0),"unkwon")</f>
        <v>online</v>
      </c>
      <c r="I519" s="5">
        <f>VLOOKUP(B519,Sheet2!$J$4:$K$15,2,0)</f>
        <v>2</v>
      </c>
      <c r="J519" s="5">
        <f>IFERROR(VLOOKUP(C519,Sheet2!$M$4:$N$12,2,0),0)</f>
        <v>5000</v>
      </c>
      <c r="K519" s="5" t="str">
        <f t="shared" si="8"/>
        <v>within budget</v>
      </c>
    </row>
    <row r="520" spans="1:11" x14ac:dyDescent="0.3">
      <c r="A520" s="6">
        <v>45398</v>
      </c>
      <c r="B520" s="5" t="s">
        <v>29</v>
      </c>
      <c r="C520" s="5" t="s">
        <v>10</v>
      </c>
      <c r="D520" s="5" t="s">
        <v>14</v>
      </c>
      <c r="E520" s="5" t="s">
        <v>17</v>
      </c>
      <c r="F520" s="5">
        <v>3319</v>
      </c>
      <c r="G520" s="5" t="str">
        <f>VLOOKUP(C520,Sheet2!$C$3:$D$12,2,0)</f>
        <v>Variable</v>
      </c>
      <c r="H520" s="5" t="str">
        <f>IFERROR(VLOOKUP(E520,Sheet2!$G$3:$H$8,2,0),"unkwon")</f>
        <v>online</v>
      </c>
      <c r="I520" s="5">
        <f>VLOOKUP(B520,Sheet2!$J$4:$K$15,2,0)</f>
        <v>4</v>
      </c>
      <c r="J520" s="5">
        <f>IFERROR(VLOOKUP(C520,Sheet2!$M$4:$N$12,2,0),0)</f>
        <v>5000</v>
      </c>
      <c r="K520" s="5" t="str">
        <f t="shared" si="8"/>
        <v>within budget</v>
      </c>
    </row>
    <row r="521" spans="1:11" x14ac:dyDescent="0.3">
      <c r="A521" s="6">
        <v>45348</v>
      </c>
      <c r="B521" s="5" t="s">
        <v>33</v>
      </c>
      <c r="C521" s="5" t="s">
        <v>22</v>
      </c>
      <c r="D521" s="5" t="s">
        <v>24</v>
      </c>
      <c r="E521" s="5" t="s">
        <v>17</v>
      </c>
      <c r="F521" s="5">
        <v>3405</v>
      </c>
      <c r="G521" s="5" t="str">
        <f>VLOOKUP(C521,Sheet2!$C$3:$D$12,2,0)</f>
        <v>Variable</v>
      </c>
      <c r="H521" s="5" t="str">
        <f>IFERROR(VLOOKUP(E521,Sheet2!$G$3:$H$8,2,0),"unkwon")</f>
        <v>online</v>
      </c>
      <c r="I521" s="5">
        <f>VLOOKUP(B521,Sheet2!$J$4:$K$15,2,0)</f>
        <v>2</v>
      </c>
      <c r="J521" s="5">
        <f>IFERROR(VLOOKUP(C521,Sheet2!$M$4:$N$12,2,0),0)</f>
        <v>1000</v>
      </c>
      <c r="K521" s="5" t="str">
        <f t="shared" si="8"/>
        <v>over budget</v>
      </c>
    </row>
    <row r="522" spans="1:11" x14ac:dyDescent="0.3">
      <c r="A522" s="6">
        <v>45271</v>
      </c>
      <c r="B522" s="5" t="s">
        <v>16</v>
      </c>
      <c r="C522" s="5" t="s">
        <v>22</v>
      </c>
      <c r="D522" s="5" t="s">
        <v>20</v>
      </c>
      <c r="E522" s="5" t="s">
        <v>9</v>
      </c>
      <c r="F522" s="5">
        <v>944</v>
      </c>
      <c r="G522" s="5" t="str">
        <f>VLOOKUP(C522,Sheet2!$C$3:$D$12,2,0)</f>
        <v>Variable</v>
      </c>
      <c r="H522" s="5" t="str">
        <f>IFERROR(VLOOKUP(E522,Sheet2!$G$3:$H$8,2,0),"unkwon")</f>
        <v>online</v>
      </c>
      <c r="I522" s="5">
        <f>VLOOKUP(B522,Sheet2!$J$4:$K$15,2,0)</f>
        <v>12</v>
      </c>
      <c r="J522" s="5">
        <f>IFERROR(VLOOKUP(C522,Sheet2!$M$4:$N$12,2,0),0)</f>
        <v>1000</v>
      </c>
      <c r="K522" s="5" t="str">
        <f t="shared" si="8"/>
        <v>within budget</v>
      </c>
    </row>
    <row r="523" spans="1:11" x14ac:dyDescent="0.3">
      <c r="A523" s="6">
        <v>45580</v>
      </c>
      <c r="B523" s="5" t="s">
        <v>6</v>
      </c>
      <c r="C523" s="5" t="s">
        <v>13</v>
      </c>
      <c r="D523" s="5" t="s">
        <v>14</v>
      </c>
      <c r="E523" s="5" t="s">
        <v>15</v>
      </c>
      <c r="F523" s="5">
        <v>174</v>
      </c>
      <c r="G523" s="5" t="str">
        <f>VLOOKUP(C523,Sheet2!$C$3:$D$12,2,0)</f>
        <v>Variable</v>
      </c>
      <c r="H523" s="5" t="str">
        <f>IFERROR(VLOOKUP(E523,Sheet2!$G$3:$H$8,2,0),"unkwon")</f>
        <v>online</v>
      </c>
      <c r="I523" s="5">
        <f>VLOOKUP(B523,Sheet2!$J$4:$K$15,2,0)</f>
        <v>10</v>
      </c>
      <c r="J523" s="5">
        <f>IFERROR(VLOOKUP(C523,Sheet2!$M$4:$N$12,2,0),0)</f>
        <v>5000</v>
      </c>
      <c r="K523" s="5" t="str">
        <f t="shared" si="8"/>
        <v>within budget</v>
      </c>
    </row>
    <row r="524" spans="1:11" x14ac:dyDescent="0.3">
      <c r="A524" s="6">
        <v>45471</v>
      </c>
      <c r="B524" s="5" t="s">
        <v>39</v>
      </c>
      <c r="C524" s="5" t="s">
        <v>30</v>
      </c>
      <c r="D524" s="5" t="s">
        <v>8</v>
      </c>
      <c r="E524" s="5" t="s">
        <v>15</v>
      </c>
      <c r="F524" s="5">
        <v>2039</v>
      </c>
      <c r="G524" s="5" t="str">
        <f>VLOOKUP(C524,Sheet2!$C$3:$D$12,2,0)</f>
        <v>Fixed</v>
      </c>
      <c r="H524" s="5" t="str">
        <f>IFERROR(VLOOKUP(E524,Sheet2!$G$3:$H$8,2,0),"unkwon")</f>
        <v>online</v>
      </c>
      <c r="I524" s="5">
        <f>VLOOKUP(B524,Sheet2!$J$4:$K$15,2,0)</f>
        <v>6</v>
      </c>
      <c r="J524" s="5">
        <f>IFERROR(VLOOKUP(C524,Sheet2!$M$4:$N$12,2,0),0)</f>
        <v>3000</v>
      </c>
      <c r="K524" s="5" t="str">
        <f t="shared" si="8"/>
        <v>within budget</v>
      </c>
    </row>
    <row r="525" spans="1:11" x14ac:dyDescent="0.3">
      <c r="A525" s="6">
        <v>45375</v>
      </c>
      <c r="B525" s="5" t="s">
        <v>19</v>
      </c>
      <c r="C525" s="5" t="s">
        <v>7</v>
      </c>
      <c r="D525" s="5" t="s">
        <v>31</v>
      </c>
      <c r="E525" s="5" t="s">
        <v>17</v>
      </c>
      <c r="F525" s="5">
        <v>461</v>
      </c>
      <c r="G525" s="5" t="str">
        <f>VLOOKUP(C525,Sheet2!$C$3:$D$12,2,0)</f>
        <v>Fixed</v>
      </c>
      <c r="H525" s="5" t="str">
        <f>IFERROR(VLOOKUP(E525,Sheet2!$G$3:$H$8,2,0),"unkwon")</f>
        <v>online</v>
      </c>
      <c r="I525" s="5">
        <f>VLOOKUP(B525,Sheet2!$J$4:$K$15,2,0)</f>
        <v>3</v>
      </c>
      <c r="J525" s="5">
        <f>IFERROR(VLOOKUP(C525,Sheet2!$M$4:$N$12,2,0),0)</f>
        <v>2000</v>
      </c>
      <c r="K525" s="5" t="str">
        <f t="shared" si="8"/>
        <v>within budget</v>
      </c>
    </row>
    <row r="526" spans="1:11" x14ac:dyDescent="0.3">
      <c r="A526" s="6">
        <v>45568</v>
      </c>
      <c r="B526" s="5" t="s">
        <v>6</v>
      </c>
      <c r="C526" s="5" t="s">
        <v>41</v>
      </c>
      <c r="D526" s="5" t="s">
        <v>20</v>
      </c>
      <c r="E526" s="5" t="s">
        <v>17</v>
      </c>
      <c r="F526" s="5">
        <v>2720</v>
      </c>
      <c r="G526" s="5" t="str">
        <f>VLOOKUP(C526,Sheet2!$C$3:$D$12,2,0)</f>
        <v>Variable</v>
      </c>
      <c r="H526" s="5" t="str">
        <f>IFERROR(VLOOKUP(E526,Sheet2!$G$3:$H$8,2,0),"unkwon")</f>
        <v>online</v>
      </c>
      <c r="I526" s="5">
        <f>VLOOKUP(B526,Sheet2!$J$4:$K$15,2,0)</f>
        <v>10</v>
      </c>
      <c r="J526" s="5">
        <f>IFERROR(VLOOKUP(C526,Sheet2!$M$4:$N$12,2,0),0)</f>
        <v>7000</v>
      </c>
      <c r="K526" s="5" t="str">
        <f t="shared" si="8"/>
        <v>within budget</v>
      </c>
    </row>
    <row r="527" spans="1:11" x14ac:dyDescent="0.3">
      <c r="A527" s="6">
        <v>45158</v>
      </c>
      <c r="B527" s="5" t="s">
        <v>25</v>
      </c>
      <c r="C527" s="5" t="s">
        <v>22</v>
      </c>
      <c r="D527" s="5" t="s">
        <v>34</v>
      </c>
      <c r="E527" s="5" t="s">
        <v>32</v>
      </c>
      <c r="F527" s="5">
        <v>2928</v>
      </c>
      <c r="G527" s="5" t="str">
        <f>VLOOKUP(C527,Sheet2!$C$3:$D$12,2,0)</f>
        <v>Variable</v>
      </c>
      <c r="H527" s="5" t="str">
        <f>IFERROR(VLOOKUP(E527,Sheet2!$G$3:$H$8,2,0),"unkwon")</f>
        <v>offline</v>
      </c>
      <c r="I527" s="5">
        <f>VLOOKUP(B527,Sheet2!$J$4:$K$15,2,0)</f>
        <v>8</v>
      </c>
      <c r="J527" s="5">
        <f>IFERROR(VLOOKUP(C527,Sheet2!$M$4:$N$12,2,0),0)</f>
        <v>1000</v>
      </c>
      <c r="K527" s="5" t="str">
        <f t="shared" si="8"/>
        <v>over budget</v>
      </c>
    </row>
    <row r="528" spans="1:11" x14ac:dyDescent="0.3">
      <c r="A528" s="6">
        <v>45067</v>
      </c>
      <c r="B528" s="5" t="s">
        <v>28</v>
      </c>
      <c r="C528" s="5" t="s">
        <v>27</v>
      </c>
      <c r="D528" s="5" t="s">
        <v>18</v>
      </c>
      <c r="E528" s="5" t="s">
        <v>17</v>
      </c>
      <c r="F528" s="5">
        <v>2214</v>
      </c>
      <c r="G528" s="5" t="str">
        <f>VLOOKUP(C528,Sheet2!$C$3:$D$12,2,0)</f>
        <v>Variable</v>
      </c>
      <c r="H528" s="5" t="str">
        <f>IFERROR(VLOOKUP(E528,Sheet2!$G$3:$H$8,2,0),"unkwon")</f>
        <v>online</v>
      </c>
      <c r="I528" s="5">
        <f>VLOOKUP(B528,Sheet2!$J$4:$K$15,2,0)</f>
        <v>5</v>
      </c>
      <c r="J528" s="5">
        <f>IFERROR(VLOOKUP(C528,Sheet2!$M$4:$N$12,2,0),0)</f>
        <v>4000</v>
      </c>
      <c r="K528" s="5" t="str">
        <f t="shared" si="8"/>
        <v>within budget</v>
      </c>
    </row>
    <row r="529" spans="1:11" x14ac:dyDescent="0.3">
      <c r="A529" s="6">
        <v>45555</v>
      </c>
      <c r="B529" s="5" t="s">
        <v>38</v>
      </c>
      <c r="C529" s="5" t="s">
        <v>13</v>
      </c>
      <c r="D529" s="5" t="s">
        <v>24</v>
      </c>
      <c r="E529" s="5" t="s">
        <v>12</v>
      </c>
      <c r="F529" s="5">
        <v>4181</v>
      </c>
      <c r="G529" s="5" t="str">
        <f>VLOOKUP(C529,Sheet2!$C$3:$D$12,2,0)</f>
        <v>Variable</v>
      </c>
      <c r="H529" s="5" t="str">
        <f>IFERROR(VLOOKUP(E529,Sheet2!$G$3:$H$8,2,0),"unkwon")</f>
        <v>online</v>
      </c>
      <c r="I529" s="5">
        <f>VLOOKUP(B529,Sheet2!$J$4:$K$15,2,0)</f>
        <v>9</v>
      </c>
      <c r="J529" s="5">
        <f>IFERROR(VLOOKUP(C529,Sheet2!$M$4:$N$12,2,0),0)</f>
        <v>5000</v>
      </c>
      <c r="K529" s="5" t="str">
        <f t="shared" si="8"/>
        <v>within budget</v>
      </c>
    </row>
    <row r="530" spans="1:11" x14ac:dyDescent="0.3">
      <c r="A530" s="6">
        <v>45241</v>
      </c>
      <c r="B530" s="5" t="s">
        <v>40</v>
      </c>
      <c r="C530" s="5" t="s">
        <v>10</v>
      </c>
      <c r="D530" s="5" t="s">
        <v>23</v>
      </c>
      <c r="E530" s="5" t="s">
        <v>15</v>
      </c>
      <c r="F530" s="5">
        <v>1266</v>
      </c>
      <c r="G530" s="5" t="str">
        <f>VLOOKUP(C530,Sheet2!$C$3:$D$12,2,0)</f>
        <v>Variable</v>
      </c>
      <c r="H530" s="5" t="str">
        <f>IFERROR(VLOOKUP(E530,Sheet2!$G$3:$H$8,2,0),"unkwon")</f>
        <v>online</v>
      </c>
      <c r="I530" s="5">
        <f>VLOOKUP(B530,Sheet2!$J$4:$K$15,2,0)</f>
        <v>11</v>
      </c>
      <c r="J530" s="5">
        <f>IFERROR(VLOOKUP(C530,Sheet2!$M$4:$N$12,2,0),0)</f>
        <v>5000</v>
      </c>
      <c r="K530" s="5" t="str">
        <f t="shared" si="8"/>
        <v>within budget</v>
      </c>
    </row>
    <row r="531" spans="1:11" x14ac:dyDescent="0.3">
      <c r="A531" s="6">
        <v>45388</v>
      </c>
      <c r="B531" s="5" t="s">
        <v>29</v>
      </c>
      <c r="C531" s="5" t="s">
        <v>27</v>
      </c>
      <c r="D531" s="5" t="s">
        <v>8</v>
      </c>
      <c r="E531" s="5" t="s">
        <v>9</v>
      </c>
      <c r="F531" s="5">
        <v>3610</v>
      </c>
      <c r="G531" s="5" t="str">
        <f>VLOOKUP(C531,Sheet2!$C$3:$D$12,2,0)</f>
        <v>Variable</v>
      </c>
      <c r="H531" s="5" t="str">
        <f>IFERROR(VLOOKUP(E531,Sheet2!$G$3:$H$8,2,0),"unkwon")</f>
        <v>online</v>
      </c>
      <c r="I531" s="5">
        <f>VLOOKUP(B531,Sheet2!$J$4:$K$15,2,0)</f>
        <v>4</v>
      </c>
      <c r="J531" s="5">
        <f>IFERROR(VLOOKUP(C531,Sheet2!$M$4:$N$12,2,0),0)</f>
        <v>4000</v>
      </c>
      <c r="K531" s="5" t="str">
        <f t="shared" si="8"/>
        <v>within budget</v>
      </c>
    </row>
    <row r="532" spans="1:11" x14ac:dyDescent="0.3">
      <c r="A532" s="6">
        <v>45410</v>
      </c>
      <c r="B532" s="5" t="s">
        <v>29</v>
      </c>
      <c r="C532" s="5" t="s">
        <v>30</v>
      </c>
      <c r="D532" s="5" t="s">
        <v>23</v>
      </c>
      <c r="E532" s="5" t="s">
        <v>9</v>
      </c>
      <c r="F532" s="5">
        <v>3271</v>
      </c>
      <c r="G532" s="5" t="str">
        <f>VLOOKUP(C532,Sheet2!$C$3:$D$12,2,0)</f>
        <v>Fixed</v>
      </c>
      <c r="H532" s="5" t="str">
        <f>IFERROR(VLOOKUP(E532,Sheet2!$G$3:$H$8,2,0),"unkwon")</f>
        <v>online</v>
      </c>
      <c r="I532" s="5">
        <f>VLOOKUP(B532,Sheet2!$J$4:$K$15,2,0)</f>
        <v>4</v>
      </c>
      <c r="J532" s="5">
        <f>IFERROR(VLOOKUP(C532,Sheet2!$M$4:$N$12,2,0),0)</f>
        <v>3000</v>
      </c>
      <c r="K532" s="5" t="str">
        <f t="shared" si="8"/>
        <v>over budget</v>
      </c>
    </row>
    <row r="533" spans="1:11" x14ac:dyDescent="0.3">
      <c r="A533" s="6">
        <v>45061</v>
      </c>
      <c r="B533" s="5" t="s">
        <v>28</v>
      </c>
      <c r="C533" s="5" t="s">
        <v>22</v>
      </c>
      <c r="D533" s="5" t="s">
        <v>34</v>
      </c>
      <c r="E533" s="5" t="s">
        <v>12</v>
      </c>
      <c r="F533" s="5">
        <v>4806</v>
      </c>
      <c r="G533" s="5" t="str">
        <f>VLOOKUP(C533,Sheet2!$C$3:$D$12,2,0)</f>
        <v>Variable</v>
      </c>
      <c r="H533" s="5" t="str">
        <f>IFERROR(VLOOKUP(E533,Sheet2!$G$3:$H$8,2,0),"unkwon")</f>
        <v>online</v>
      </c>
      <c r="I533" s="5">
        <f>VLOOKUP(B533,Sheet2!$J$4:$K$15,2,0)</f>
        <v>5</v>
      </c>
      <c r="J533" s="5">
        <f>IFERROR(VLOOKUP(C533,Sheet2!$M$4:$N$12,2,0),0)</f>
        <v>1000</v>
      </c>
      <c r="K533" s="5" t="str">
        <f t="shared" si="8"/>
        <v>over budget</v>
      </c>
    </row>
    <row r="534" spans="1:11" x14ac:dyDescent="0.3">
      <c r="A534" s="6">
        <v>45556</v>
      </c>
      <c r="B534" s="5" t="s">
        <v>38</v>
      </c>
      <c r="C534" s="5" t="s">
        <v>7</v>
      </c>
      <c r="D534" s="5" t="s">
        <v>14</v>
      </c>
      <c r="E534" s="5" t="s">
        <v>12</v>
      </c>
      <c r="F534" s="5">
        <v>3322</v>
      </c>
      <c r="G534" s="5" t="str">
        <f>VLOOKUP(C534,Sheet2!$C$3:$D$12,2,0)</f>
        <v>Fixed</v>
      </c>
      <c r="H534" s="5" t="str">
        <f>IFERROR(VLOOKUP(E534,Sheet2!$G$3:$H$8,2,0),"unkwon")</f>
        <v>online</v>
      </c>
      <c r="I534" s="5">
        <f>VLOOKUP(B534,Sheet2!$J$4:$K$15,2,0)</f>
        <v>9</v>
      </c>
      <c r="J534" s="5">
        <f>IFERROR(VLOOKUP(C534,Sheet2!$M$4:$N$12,2,0),0)</f>
        <v>2000</v>
      </c>
      <c r="K534" s="5" t="str">
        <f t="shared" si="8"/>
        <v>over budget</v>
      </c>
    </row>
    <row r="535" spans="1:11" x14ac:dyDescent="0.3">
      <c r="A535" s="6">
        <v>45394</v>
      </c>
      <c r="B535" s="5" t="s">
        <v>29</v>
      </c>
      <c r="C535" s="5" t="s">
        <v>35</v>
      </c>
      <c r="D535" s="5" t="s">
        <v>24</v>
      </c>
      <c r="E535" s="5" t="s">
        <v>17</v>
      </c>
      <c r="F535" s="5">
        <v>3594</v>
      </c>
      <c r="G535" s="5" t="str">
        <f>VLOOKUP(C535,Sheet2!$C$3:$D$12,2,0)</f>
        <v>Fixed</v>
      </c>
      <c r="H535" s="5" t="str">
        <f>IFERROR(VLOOKUP(E535,Sheet2!$G$3:$H$8,2,0),"unkwon")</f>
        <v>online</v>
      </c>
      <c r="I535" s="5">
        <f>VLOOKUP(B535,Sheet2!$J$4:$K$15,2,0)</f>
        <v>4</v>
      </c>
      <c r="J535" s="5">
        <f>IFERROR(VLOOKUP(C535,Sheet2!$M$4:$N$12,2,0),0)</f>
        <v>5500</v>
      </c>
      <c r="K535" s="5" t="str">
        <f t="shared" si="8"/>
        <v>within budget</v>
      </c>
    </row>
    <row r="536" spans="1:11" x14ac:dyDescent="0.3">
      <c r="A536" s="6">
        <v>45154</v>
      </c>
      <c r="B536" s="5" t="s">
        <v>25</v>
      </c>
      <c r="C536" s="5" t="s">
        <v>13</v>
      </c>
      <c r="D536" s="5" t="s">
        <v>8</v>
      </c>
      <c r="E536" s="5" t="s">
        <v>12</v>
      </c>
      <c r="F536" s="5">
        <v>1953</v>
      </c>
      <c r="G536" s="5" t="str">
        <f>VLOOKUP(C536,Sheet2!$C$3:$D$12,2,0)</f>
        <v>Variable</v>
      </c>
      <c r="H536" s="5" t="str">
        <f>IFERROR(VLOOKUP(E536,Sheet2!$G$3:$H$8,2,0),"unkwon")</f>
        <v>online</v>
      </c>
      <c r="I536" s="5">
        <f>VLOOKUP(B536,Sheet2!$J$4:$K$15,2,0)</f>
        <v>8</v>
      </c>
      <c r="J536" s="5">
        <f>IFERROR(VLOOKUP(C536,Sheet2!$M$4:$N$12,2,0),0)</f>
        <v>5000</v>
      </c>
      <c r="K536" s="5" t="str">
        <f t="shared" si="8"/>
        <v>within budget</v>
      </c>
    </row>
    <row r="537" spans="1:11" x14ac:dyDescent="0.3">
      <c r="A537" s="6">
        <v>45188</v>
      </c>
      <c r="B537" s="5" t="s">
        <v>38</v>
      </c>
      <c r="C537" s="5" t="s">
        <v>36</v>
      </c>
      <c r="D537" s="5" t="s">
        <v>24</v>
      </c>
      <c r="E537" s="5" t="s">
        <v>9</v>
      </c>
      <c r="F537" s="5">
        <v>1346</v>
      </c>
      <c r="G537" s="5" t="str">
        <f>VLOOKUP(C537,Sheet2!$C$3:$D$12,2,0)</f>
        <v>Variable</v>
      </c>
      <c r="H537" s="5" t="str">
        <f>IFERROR(VLOOKUP(E537,Sheet2!$G$3:$H$8,2,0),"unkwon")</f>
        <v>online</v>
      </c>
      <c r="I537" s="5">
        <f>VLOOKUP(B537,Sheet2!$J$4:$K$15,2,0)</f>
        <v>9</v>
      </c>
      <c r="J537" s="5">
        <f>IFERROR(VLOOKUP(C537,Sheet2!$M$4:$N$12,2,0),0)</f>
        <v>10000</v>
      </c>
      <c r="K537" s="5" t="str">
        <f t="shared" si="8"/>
        <v>within budget</v>
      </c>
    </row>
    <row r="538" spans="1:11" x14ac:dyDescent="0.3">
      <c r="A538" s="6">
        <v>45107</v>
      </c>
      <c r="B538" s="5" t="s">
        <v>39</v>
      </c>
      <c r="C538" s="5" t="s">
        <v>36</v>
      </c>
      <c r="D538" s="5" t="s">
        <v>26</v>
      </c>
      <c r="E538" s="5" t="s">
        <v>15</v>
      </c>
      <c r="F538" s="5">
        <v>4017</v>
      </c>
      <c r="G538" s="5" t="str">
        <f>VLOOKUP(C538,Sheet2!$C$3:$D$12,2,0)</f>
        <v>Variable</v>
      </c>
      <c r="H538" s="5" t="str">
        <f>IFERROR(VLOOKUP(E538,Sheet2!$G$3:$H$8,2,0),"unkwon")</f>
        <v>online</v>
      </c>
      <c r="I538" s="5">
        <f>VLOOKUP(B538,Sheet2!$J$4:$K$15,2,0)</f>
        <v>6</v>
      </c>
      <c r="J538" s="5">
        <f>IFERROR(VLOOKUP(C538,Sheet2!$M$4:$N$12,2,0),0)</f>
        <v>10000</v>
      </c>
      <c r="K538" s="5" t="str">
        <f t="shared" si="8"/>
        <v>within budget</v>
      </c>
    </row>
    <row r="539" spans="1:11" x14ac:dyDescent="0.3">
      <c r="A539" s="6">
        <v>45391</v>
      </c>
      <c r="B539" s="5" t="s">
        <v>29</v>
      </c>
      <c r="C539" s="5" t="s">
        <v>22</v>
      </c>
      <c r="D539" s="5" t="s">
        <v>8</v>
      </c>
      <c r="E539" s="5" t="s">
        <v>12</v>
      </c>
      <c r="F539" s="5">
        <v>982</v>
      </c>
      <c r="G539" s="5" t="str">
        <f>VLOOKUP(C539,Sheet2!$C$3:$D$12,2,0)</f>
        <v>Variable</v>
      </c>
      <c r="H539" s="5" t="str">
        <f>IFERROR(VLOOKUP(E539,Sheet2!$G$3:$H$8,2,0),"unkwon")</f>
        <v>online</v>
      </c>
      <c r="I539" s="5">
        <f>VLOOKUP(B539,Sheet2!$J$4:$K$15,2,0)</f>
        <v>4</v>
      </c>
      <c r="J539" s="5">
        <f>IFERROR(VLOOKUP(C539,Sheet2!$M$4:$N$12,2,0),0)</f>
        <v>1000</v>
      </c>
      <c r="K539" s="5" t="str">
        <f t="shared" si="8"/>
        <v>within budget</v>
      </c>
    </row>
    <row r="540" spans="1:11" x14ac:dyDescent="0.3">
      <c r="A540" s="6">
        <v>45628</v>
      </c>
      <c r="B540" s="5" t="s">
        <v>16</v>
      </c>
      <c r="C540" s="5" t="s">
        <v>22</v>
      </c>
      <c r="D540" s="5" t="s">
        <v>11</v>
      </c>
      <c r="E540" s="5" t="s">
        <v>12</v>
      </c>
      <c r="F540" s="5">
        <v>1797</v>
      </c>
      <c r="G540" s="5" t="str">
        <f>VLOOKUP(C540,Sheet2!$C$3:$D$12,2,0)</f>
        <v>Variable</v>
      </c>
      <c r="H540" s="5" t="str">
        <f>IFERROR(VLOOKUP(E540,Sheet2!$G$3:$H$8,2,0),"unkwon")</f>
        <v>online</v>
      </c>
      <c r="I540" s="5">
        <f>VLOOKUP(B540,Sheet2!$J$4:$K$15,2,0)</f>
        <v>12</v>
      </c>
      <c r="J540" s="5">
        <f>IFERROR(VLOOKUP(C540,Sheet2!$M$4:$N$12,2,0),0)</f>
        <v>1000</v>
      </c>
      <c r="K540" s="5" t="str">
        <f t="shared" si="8"/>
        <v>over budget</v>
      </c>
    </row>
    <row r="541" spans="1:11" x14ac:dyDescent="0.3">
      <c r="A541" s="6">
        <v>45033</v>
      </c>
      <c r="B541" s="5" t="s">
        <v>29</v>
      </c>
      <c r="C541" s="5" t="s">
        <v>7</v>
      </c>
      <c r="D541" s="5" t="s">
        <v>8</v>
      </c>
      <c r="E541" s="5" t="s">
        <v>12</v>
      </c>
      <c r="F541" s="5">
        <v>144</v>
      </c>
      <c r="G541" s="5" t="str">
        <f>VLOOKUP(C541,Sheet2!$C$3:$D$12,2,0)</f>
        <v>Fixed</v>
      </c>
      <c r="H541" s="5" t="str">
        <f>IFERROR(VLOOKUP(E541,Sheet2!$G$3:$H$8,2,0),"unkwon")</f>
        <v>online</v>
      </c>
      <c r="I541" s="5">
        <f>VLOOKUP(B541,Sheet2!$J$4:$K$15,2,0)</f>
        <v>4</v>
      </c>
      <c r="J541" s="5">
        <f>IFERROR(VLOOKUP(C541,Sheet2!$M$4:$N$12,2,0),0)</f>
        <v>2000</v>
      </c>
      <c r="K541" s="5" t="str">
        <f t="shared" si="8"/>
        <v>within budget</v>
      </c>
    </row>
    <row r="542" spans="1:11" x14ac:dyDescent="0.3">
      <c r="A542" s="6">
        <v>45288</v>
      </c>
      <c r="B542" s="5" t="s">
        <v>16</v>
      </c>
      <c r="C542" s="5" t="s">
        <v>41</v>
      </c>
      <c r="D542" s="5" t="s">
        <v>26</v>
      </c>
      <c r="E542" s="5" t="s">
        <v>9</v>
      </c>
      <c r="F542" s="5">
        <v>3505</v>
      </c>
      <c r="G542" s="5" t="str">
        <f>VLOOKUP(C542,Sheet2!$C$3:$D$12,2,0)</f>
        <v>Variable</v>
      </c>
      <c r="H542" s="5" t="str">
        <f>IFERROR(VLOOKUP(E542,Sheet2!$G$3:$H$8,2,0),"unkwon")</f>
        <v>online</v>
      </c>
      <c r="I542" s="5">
        <f>VLOOKUP(B542,Sheet2!$J$4:$K$15,2,0)</f>
        <v>12</v>
      </c>
      <c r="J542" s="5">
        <f>IFERROR(VLOOKUP(C542,Sheet2!$M$4:$N$12,2,0),0)</f>
        <v>7000</v>
      </c>
      <c r="K542" s="5" t="str">
        <f t="shared" si="8"/>
        <v>within budget</v>
      </c>
    </row>
    <row r="543" spans="1:11" x14ac:dyDescent="0.3">
      <c r="A543" s="6">
        <v>45141</v>
      </c>
      <c r="B543" s="5" t="s">
        <v>25</v>
      </c>
      <c r="C543" s="5" t="s">
        <v>10</v>
      </c>
      <c r="D543" s="5" t="s">
        <v>8</v>
      </c>
      <c r="E543" s="5" t="s">
        <v>12</v>
      </c>
      <c r="F543" s="5">
        <v>1593</v>
      </c>
      <c r="G543" s="5" t="str">
        <f>VLOOKUP(C543,Sheet2!$C$3:$D$12,2,0)</f>
        <v>Variable</v>
      </c>
      <c r="H543" s="5" t="str">
        <f>IFERROR(VLOOKUP(E543,Sheet2!$G$3:$H$8,2,0),"unkwon")</f>
        <v>online</v>
      </c>
      <c r="I543" s="5">
        <f>VLOOKUP(B543,Sheet2!$J$4:$K$15,2,0)</f>
        <v>8</v>
      </c>
      <c r="J543" s="5">
        <f>IFERROR(VLOOKUP(C543,Sheet2!$M$4:$N$12,2,0),0)</f>
        <v>5000</v>
      </c>
      <c r="K543" s="5" t="str">
        <f t="shared" si="8"/>
        <v>within budget</v>
      </c>
    </row>
    <row r="544" spans="1:11" x14ac:dyDescent="0.3">
      <c r="A544" s="6">
        <v>45609</v>
      </c>
      <c r="B544" s="5" t="s">
        <v>40</v>
      </c>
      <c r="C544" s="5" t="s">
        <v>27</v>
      </c>
      <c r="D544" s="5" t="s">
        <v>8</v>
      </c>
      <c r="E544" s="5" t="s">
        <v>15</v>
      </c>
      <c r="F544" s="5">
        <v>3774</v>
      </c>
      <c r="G544" s="5" t="str">
        <f>VLOOKUP(C544,Sheet2!$C$3:$D$12,2,0)</f>
        <v>Variable</v>
      </c>
      <c r="H544" s="5" t="str">
        <f>IFERROR(VLOOKUP(E544,Sheet2!$G$3:$H$8,2,0),"unkwon")</f>
        <v>online</v>
      </c>
      <c r="I544" s="5">
        <f>VLOOKUP(B544,Sheet2!$J$4:$K$15,2,0)</f>
        <v>11</v>
      </c>
      <c r="J544" s="5">
        <f>IFERROR(VLOOKUP(C544,Sheet2!$M$4:$N$12,2,0),0)</f>
        <v>4000</v>
      </c>
      <c r="K544" s="5" t="str">
        <f t="shared" si="8"/>
        <v>within budget</v>
      </c>
    </row>
    <row r="545" spans="1:11" x14ac:dyDescent="0.3">
      <c r="A545" s="6">
        <v>45473</v>
      </c>
      <c r="B545" s="5" t="s">
        <v>39</v>
      </c>
      <c r="C545" s="5" t="s">
        <v>13</v>
      </c>
      <c r="D545" s="5" t="s">
        <v>23</v>
      </c>
      <c r="E545" s="5" t="s">
        <v>12</v>
      </c>
      <c r="F545" s="5">
        <v>2248</v>
      </c>
      <c r="G545" s="5" t="str">
        <f>VLOOKUP(C545,Sheet2!$C$3:$D$12,2,0)</f>
        <v>Variable</v>
      </c>
      <c r="H545" s="5" t="str">
        <f>IFERROR(VLOOKUP(E545,Sheet2!$G$3:$H$8,2,0),"unkwon")</f>
        <v>online</v>
      </c>
      <c r="I545" s="5">
        <f>VLOOKUP(B545,Sheet2!$J$4:$K$15,2,0)</f>
        <v>6</v>
      </c>
      <c r="J545" s="5">
        <f>IFERROR(VLOOKUP(C545,Sheet2!$M$4:$N$12,2,0),0)</f>
        <v>5000</v>
      </c>
      <c r="K545" s="5" t="str">
        <f t="shared" si="8"/>
        <v>within budget</v>
      </c>
    </row>
    <row r="546" spans="1:11" x14ac:dyDescent="0.3">
      <c r="A546" s="6">
        <v>45363</v>
      </c>
      <c r="B546" s="5" t="s">
        <v>19</v>
      </c>
      <c r="C546" s="5" t="s">
        <v>13</v>
      </c>
      <c r="D546" s="5" t="s">
        <v>8</v>
      </c>
      <c r="E546" s="5" t="s">
        <v>9</v>
      </c>
      <c r="F546" s="5">
        <v>4639</v>
      </c>
      <c r="G546" s="5" t="str">
        <f>VLOOKUP(C546,Sheet2!$C$3:$D$12,2,0)</f>
        <v>Variable</v>
      </c>
      <c r="H546" s="5" t="str">
        <f>IFERROR(VLOOKUP(E546,Sheet2!$G$3:$H$8,2,0),"unkwon")</f>
        <v>online</v>
      </c>
      <c r="I546" s="5">
        <f>VLOOKUP(B546,Sheet2!$J$4:$K$15,2,0)</f>
        <v>3</v>
      </c>
      <c r="J546" s="5">
        <f>IFERROR(VLOOKUP(C546,Sheet2!$M$4:$N$12,2,0),0)</f>
        <v>5000</v>
      </c>
      <c r="K546" s="5" t="str">
        <f t="shared" si="8"/>
        <v>within budget</v>
      </c>
    </row>
    <row r="547" spans="1:11" x14ac:dyDescent="0.3">
      <c r="A547" s="6">
        <v>45097</v>
      </c>
      <c r="B547" s="5" t="s">
        <v>39</v>
      </c>
      <c r="C547" s="5" t="s">
        <v>41</v>
      </c>
      <c r="D547" s="5" t="s">
        <v>31</v>
      </c>
      <c r="E547" s="5" t="s">
        <v>9</v>
      </c>
      <c r="F547" s="5">
        <v>3309</v>
      </c>
      <c r="G547" s="5" t="str">
        <f>VLOOKUP(C547,Sheet2!$C$3:$D$12,2,0)</f>
        <v>Variable</v>
      </c>
      <c r="H547" s="5" t="str">
        <f>IFERROR(VLOOKUP(E547,Sheet2!$G$3:$H$8,2,0),"unkwon")</f>
        <v>online</v>
      </c>
      <c r="I547" s="5">
        <f>VLOOKUP(B547,Sheet2!$J$4:$K$15,2,0)</f>
        <v>6</v>
      </c>
      <c r="J547" s="5">
        <f>IFERROR(VLOOKUP(C547,Sheet2!$M$4:$N$12,2,0),0)</f>
        <v>7000</v>
      </c>
      <c r="K547" s="5" t="str">
        <f t="shared" si="8"/>
        <v>within budget</v>
      </c>
    </row>
    <row r="548" spans="1:11" x14ac:dyDescent="0.3">
      <c r="A548" s="6">
        <v>45140</v>
      </c>
      <c r="B548" s="5" t="s">
        <v>25</v>
      </c>
      <c r="C548" s="5" t="s">
        <v>22</v>
      </c>
      <c r="D548" s="5" t="s">
        <v>20</v>
      </c>
      <c r="E548" s="5" t="s">
        <v>15</v>
      </c>
      <c r="F548" s="5">
        <v>4850</v>
      </c>
      <c r="G548" s="5" t="str">
        <f>VLOOKUP(C548,Sheet2!$C$3:$D$12,2,0)</f>
        <v>Variable</v>
      </c>
      <c r="H548" s="5" t="str">
        <f>IFERROR(VLOOKUP(E548,Sheet2!$G$3:$H$8,2,0),"unkwon")</f>
        <v>online</v>
      </c>
      <c r="I548" s="5">
        <f>VLOOKUP(B548,Sheet2!$J$4:$K$15,2,0)</f>
        <v>8</v>
      </c>
      <c r="J548" s="5">
        <f>IFERROR(VLOOKUP(C548,Sheet2!$M$4:$N$12,2,0),0)</f>
        <v>1000</v>
      </c>
      <c r="K548" s="5" t="str">
        <f t="shared" si="8"/>
        <v>over budget</v>
      </c>
    </row>
    <row r="549" spans="1:11" x14ac:dyDescent="0.3">
      <c r="A549" s="6">
        <v>45228</v>
      </c>
      <c r="B549" s="5" t="s">
        <v>6</v>
      </c>
      <c r="C549" s="5" t="s">
        <v>13</v>
      </c>
      <c r="D549" s="5" t="s">
        <v>24</v>
      </c>
      <c r="E549" s="5" t="s">
        <v>15</v>
      </c>
      <c r="F549" s="5">
        <v>1690</v>
      </c>
      <c r="G549" s="5" t="str">
        <f>VLOOKUP(C549,Sheet2!$C$3:$D$12,2,0)</f>
        <v>Variable</v>
      </c>
      <c r="H549" s="5" t="str">
        <f>IFERROR(VLOOKUP(E549,Sheet2!$G$3:$H$8,2,0),"unkwon")</f>
        <v>online</v>
      </c>
      <c r="I549" s="5">
        <f>VLOOKUP(B549,Sheet2!$J$4:$K$15,2,0)</f>
        <v>10</v>
      </c>
      <c r="J549" s="5">
        <f>IFERROR(VLOOKUP(C549,Sheet2!$M$4:$N$12,2,0),0)</f>
        <v>5000</v>
      </c>
      <c r="K549" s="5" t="str">
        <f t="shared" si="8"/>
        <v>within budget</v>
      </c>
    </row>
    <row r="550" spans="1:11" x14ac:dyDescent="0.3">
      <c r="A550" s="6">
        <v>45386</v>
      </c>
      <c r="B550" s="5" t="s">
        <v>29</v>
      </c>
      <c r="C550" s="5" t="s">
        <v>27</v>
      </c>
      <c r="D550" s="5" t="s">
        <v>20</v>
      </c>
      <c r="E550" s="5" t="s">
        <v>15</v>
      </c>
      <c r="F550" s="5">
        <v>1404</v>
      </c>
      <c r="G550" s="5" t="str">
        <f>VLOOKUP(C550,Sheet2!$C$3:$D$12,2,0)</f>
        <v>Variable</v>
      </c>
      <c r="H550" s="5" t="str">
        <f>IFERROR(VLOOKUP(E550,Sheet2!$G$3:$H$8,2,0),"unkwon")</f>
        <v>online</v>
      </c>
      <c r="I550" s="5">
        <f>VLOOKUP(B550,Sheet2!$J$4:$K$15,2,0)</f>
        <v>4</v>
      </c>
      <c r="J550" s="5">
        <f>IFERROR(VLOOKUP(C550,Sheet2!$M$4:$N$12,2,0),0)</f>
        <v>4000</v>
      </c>
      <c r="K550" s="5" t="str">
        <f t="shared" si="8"/>
        <v>within budget</v>
      </c>
    </row>
    <row r="551" spans="1:11" x14ac:dyDescent="0.3">
      <c r="A551" s="6">
        <v>45612</v>
      </c>
      <c r="B551" s="5" t="s">
        <v>40</v>
      </c>
      <c r="C551" s="5" t="s">
        <v>7</v>
      </c>
      <c r="D551" s="5" t="s">
        <v>14</v>
      </c>
      <c r="E551" s="5" t="s">
        <v>32</v>
      </c>
      <c r="F551" s="5">
        <v>1478</v>
      </c>
      <c r="G551" s="5" t="str">
        <f>VLOOKUP(C551,Sheet2!$C$3:$D$12,2,0)</f>
        <v>Fixed</v>
      </c>
      <c r="H551" s="5" t="str">
        <f>IFERROR(VLOOKUP(E551,Sheet2!$G$3:$H$8,2,0),"unkwon")</f>
        <v>offline</v>
      </c>
      <c r="I551" s="5">
        <f>VLOOKUP(B551,Sheet2!$J$4:$K$15,2,0)</f>
        <v>11</v>
      </c>
      <c r="J551" s="5">
        <f>IFERROR(VLOOKUP(C551,Sheet2!$M$4:$N$12,2,0),0)</f>
        <v>2000</v>
      </c>
      <c r="K551" s="5" t="str">
        <f t="shared" si="8"/>
        <v>within budget</v>
      </c>
    </row>
    <row r="552" spans="1:11" x14ac:dyDescent="0.3">
      <c r="A552" s="6">
        <v>45382</v>
      </c>
      <c r="B552" s="5" t="s">
        <v>19</v>
      </c>
      <c r="C552" s="5" t="s">
        <v>22</v>
      </c>
      <c r="D552" s="5" t="s">
        <v>8</v>
      </c>
      <c r="E552" s="5" t="s">
        <v>15</v>
      </c>
      <c r="F552" s="5">
        <v>1278</v>
      </c>
      <c r="G552" s="5" t="str">
        <f>VLOOKUP(C552,Sheet2!$C$3:$D$12,2,0)</f>
        <v>Variable</v>
      </c>
      <c r="H552" s="5" t="str">
        <f>IFERROR(VLOOKUP(E552,Sheet2!$G$3:$H$8,2,0),"unkwon")</f>
        <v>online</v>
      </c>
      <c r="I552" s="5">
        <f>VLOOKUP(B552,Sheet2!$J$4:$K$15,2,0)</f>
        <v>3</v>
      </c>
      <c r="J552" s="5">
        <f>IFERROR(VLOOKUP(C552,Sheet2!$M$4:$N$12,2,0),0)</f>
        <v>1000</v>
      </c>
      <c r="K552" s="5" t="str">
        <f t="shared" si="8"/>
        <v>over budget</v>
      </c>
    </row>
    <row r="553" spans="1:11" x14ac:dyDescent="0.3">
      <c r="A553" s="6">
        <v>45213</v>
      </c>
      <c r="B553" s="5" t="s">
        <v>6</v>
      </c>
      <c r="C553" s="5" t="s">
        <v>41</v>
      </c>
      <c r="D553" s="5" t="s">
        <v>20</v>
      </c>
      <c r="E553" s="5" t="s">
        <v>9</v>
      </c>
      <c r="F553" s="5">
        <v>339</v>
      </c>
      <c r="G553" s="5" t="str">
        <f>VLOOKUP(C553,Sheet2!$C$3:$D$12,2,0)</f>
        <v>Variable</v>
      </c>
      <c r="H553" s="5" t="str">
        <f>IFERROR(VLOOKUP(E553,Sheet2!$G$3:$H$8,2,0),"unkwon")</f>
        <v>online</v>
      </c>
      <c r="I553" s="5">
        <f>VLOOKUP(B553,Sheet2!$J$4:$K$15,2,0)</f>
        <v>10</v>
      </c>
      <c r="J553" s="5">
        <f>IFERROR(VLOOKUP(C553,Sheet2!$M$4:$N$12,2,0),0)</f>
        <v>7000</v>
      </c>
      <c r="K553" s="5" t="str">
        <f t="shared" si="8"/>
        <v>within budget</v>
      </c>
    </row>
    <row r="554" spans="1:11" x14ac:dyDescent="0.3">
      <c r="A554" s="6">
        <v>44956</v>
      </c>
      <c r="B554" s="5" t="s">
        <v>37</v>
      </c>
      <c r="C554" s="5" t="s">
        <v>36</v>
      </c>
      <c r="D554" s="5" t="s">
        <v>34</v>
      </c>
      <c r="E554" s="5" t="s">
        <v>9</v>
      </c>
      <c r="F554" s="5">
        <v>3035</v>
      </c>
      <c r="G554" s="5" t="str">
        <f>VLOOKUP(C554,Sheet2!$C$3:$D$12,2,0)</f>
        <v>Variable</v>
      </c>
      <c r="H554" s="5" t="str">
        <f>IFERROR(VLOOKUP(E554,Sheet2!$G$3:$H$8,2,0),"unkwon")</f>
        <v>online</v>
      </c>
      <c r="I554" s="5">
        <f>VLOOKUP(B554,Sheet2!$J$4:$K$15,2,0)</f>
        <v>1</v>
      </c>
      <c r="J554" s="5">
        <f>IFERROR(VLOOKUP(C554,Sheet2!$M$4:$N$12,2,0),0)</f>
        <v>10000</v>
      </c>
      <c r="K554" s="5" t="str">
        <f t="shared" si="8"/>
        <v>within budget</v>
      </c>
    </row>
    <row r="555" spans="1:11" x14ac:dyDescent="0.3">
      <c r="A555" s="6">
        <v>45234</v>
      </c>
      <c r="B555" s="5" t="s">
        <v>40</v>
      </c>
      <c r="C555" s="5" t="s">
        <v>13</v>
      </c>
      <c r="D555" s="5" t="s">
        <v>8</v>
      </c>
      <c r="E555" s="5" t="s">
        <v>32</v>
      </c>
      <c r="F555" s="5">
        <v>4572</v>
      </c>
      <c r="G555" s="5" t="str">
        <f>VLOOKUP(C555,Sheet2!$C$3:$D$12,2,0)</f>
        <v>Variable</v>
      </c>
      <c r="H555" s="5" t="str">
        <f>IFERROR(VLOOKUP(E555,Sheet2!$G$3:$H$8,2,0),"unkwon")</f>
        <v>offline</v>
      </c>
      <c r="I555" s="5">
        <f>VLOOKUP(B555,Sheet2!$J$4:$K$15,2,0)</f>
        <v>11</v>
      </c>
      <c r="J555" s="5">
        <f>IFERROR(VLOOKUP(C555,Sheet2!$M$4:$N$12,2,0),0)</f>
        <v>5000</v>
      </c>
      <c r="K555" s="5" t="str">
        <f t="shared" si="8"/>
        <v>within budget</v>
      </c>
    </row>
    <row r="556" spans="1:11" x14ac:dyDescent="0.3">
      <c r="A556" s="6">
        <v>45569</v>
      </c>
      <c r="B556" s="5" t="s">
        <v>6</v>
      </c>
      <c r="C556" s="5" t="s">
        <v>10</v>
      </c>
      <c r="D556" s="5" t="s">
        <v>14</v>
      </c>
      <c r="E556" s="5" t="s">
        <v>15</v>
      </c>
      <c r="F556" s="5">
        <v>656</v>
      </c>
      <c r="G556" s="5" t="str">
        <f>VLOOKUP(C556,Sheet2!$C$3:$D$12,2,0)</f>
        <v>Variable</v>
      </c>
      <c r="H556" s="5" t="str">
        <f>IFERROR(VLOOKUP(E556,Sheet2!$G$3:$H$8,2,0),"unkwon")</f>
        <v>online</v>
      </c>
      <c r="I556" s="5">
        <f>VLOOKUP(B556,Sheet2!$J$4:$K$15,2,0)</f>
        <v>10</v>
      </c>
      <c r="J556" s="5">
        <f>IFERROR(VLOOKUP(C556,Sheet2!$M$4:$N$12,2,0),0)</f>
        <v>5000</v>
      </c>
      <c r="K556" s="5" t="str">
        <f t="shared" si="8"/>
        <v>within budget</v>
      </c>
    </row>
    <row r="557" spans="1:11" x14ac:dyDescent="0.3">
      <c r="A557" s="6">
        <v>44994</v>
      </c>
      <c r="B557" s="5" t="s">
        <v>19</v>
      </c>
      <c r="C557" s="5" t="s">
        <v>35</v>
      </c>
      <c r="D557" s="5" t="s">
        <v>34</v>
      </c>
      <c r="E557" s="5" t="s">
        <v>17</v>
      </c>
      <c r="F557" s="5">
        <v>4726</v>
      </c>
      <c r="G557" s="5" t="str">
        <f>VLOOKUP(C557,Sheet2!$C$3:$D$12,2,0)</f>
        <v>Fixed</v>
      </c>
      <c r="H557" s="5" t="str">
        <f>IFERROR(VLOOKUP(E557,Sheet2!$G$3:$H$8,2,0),"unkwon")</f>
        <v>online</v>
      </c>
      <c r="I557" s="5">
        <f>VLOOKUP(B557,Sheet2!$J$4:$K$15,2,0)</f>
        <v>3</v>
      </c>
      <c r="J557" s="5">
        <f>IFERROR(VLOOKUP(C557,Sheet2!$M$4:$N$12,2,0),0)</f>
        <v>5500</v>
      </c>
      <c r="K557" s="5" t="str">
        <f t="shared" si="8"/>
        <v>within budget</v>
      </c>
    </row>
    <row r="558" spans="1:11" x14ac:dyDescent="0.3">
      <c r="A558" s="6">
        <v>45030</v>
      </c>
      <c r="B558" s="5" t="s">
        <v>29</v>
      </c>
      <c r="C558" s="5" t="s">
        <v>41</v>
      </c>
      <c r="D558" s="5" t="s">
        <v>14</v>
      </c>
      <c r="E558" s="5" t="s">
        <v>9</v>
      </c>
      <c r="F558" s="5">
        <v>4418</v>
      </c>
      <c r="G558" s="5" t="str">
        <f>VLOOKUP(C558,Sheet2!$C$3:$D$12,2,0)</f>
        <v>Variable</v>
      </c>
      <c r="H558" s="5" t="str">
        <f>IFERROR(VLOOKUP(E558,Sheet2!$G$3:$H$8,2,0),"unkwon")</f>
        <v>online</v>
      </c>
      <c r="I558" s="5">
        <f>VLOOKUP(B558,Sheet2!$J$4:$K$15,2,0)</f>
        <v>4</v>
      </c>
      <c r="J558" s="5">
        <f>IFERROR(VLOOKUP(C558,Sheet2!$M$4:$N$12,2,0),0)</f>
        <v>7000</v>
      </c>
      <c r="K558" s="5" t="str">
        <f t="shared" si="8"/>
        <v>within budget</v>
      </c>
    </row>
    <row r="559" spans="1:11" x14ac:dyDescent="0.3">
      <c r="A559" s="6">
        <v>45194</v>
      </c>
      <c r="B559" s="5" t="s">
        <v>38</v>
      </c>
      <c r="C559" s="5" t="s">
        <v>7</v>
      </c>
      <c r="D559" s="5" t="s">
        <v>23</v>
      </c>
      <c r="E559" s="5" t="s">
        <v>15</v>
      </c>
      <c r="F559" s="5">
        <v>4177</v>
      </c>
      <c r="G559" s="5" t="str">
        <f>VLOOKUP(C559,Sheet2!$C$3:$D$12,2,0)</f>
        <v>Fixed</v>
      </c>
      <c r="H559" s="5" t="str">
        <f>IFERROR(VLOOKUP(E559,Sheet2!$G$3:$H$8,2,0),"unkwon")</f>
        <v>online</v>
      </c>
      <c r="I559" s="5">
        <f>VLOOKUP(B559,Sheet2!$J$4:$K$15,2,0)</f>
        <v>9</v>
      </c>
      <c r="J559" s="5">
        <f>IFERROR(VLOOKUP(C559,Sheet2!$M$4:$N$12,2,0),0)</f>
        <v>2000</v>
      </c>
      <c r="K559" s="5" t="str">
        <f t="shared" si="8"/>
        <v>over budget</v>
      </c>
    </row>
    <row r="560" spans="1:11" x14ac:dyDescent="0.3">
      <c r="A560" s="6">
        <v>45550</v>
      </c>
      <c r="B560" s="5" t="s">
        <v>38</v>
      </c>
      <c r="C560" s="5" t="s">
        <v>35</v>
      </c>
      <c r="D560" s="5" t="s">
        <v>18</v>
      </c>
      <c r="E560" s="5" t="s">
        <v>15</v>
      </c>
      <c r="F560" s="5">
        <v>3879</v>
      </c>
      <c r="G560" s="5" t="str">
        <f>VLOOKUP(C560,Sheet2!$C$3:$D$12,2,0)</f>
        <v>Fixed</v>
      </c>
      <c r="H560" s="5" t="str">
        <f>IFERROR(VLOOKUP(E560,Sheet2!$G$3:$H$8,2,0),"unkwon")</f>
        <v>online</v>
      </c>
      <c r="I560" s="5">
        <f>VLOOKUP(B560,Sheet2!$J$4:$K$15,2,0)</f>
        <v>9</v>
      </c>
      <c r="J560" s="5">
        <f>IFERROR(VLOOKUP(C560,Sheet2!$M$4:$N$12,2,0),0)</f>
        <v>5500</v>
      </c>
      <c r="K560" s="5" t="str">
        <f t="shared" si="8"/>
        <v>within budget</v>
      </c>
    </row>
    <row r="561" spans="1:11" x14ac:dyDescent="0.3">
      <c r="A561" s="6">
        <v>45388</v>
      </c>
      <c r="B561" s="5" t="s">
        <v>29</v>
      </c>
      <c r="C561" s="5" t="s">
        <v>41</v>
      </c>
      <c r="D561" s="5" t="s">
        <v>24</v>
      </c>
      <c r="E561" s="5" t="s">
        <v>15</v>
      </c>
      <c r="F561" s="5">
        <v>1552</v>
      </c>
      <c r="G561" s="5" t="str">
        <f>VLOOKUP(C561,Sheet2!$C$3:$D$12,2,0)</f>
        <v>Variable</v>
      </c>
      <c r="H561" s="5" t="str">
        <f>IFERROR(VLOOKUP(E561,Sheet2!$G$3:$H$8,2,0),"unkwon")</f>
        <v>online</v>
      </c>
      <c r="I561" s="5">
        <f>VLOOKUP(B561,Sheet2!$J$4:$K$15,2,0)</f>
        <v>4</v>
      </c>
      <c r="J561" s="5">
        <f>IFERROR(VLOOKUP(C561,Sheet2!$M$4:$N$12,2,0),0)</f>
        <v>7000</v>
      </c>
      <c r="K561" s="5" t="str">
        <f t="shared" si="8"/>
        <v>within budget</v>
      </c>
    </row>
    <row r="562" spans="1:11" x14ac:dyDescent="0.3">
      <c r="A562" s="6">
        <v>45126</v>
      </c>
      <c r="B562" s="5" t="s">
        <v>21</v>
      </c>
      <c r="C562" s="5" t="s">
        <v>13</v>
      </c>
      <c r="D562" s="5" t="s">
        <v>24</v>
      </c>
      <c r="E562" s="5" t="s">
        <v>17</v>
      </c>
      <c r="F562" s="5">
        <v>1458</v>
      </c>
      <c r="G562" s="5" t="str">
        <f>VLOOKUP(C562,Sheet2!$C$3:$D$12,2,0)</f>
        <v>Variable</v>
      </c>
      <c r="H562" s="5" t="str">
        <f>IFERROR(VLOOKUP(E562,Sheet2!$G$3:$H$8,2,0),"unkwon")</f>
        <v>online</v>
      </c>
      <c r="I562" s="5">
        <f>VLOOKUP(B562,Sheet2!$J$4:$K$15,2,0)</f>
        <v>7</v>
      </c>
      <c r="J562" s="5">
        <f>IFERROR(VLOOKUP(C562,Sheet2!$M$4:$N$12,2,0),0)</f>
        <v>5000</v>
      </c>
      <c r="K562" s="5" t="str">
        <f t="shared" si="8"/>
        <v>within budget</v>
      </c>
    </row>
    <row r="563" spans="1:11" x14ac:dyDescent="0.3">
      <c r="A563" s="6">
        <v>45093</v>
      </c>
      <c r="B563" s="5" t="s">
        <v>39</v>
      </c>
      <c r="C563" s="5" t="s">
        <v>22</v>
      </c>
      <c r="D563" s="5" t="s">
        <v>31</v>
      </c>
      <c r="E563" s="5" t="s">
        <v>32</v>
      </c>
      <c r="F563" s="5">
        <v>2521</v>
      </c>
      <c r="G563" s="5" t="str">
        <f>VLOOKUP(C563,Sheet2!$C$3:$D$12,2,0)</f>
        <v>Variable</v>
      </c>
      <c r="H563" s="5" t="str">
        <f>IFERROR(VLOOKUP(E563,Sheet2!$G$3:$H$8,2,0),"unkwon")</f>
        <v>offline</v>
      </c>
      <c r="I563" s="5">
        <f>VLOOKUP(B563,Sheet2!$J$4:$K$15,2,0)</f>
        <v>6</v>
      </c>
      <c r="J563" s="5">
        <f>IFERROR(VLOOKUP(C563,Sheet2!$M$4:$N$12,2,0),0)</f>
        <v>1000</v>
      </c>
      <c r="K563" s="5" t="str">
        <f t="shared" si="8"/>
        <v>over budget</v>
      </c>
    </row>
    <row r="564" spans="1:11" x14ac:dyDescent="0.3">
      <c r="A564" s="6">
        <v>45436</v>
      </c>
      <c r="B564" s="5" t="s">
        <v>28</v>
      </c>
      <c r="C564" s="5" t="s">
        <v>30</v>
      </c>
      <c r="D564" s="5" t="s">
        <v>26</v>
      </c>
      <c r="E564" s="5" t="s">
        <v>32</v>
      </c>
      <c r="F564" s="5">
        <v>3396</v>
      </c>
      <c r="G564" s="5" t="str">
        <f>VLOOKUP(C564,Sheet2!$C$3:$D$12,2,0)</f>
        <v>Fixed</v>
      </c>
      <c r="H564" s="5" t="str">
        <f>IFERROR(VLOOKUP(E564,Sheet2!$G$3:$H$8,2,0),"unkwon")</f>
        <v>offline</v>
      </c>
      <c r="I564" s="5">
        <f>VLOOKUP(B564,Sheet2!$J$4:$K$15,2,0)</f>
        <v>5</v>
      </c>
      <c r="J564" s="5">
        <f>IFERROR(VLOOKUP(C564,Sheet2!$M$4:$N$12,2,0),0)</f>
        <v>3000</v>
      </c>
      <c r="K564" s="5" t="str">
        <f t="shared" si="8"/>
        <v>over budget</v>
      </c>
    </row>
    <row r="565" spans="1:11" x14ac:dyDescent="0.3">
      <c r="A565" s="6">
        <v>45649</v>
      </c>
      <c r="B565" s="5" t="s">
        <v>16</v>
      </c>
      <c r="C565" s="5" t="s">
        <v>27</v>
      </c>
      <c r="D565" s="5" t="s">
        <v>11</v>
      </c>
      <c r="E565" s="5" t="s">
        <v>17</v>
      </c>
      <c r="F565" s="5">
        <v>3253</v>
      </c>
      <c r="G565" s="5" t="str">
        <f>VLOOKUP(C565,Sheet2!$C$3:$D$12,2,0)</f>
        <v>Variable</v>
      </c>
      <c r="H565" s="5" t="str">
        <f>IFERROR(VLOOKUP(E565,Sheet2!$G$3:$H$8,2,0),"unkwon")</f>
        <v>online</v>
      </c>
      <c r="I565" s="5">
        <f>VLOOKUP(B565,Sheet2!$J$4:$K$15,2,0)</f>
        <v>12</v>
      </c>
      <c r="J565" s="5">
        <f>IFERROR(VLOOKUP(C565,Sheet2!$M$4:$N$12,2,0),0)</f>
        <v>4000</v>
      </c>
      <c r="K565" s="5" t="str">
        <f t="shared" si="8"/>
        <v>within budget</v>
      </c>
    </row>
    <row r="566" spans="1:11" x14ac:dyDescent="0.3">
      <c r="A566" s="6">
        <v>45289</v>
      </c>
      <c r="B566" s="5" t="s">
        <v>16</v>
      </c>
      <c r="C566" s="5" t="s">
        <v>30</v>
      </c>
      <c r="D566" s="5" t="s">
        <v>11</v>
      </c>
      <c r="E566" s="5" t="s">
        <v>12</v>
      </c>
      <c r="F566" s="5">
        <v>3796</v>
      </c>
      <c r="G566" s="5" t="str">
        <f>VLOOKUP(C566,Sheet2!$C$3:$D$12,2,0)</f>
        <v>Fixed</v>
      </c>
      <c r="H566" s="5" t="str">
        <f>IFERROR(VLOOKUP(E566,Sheet2!$G$3:$H$8,2,0),"unkwon")</f>
        <v>online</v>
      </c>
      <c r="I566" s="5">
        <f>VLOOKUP(B566,Sheet2!$J$4:$K$15,2,0)</f>
        <v>12</v>
      </c>
      <c r="J566" s="5">
        <f>IFERROR(VLOOKUP(C566,Sheet2!$M$4:$N$12,2,0),0)</f>
        <v>3000</v>
      </c>
      <c r="K566" s="5" t="str">
        <f t="shared" si="8"/>
        <v>over budget</v>
      </c>
    </row>
    <row r="567" spans="1:11" x14ac:dyDescent="0.3">
      <c r="A567" s="6">
        <v>45214</v>
      </c>
      <c r="B567" s="5" t="s">
        <v>6</v>
      </c>
      <c r="C567" s="5" t="s">
        <v>7</v>
      </c>
      <c r="D567" s="5" t="s">
        <v>14</v>
      </c>
      <c r="E567" s="5" t="s">
        <v>17</v>
      </c>
      <c r="F567" s="5">
        <v>935</v>
      </c>
      <c r="G567" s="5" t="str">
        <f>VLOOKUP(C567,Sheet2!$C$3:$D$12,2,0)</f>
        <v>Fixed</v>
      </c>
      <c r="H567" s="5" t="str">
        <f>IFERROR(VLOOKUP(E567,Sheet2!$G$3:$H$8,2,0),"unkwon")</f>
        <v>online</v>
      </c>
      <c r="I567" s="5">
        <f>VLOOKUP(B567,Sheet2!$J$4:$K$15,2,0)</f>
        <v>10</v>
      </c>
      <c r="J567" s="5">
        <f>IFERROR(VLOOKUP(C567,Sheet2!$M$4:$N$12,2,0),0)</f>
        <v>2000</v>
      </c>
      <c r="K567" s="5" t="str">
        <f t="shared" si="8"/>
        <v>within budget</v>
      </c>
    </row>
    <row r="568" spans="1:11" x14ac:dyDescent="0.3">
      <c r="A568" s="6">
        <v>45305</v>
      </c>
      <c r="B568" s="5" t="s">
        <v>37</v>
      </c>
      <c r="C568" s="5" t="s">
        <v>30</v>
      </c>
      <c r="D568" s="5" t="s">
        <v>18</v>
      </c>
      <c r="E568" s="5" t="s">
        <v>17</v>
      </c>
      <c r="F568" s="5">
        <v>2236</v>
      </c>
      <c r="G568" s="5" t="str">
        <f>VLOOKUP(C568,Sheet2!$C$3:$D$12,2,0)</f>
        <v>Fixed</v>
      </c>
      <c r="H568" s="5" t="str">
        <f>IFERROR(VLOOKUP(E568,Sheet2!$G$3:$H$8,2,0),"unkwon")</f>
        <v>online</v>
      </c>
      <c r="I568" s="5">
        <f>VLOOKUP(B568,Sheet2!$J$4:$K$15,2,0)</f>
        <v>1</v>
      </c>
      <c r="J568" s="5">
        <f>IFERROR(VLOOKUP(C568,Sheet2!$M$4:$N$12,2,0),0)</f>
        <v>3000</v>
      </c>
      <c r="K568" s="5" t="str">
        <f t="shared" si="8"/>
        <v>within budget</v>
      </c>
    </row>
    <row r="569" spans="1:11" x14ac:dyDescent="0.3">
      <c r="A569" s="6">
        <v>45165</v>
      </c>
      <c r="B569" s="5" t="s">
        <v>25</v>
      </c>
      <c r="C569" s="5" t="s">
        <v>10</v>
      </c>
      <c r="D569" s="5" t="s">
        <v>23</v>
      </c>
      <c r="E569" s="5" t="s">
        <v>9</v>
      </c>
      <c r="F569" s="5">
        <v>1590</v>
      </c>
      <c r="G569" s="5" t="str">
        <f>VLOOKUP(C569,Sheet2!$C$3:$D$12,2,0)</f>
        <v>Variable</v>
      </c>
      <c r="H569" s="5" t="str">
        <f>IFERROR(VLOOKUP(E569,Sheet2!$G$3:$H$8,2,0),"unkwon")</f>
        <v>online</v>
      </c>
      <c r="I569" s="5">
        <f>VLOOKUP(B569,Sheet2!$J$4:$K$15,2,0)</f>
        <v>8</v>
      </c>
      <c r="J569" s="5">
        <f>IFERROR(VLOOKUP(C569,Sheet2!$M$4:$N$12,2,0),0)</f>
        <v>5000</v>
      </c>
      <c r="K569" s="5" t="str">
        <f t="shared" si="8"/>
        <v>within budget</v>
      </c>
    </row>
    <row r="570" spans="1:11" x14ac:dyDescent="0.3">
      <c r="A570" s="6">
        <v>45308</v>
      </c>
      <c r="B570" s="5" t="s">
        <v>37</v>
      </c>
      <c r="C570" s="5" t="s">
        <v>30</v>
      </c>
      <c r="D570" s="5" t="s">
        <v>20</v>
      </c>
      <c r="E570" s="5" t="s">
        <v>15</v>
      </c>
      <c r="F570" s="5">
        <v>2057</v>
      </c>
      <c r="G570" s="5" t="str">
        <f>VLOOKUP(C570,Sheet2!$C$3:$D$12,2,0)</f>
        <v>Fixed</v>
      </c>
      <c r="H570" s="5" t="str">
        <f>IFERROR(VLOOKUP(E570,Sheet2!$G$3:$H$8,2,0),"unkwon")</f>
        <v>online</v>
      </c>
      <c r="I570" s="5">
        <f>VLOOKUP(B570,Sheet2!$J$4:$K$15,2,0)</f>
        <v>1</v>
      </c>
      <c r="J570" s="5">
        <f>IFERROR(VLOOKUP(C570,Sheet2!$M$4:$N$12,2,0),0)</f>
        <v>3000</v>
      </c>
      <c r="K570" s="5" t="str">
        <f t="shared" si="8"/>
        <v>within budget</v>
      </c>
    </row>
    <row r="571" spans="1:11" x14ac:dyDescent="0.3">
      <c r="A571" s="6">
        <v>45486</v>
      </c>
      <c r="B571" s="5" t="s">
        <v>21</v>
      </c>
      <c r="C571" s="5" t="s">
        <v>41</v>
      </c>
      <c r="D571" s="5" t="s">
        <v>31</v>
      </c>
      <c r="E571" s="5" t="s">
        <v>32</v>
      </c>
      <c r="F571" s="5">
        <v>1154</v>
      </c>
      <c r="G571" s="5" t="str">
        <f>VLOOKUP(C571,Sheet2!$C$3:$D$12,2,0)</f>
        <v>Variable</v>
      </c>
      <c r="H571" s="5" t="str">
        <f>IFERROR(VLOOKUP(E571,Sheet2!$G$3:$H$8,2,0),"unkwon")</f>
        <v>offline</v>
      </c>
      <c r="I571" s="5">
        <f>VLOOKUP(B571,Sheet2!$J$4:$K$15,2,0)</f>
        <v>7</v>
      </c>
      <c r="J571" s="5">
        <f>IFERROR(VLOOKUP(C571,Sheet2!$M$4:$N$12,2,0),0)</f>
        <v>7000</v>
      </c>
      <c r="K571" s="5" t="str">
        <f t="shared" si="8"/>
        <v>within budget</v>
      </c>
    </row>
    <row r="572" spans="1:11" x14ac:dyDescent="0.3">
      <c r="A572" s="6">
        <v>45390</v>
      </c>
      <c r="B572" s="5" t="s">
        <v>29</v>
      </c>
      <c r="C572" s="5" t="s">
        <v>7</v>
      </c>
      <c r="D572" s="5" t="s">
        <v>26</v>
      </c>
      <c r="E572" s="5" t="s">
        <v>12</v>
      </c>
      <c r="F572" s="5">
        <v>4629</v>
      </c>
      <c r="G572" s="5" t="str">
        <f>VLOOKUP(C572,Sheet2!$C$3:$D$12,2,0)</f>
        <v>Fixed</v>
      </c>
      <c r="H572" s="5" t="str">
        <f>IFERROR(VLOOKUP(E572,Sheet2!$G$3:$H$8,2,0),"unkwon")</f>
        <v>online</v>
      </c>
      <c r="I572" s="5">
        <f>VLOOKUP(B572,Sheet2!$J$4:$K$15,2,0)</f>
        <v>4</v>
      </c>
      <c r="J572" s="5">
        <f>IFERROR(VLOOKUP(C572,Sheet2!$M$4:$N$12,2,0),0)</f>
        <v>2000</v>
      </c>
      <c r="K572" s="5" t="str">
        <f t="shared" si="8"/>
        <v>over budget</v>
      </c>
    </row>
    <row r="573" spans="1:11" x14ac:dyDescent="0.3">
      <c r="A573" s="6">
        <v>44963</v>
      </c>
      <c r="B573" s="5" t="s">
        <v>33</v>
      </c>
      <c r="C573" s="5" t="s">
        <v>30</v>
      </c>
      <c r="D573" s="5" t="s">
        <v>8</v>
      </c>
      <c r="E573" s="5" t="s">
        <v>15</v>
      </c>
      <c r="F573" s="5">
        <v>2515</v>
      </c>
      <c r="G573" s="5" t="str">
        <f>VLOOKUP(C573,Sheet2!$C$3:$D$12,2,0)</f>
        <v>Fixed</v>
      </c>
      <c r="H573" s="5" t="str">
        <f>IFERROR(VLOOKUP(E573,Sheet2!$G$3:$H$8,2,0),"unkwon")</f>
        <v>online</v>
      </c>
      <c r="I573" s="5">
        <f>VLOOKUP(B573,Sheet2!$J$4:$K$15,2,0)</f>
        <v>2</v>
      </c>
      <c r="J573" s="5">
        <f>IFERROR(VLOOKUP(C573,Sheet2!$M$4:$N$12,2,0),0)</f>
        <v>3000</v>
      </c>
      <c r="K573" s="5" t="str">
        <f t="shared" si="8"/>
        <v>within budget</v>
      </c>
    </row>
    <row r="574" spans="1:11" x14ac:dyDescent="0.3">
      <c r="A574" s="6">
        <v>45001</v>
      </c>
      <c r="B574" s="5" t="s">
        <v>19</v>
      </c>
      <c r="C574" s="5" t="s">
        <v>30</v>
      </c>
      <c r="D574" s="5" t="s">
        <v>18</v>
      </c>
      <c r="E574" s="5" t="s">
        <v>12</v>
      </c>
      <c r="F574" s="5">
        <v>1748</v>
      </c>
      <c r="G574" s="5" t="str">
        <f>VLOOKUP(C574,Sheet2!$C$3:$D$12,2,0)</f>
        <v>Fixed</v>
      </c>
      <c r="H574" s="5" t="str">
        <f>IFERROR(VLOOKUP(E574,Sheet2!$G$3:$H$8,2,0),"unkwon")</f>
        <v>online</v>
      </c>
      <c r="I574" s="5">
        <f>VLOOKUP(B574,Sheet2!$J$4:$K$15,2,0)</f>
        <v>3</v>
      </c>
      <c r="J574" s="5">
        <f>IFERROR(VLOOKUP(C574,Sheet2!$M$4:$N$12,2,0),0)</f>
        <v>3000</v>
      </c>
      <c r="K574" s="5" t="str">
        <f t="shared" si="8"/>
        <v>within budget</v>
      </c>
    </row>
    <row r="575" spans="1:11" x14ac:dyDescent="0.3">
      <c r="A575" s="6">
        <v>45546</v>
      </c>
      <c r="B575" s="5" t="s">
        <v>38</v>
      </c>
      <c r="C575" s="5" t="s">
        <v>13</v>
      </c>
      <c r="D575" s="5" t="s">
        <v>24</v>
      </c>
      <c r="E575" s="5" t="s">
        <v>12</v>
      </c>
      <c r="F575" s="5">
        <v>3070</v>
      </c>
      <c r="G575" s="5" t="str">
        <f>VLOOKUP(C575,Sheet2!$C$3:$D$12,2,0)</f>
        <v>Variable</v>
      </c>
      <c r="H575" s="5" t="str">
        <f>IFERROR(VLOOKUP(E575,Sheet2!$G$3:$H$8,2,0),"unkwon")</f>
        <v>online</v>
      </c>
      <c r="I575" s="5">
        <f>VLOOKUP(B575,Sheet2!$J$4:$K$15,2,0)</f>
        <v>9</v>
      </c>
      <c r="J575" s="5">
        <f>IFERROR(VLOOKUP(C575,Sheet2!$M$4:$N$12,2,0),0)</f>
        <v>5000</v>
      </c>
      <c r="K575" s="5" t="str">
        <f t="shared" si="8"/>
        <v>within budget</v>
      </c>
    </row>
    <row r="576" spans="1:11" x14ac:dyDescent="0.3">
      <c r="A576" s="6">
        <v>45281</v>
      </c>
      <c r="B576" s="5" t="s">
        <v>16</v>
      </c>
      <c r="C576" s="5" t="s">
        <v>22</v>
      </c>
      <c r="D576" s="5" t="s">
        <v>34</v>
      </c>
      <c r="E576" s="5" t="s">
        <v>15</v>
      </c>
      <c r="F576" s="5">
        <v>2940</v>
      </c>
      <c r="G576" s="5" t="str">
        <f>VLOOKUP(C576,Sheet2!$C$3:$D$12,2,0)</f>
        <v>Variable</v>
      </c>
      <c r="H576" s="5" t="str">
        <f>IFERROR(VLOOKUP(E576,Sheet2!$G$3:$H$8,2,0),"unkwon")</f>
        <v>online</v>
      </c>
      <c r="I576" s="5">
        <f>VLOOKUP(B576,Sheet2!$J$4:$K$15,2,0)</f>
        <v>12</v>
      </c>
      <c r="J576" s="5">
        <f>IFERROR(VLOOKUP(C576,Sheet2!$M$4:$N$12,2,0),0)</f>
        <v>1000</v>
      </c>
      <c r="K576" s="5" t="str">
        <f t="shared" si="8"/>
        <v>over budget</v>
      </c>
    </row>
    <row r="577" spans="1:11" x14ac:dyDescent="0.3">
      <c r="A577" s="6">
        <v>45344</v>
      </c>
      <c r="B577" s="5" t="s">
        <v>33</v>
      </c>
      <c r="C577" s="5" t="s">
        <v>7</v>
      </c>
      <c r="D577" s="5" t="s">
        <v>18</v>
      </c>
      <c r="E577" s="5" t="s">
        <v>32</v>
      </c>
      <c r="F577" s="5">
        <v>3388</v>
      </c>
      <c r="G577" s="5" t="str">
        <f>VLOOKUP(C577,Sheet2!$C$3:$D$12,2,0)</f>
        <v>Fixed</v>
      </c>
      <c r="H577" s="5" t="str">
        <f>IFERROR(VLOOKUP(E577,Sheet2!$G$3:$H$8,2,0),"unkwon")</f>
        <v>offline</v>
      </c>
      <c r="I577" s="5">
        <f>VLOOKUP(B577,Sheet2!$J$4:$K$15,2,0)</f>
        <v>2</v>
      </c>
      <c r="J577" s="5">
        <f>IFERROR(VLOOKUP(C577,Sheet2!$M$4:$N$12,2,0),0)</f>
        <v>2000</v>
      </c>
      <c r="K577" s="5" t="str">
        <f t="shared" si="8"/>
        <v>over budget</v>
      </c>
    </row>
    <row r="578" spans="1:11" x14ac:dyDescent="0.3">
      <c r="A578" s="6">
        <v>45270</v>
      </c>
      <c r="B578" s="5" t="s">
        <v>16</v>
      </c>
      <c r="C578" s="5" t="s">
        <v>13</v>
      </c>
      <c r="D578" s="5" t="s">
        <v>31</v>
      </c>
      <c r="E578" s="5" t="s">
        <v>15</v>
      </c>
      <c r="F578" s="5">
        <v>4868</v>
      </c>
      <c r="G578" s="5" t="str">
        <f>VLOOKUP(C578,Sheet2!$C$3:$D$12,2,0)</f>
        <v>Variable</v>
      </c>
      <c r="H578" s="5" t="str">
        <f>IFERROR(VLOOKUP(E578,Sheet2!$G$3:$H$8,2,0),"unkwon")</f>
        <v>online</v>
      </c>
      <c r="I578" s="5">
        <f>VLOOKUP(B578,Sheet2!$J$4:$K$15,2,0)</f>
        <v>12</v>
      </c>
      <c r="J578" s="5">
        <f>IFERROR(VLOOKUP(C578,Sheet2!$M$4:$N$12,2,0),0)</f>
        <v>5000</v>
      </c>
      <c r="K578" s="5" t="str">
        <f t="shared" si="8"/>
        <v>within budget</v>
      </c>
    </row>
    <row r="579" spans="1:11" x14ac:dyDescent="0.3">
      <c r="A579" s="6">
        <v>45466</v>
      </c>
      <c r="B579" s="5" t="s">
        <v>39</v>
      </c>
      <c r="C579" s="5" t="s">
        <v>22</v>
      </c>
      <c r="D579" s="5" t="s">
        <v>31</v>
      </c>
      <c r="E579" s="5" t="s">
        <v>32</v>
      </c>
      <c r="F579" s="5">
        <v>55</v>
      </c>
      <c r="G579" s="5" t="str">
        <f>VLOOKUP(C579,Sheet2!$C$3:$D$12,2,0)</f>
        <v>Variable</v>
      </c>
      <c r="H579" s="5" t="str">
        <f>IFERROR(VLOOKUP(E579,Sheet2!$G$3:$H$8,2,0),"unkwon")</f>
        <v>offline</v>
      </c>
      <c r="I579" s="5">
        <f>VLOOKUP(B579,Sheet2!$J$4:$K$15,2,0)</f>
        <v>6</v>
      </c>
      <c r="J579" s="5">
        <f>IFERROR(VLOOKUP(C579,Sheet2!$M$4:$N$12,2,0),0)</f>
        <v>1000</v>
      </c>
      <c r="K579" s="5" t="str">
        <f t="shared" ref="K579:K642" si="9">IF(F579&gt;J579,"over budget","within budget")</f>
        <v>within budget</v>
      </c>
    </row>
    <row r="580" spans="1:11" x14ac:dyDescent="0.3">
      <c r="A580" s="6">
        <v>44971</v>
      </c>
      <c r="B580" s="5" t="s">
        <v>33</v>
      </c>
      <c r="C580" s="5" t="s">
        <v>27</v>
      </c>
      <c r="D580" s="5" t="s">
        <v>31</v>
      </c>
      <c r="E580" s="5" t="s">
        <v>9</v>
      </c>
      <c r="F580" s="5">
        <v>1819</v>
      </c>
      <c r="G580" s="5" t="str">
        <f>VLOOKUP(C580,Sheet2!$C$3:$D$12,2,0)</f>
        <v>Variable</v>
      </c>
      <c r="H580" s="5" t="str">
        <f>IFERROR(VLOOKUP(E580,Sheet2!$G$3:$H$8,2,0),"unkwon")</f>
        <v>online</v>
      </c>
      <c r="I580" s="5">
        <f>VLOOKUP(B580,Sheet2!$J$4:$K$15,2,0)</f>
        <v>2</v>
      </c>
      <c r="J580" s="5">
        <f>IFERROR(VLOOKUP(C580,Sheet2!$M$4:$N$12,2,0),0)</f>
        <v>4000</v>
      </c>
      <c r="K580" s="5" t="str">
        <f t="shared" si="9"/>
        <v>within budget</v>
      </c>
    </row>
    <row r="581" spans="1:11" x14ac:dyDescent="0.3">
      <c r="A581" s="6">
        <v>44975</v>
      </c>
      <c r="B581" s="5" t="s">
        <v>33</v>
      </c>
      <c r="C581" s="5" t="s">
        <v>7</v>
      </c>
      <c r="D581" s="5" t="s">
        <v>26</v>
      </c>
      <c r="E581" s="5" t="s">
        <v>32</v>
      </c>
      <c r="F581" s="5">
        <v>1265</v>
      </c>
      <c r="G581" s="5" t="str">
        <f>VLOOKUP(C581,Sheet2!$C$3:$D$12,2,0)</f>
        <v>Fixed</v>
      </c>
      <c r="H581" s="5" t="str">
        <f>IFERROR(VLOOKUP(E581,Sheet2!$G$3:$H$8,2,0),"unkwon")</f>
        <v>offline</v>
      </c>
      <c r="I581" s="5">
        <f>VLOOKUP(B581,Sheet2!$J$4:$K$15,2,0)</f>
        <v>2</v>
      </c>
      <c r="J581" s="5">
        <f>IFERROR(VLOOKUP(C581,Sheet2!$M$4:$N$12,2,0),0)</f>
        <v>2000</v>
      </c>
      <c r="K581" s="5" t="str">
        <f t="shared" si="9"/>
        <v>within budget</v>
      </c>
    </row>
    <row r="582" spans="1:11" x14ac:dyDescent="0.3">
      <c r="A582" s="6">
        <v>45288</v>
      </c>
      <c r="B582" s="5" t="s">
        <v>16</v>
      </c>
      <c r="C582" s="5" t="s">
        <v>27</v>
      </c>
      <c r="D582" s="5" t="s">
        <v>20</v>
      </c>
      <c r="E582" s="5" t="s">
        <v>32</v>
      </c>
      <c r="F582" s="5">
        <v>4674</v>
      </c>
      <c r="G582" s="5" t="str">
        <f>VLOOKUP(C582,Sheet2!$C$3:$D$12,2,0)</f>
        <v>Variable</v>
      </c>
      <c r="H582" s="5" t="str">
        <f>IFERROR(VLOOKUP(E582,Sheet2!$G$3:$H$8,2,0),"unkwon")</f>
        <v>offline</v>
      </c>
      <c r="I582" s="5">
        <f>VLOOKUP(B582,Sheet2!$J$4:$K$15,2,0)</f>
        <v>12</v>
      </c>
      <c r="J582" s="5">
        <f>IFERROR(VLOOKUP(C582,Sheet2!$M$4:$N$12,2,0),0)</f>
        <v>4000</v>
      </c>
      <c r="K582" s="5" t="str">
        <f t="shared" si="9"/>
        <v>over budget</v>
      </c>
    </row>
    <row r="583" spans="1:11" x14ac:dyDescent="0.3">
      <c r="A583" s="6">
        <v>45148</v>
      </c>
      <c r="B583" s="5" t="s">
        <v>25</v>
      </c>
      <c r="C583" s="5" t="s">
        <v>22</v>
      </c>
      <c r="D583" s="5" t="s">
        <v>14</v>
      </c>
      <c r="E583" s="5" t="s">
        <v>32</v>
      </c>
      <c r="F583" s="5">
        <v>1086</v>
      </c>
      <c r="G583" s="5" t="str">
        <f>VLOOKUP(C583,Sheet2!$C$3:$D$12,2,0)</f>
        <v>Variable</v>
      </c>
      <c r="H583" s="5" t="str">
        <f>IFERROR(VLOOKUP(E583,Sheet2!$G$3:$H$8,2,0),"unkwon")</f>
        <v>offline</v>
      </c>
      <c r="I583" s="5">
        <f>VLOOKUP(B583,Sheet2!$J$4:$K$15,2,0)</f>
        <v>8</v>
      </c>
      <c r="J583" s="5">
        <f>IFERROR(VLOOKUP(C583,Sheet2!$M$4:$N$12,2,0),0)</f>
        <v>1000</v>
      </c>
      <c r="K583" s="5" t="str">
        <f t="shared" si="9"/>
        <v>over budget</v>
      </c>
    </row>
    <row r="584" spans="1:11" x14ac:dyDescent="0.3">
      <c r="A584" s="6">
        <v>45292</v>
      </c>
      <c r="B584" s="5" t="s">
        <v>37</v>
      </c>
      <c r="C584" s="5" t="s">
        <v>30</v>
      </c>
      <c r="D584" s="5" t="s">
        <v>18</v>
      </c>
      <c r="E584" s="5" t="s">
        <v>15</v>
      </c>
      <c r="F584" s="5">
        <v>726</v>
      </c>
      <c r="G584" s="5" t="str">
        <f>VLOOKUP(C584,Sheet2!$C$3:$D$12,2,0)</f>
        <v>Fixed</v>
      </c>
      <c r="H584" s="5" t="str">
        <f>IFERROR(VLOOKUP(E584,Sheet2!$G$3:$H$8,2,0),"unkwon")</f>
        <v>online</v>
      </c>
      <c r="I584" s="5">
        <f>VLOOKUP(B584,Sheet2!$J$4:$K$15,2,0)</f>
        <v>1</v>
      </c>
      <c r="J584" s="5">
        <f>IFERROR(VLOOKUP(C584,Sheet2!$M$4:$N$12,2,0),0)</f>
        <v>3000</v>
      </c>
      <c r="K584" s="5" t="str">
        <f t="shared" si="9"/>
        <v>within budget</v>
      </c>
    </row>
    <row r="585" spans="1:11" x14ac:dyDescent="0.3">
      <c r="A585" s="6">
        <v>45009</v>
      </c>
      <c r="B585" s="5" t="s">
        <v>19</v>
      </c>
      <c r="C585" s="5" t="s">
        <v>27</v>
      </c>
      <c r="D585" s="5" t="s">
        <v>24</v>
      </c>
      <c r="E585" s="5" t="s">
        <v>32</v>
      </c>
      <c r="F585" s="5">
        <v>592</v>
      </c>
      <c r="G585" s="5" t="str">
        <f>VLOOKUP(C585,Sheet2!$C$3:$D$12,2,0)</f>
        <v>Variable</v>
      </c>
      <c r="H585" s="5" t="str">
        <f>IFERROR(VLOOKUP(E585,Sheet2!$G$3:$H$8,2,0),"unkwon")</f>
        <v>offline</v>
      </c>
      <c r="I585" s="5">
        <f>VLOOKUP(B585,Sheet2!$J$4:$K$15,2,0)</f>
        <v>3</v>
      </c>
      <c r="J585" s="5">
        <f>IFERROR(VLOOKUP(C585,Sheet2!$M$4:$N$12,2,0),0)</f>
        <v>4000</v>
      </c>
      <c r="K585" s="5" t="str">
        <f t="shared" si="9"/>
        <v>within budget</v>
      </c>
    </row>
    <row r="586" spans="1:11" x14ac:dyDescent="0.3">
      <c r="A586" s="6">
        <v>44984</v>
      </c>
      <c r="B586" s="5" t="s">
        <v>33</v>
      </c>
      <c r="C586" s="5" t="s">
        <v>10</v>
      </c>
      <c r="D586" s="5" t="s">
        <v>31</v>
      </c>
      <c r="E586" s="5" t="s">
        <v>32</v>
      </c>
      <c r="F586" s="5">
        <v>4098</v>
      </c>
      <c r="G586" s="5" t="str">
        <f>VLOOKUP(C586,Sheet2!$C$3:$D$12,2,0)</f>
        <v>Variable</v>
      </c>
      <c r="H586" s="5" t="str">
        <f>IFERROR(VLOOKUP(E586,Sheet2!$G$3:$H$8,2,0),"unkwon")</f>
        <v>offline</v>
      </c>
      <c r="I586" s="5">
        <f>VLOOKUP(B586,Sheet2!$J$4:$K$15,2,0)</f>
        <v>2</v>
      </c>
      <c r="J586" s="5">
        <f>IFERROR(VLOOKUP(C586,Sheet2!$M$4:$N$12,2,0),0)</f>
        <v>5000</v>
      </c>
      <c r="K586" s="5" t="str">
        <f t="shared" si="9"/>
        <v>within budget</v>
      </c>
    </row>
    <row r="587" spans="1:11" x14ac:dyDescent="0.3">
      <c r="A587" s="6">
        <v>45255</v>
      </c>
      <c r="B587" s="5" t="s">
        <v>40</v>
      </c>
      <c r="C587" s="5" t="s">
        <v>10</v>
      </c>
      <c r="D587" s="5" t="s">
        <v>23</v>
      </c>
      <c r="E587" s="5" t="s">
        <v>17</v>
      </c>
      <c r="F587" s="5">
        <v>3953</v>
      </c>
      <c r="G587" s="5" t="str">
        <f>VLOOKUP(C587,Sheet2!$C$3:$D$12,2,0)</f>
        <v>Variable</v>
      </c>
      <c r="H587" s="5" t="str">
        <f>IFERROR(VLOOKUP(E587,Sheet2!$G$3:$H$8,2,0),"unkwon")</f>
        <v>online</v>
      </c>
      <c r="I587" s="5">
        <f>VLOOKUP(B587,Sheet2!$J$4:$K$15,2,0)</f>
        <v>11</v>
      </c>
      <c r="J587" s="5">
        <f>IFERROR(VLOOKUP(C587,Sheet2!$M$4:$N$12,2,0),0)</f>
        <v>5000</v>
      </c>
      <c r="K587" s="5" t="str">
        <f t="shared" si="9"/>
        <v>within budget</v>
      </c>
    </row>
    <row r="588" spans="1:11" x14ac:dyDescent="0.3">
      <c r="A588" s="6">
        <v>45632</v>
      </c>
      <c r="B588" s="5" t="s">
        <v>16</v>
      </c>
      <c r="C588" s="5" t="s">
        <v>27</v>
      </c>
      <c r="D588" s="5" t="s">
        <v>11</v>
      </c>
      <c r="E588" s="5" t="s">
        <v>15</v>
      </c>
      <c r="F588" s="5">
        <v>1877</v>
      </c>
      <c r="G588" s="5" t="str">
        <f>VLOOKUP(C588,Sheet2!$C$3:$D$12,2,0)</f>
        <v>Variable</v>
      </c>
      <c r="H588" s="5" t="str">
        <f>IFERROR(VLOOKUP(E588,Sheet2!$G$3:$H$8,2,0),"unkwon")</f>
        <v>online</v>
      </c>
      <c r="I588" s="5">
        <f>VLOOKUP(B588,Sheet2!$J$4:$K$15,2,0)</f>
        <v>12</v>
      </c>
      <c r="J588" s="5">
        <f>IFERROR(VLOOKUP(C588,Sheet2!$M$4:$N$12,2,0),0)</f>
        <v>4000</v>
      </c>
      <c r="K588" s="5" t="str">
        <f t="shared" si="9"/>
        <v>within budget</v>
      </c>
    </row>
    <row r="589" spans="1:11" x14ac:dyDescent="0.3">
      <c r="A589" s="6">
        <v>45164</v>
      </c>
      <c r="B589" s="5" t="s">
        <v>25</v>
      </c>
      <c r="C589" s="5" t="s">
        <v>22</v>
      </c>
      <c r="D589" s="5" t="s">
        <v>14</v>
      </c>
      <c r="E589" s="5" t="s">
        <v>9</v>
      </c>
      <c r="F589" s="5">
        <v>190</v>
      </c>
      <c r="G589" s="5" t="str">
        <f>VLOOKUP(C589,Sheet2!$C$3:$D$12,2,0)</f>
        <v>Variable</v>
      </c>
      <c r="H589" s="5" t="str">
        <f>IFERROR(VLOOKUP(E589,Sheet2!$G$3:$H$8,2,0),"unkwon")</f>
        <v>online</v>
      </c>
      <c r="I589" s="5">
        <f>VLOOKUP(B589,Sheet2!$J$4:$K$15,2,0)</f>
        <v>8</v>
      </c>
      <c r="J589" s="5">
        <f>IFERROR(VLOOKUP(C589,Sheet2!$M$4:$N$12,2,0),0)</f>
        <v>1000</v>
      </c>
      <c r="K589" s="5" t="str">
        <f t="shared" si="9"/>
        <v>within budget</v>
      </c>
    </row>
    <row r="590" spans="1:11" x14ac:dyDescent="0.3">
      <c r="A590" s="6">
        <v>45138</v>
      </c>
      <c r="B590" s="5" t="s">
        <v>21</v>
      </c>
      <c r="C590" s="5" t="s">
        <v>35</v>
      </c>
      <c r="D590" s="5" t="s">
        <v>24</v>
      </c>
      <c r="E590" s="5" t="s">
        <v>17</v>
      </c>
      <c r="F590" s="5">
        <v>4095</v>
      </c>
      <c r="G590" s="5" t="str">
        <f>VLOOKUP(C590,Sheet2!$C$3:$D$12,2,0)</f>
        <v>Fixed</v>
      </c>
      <c r="H590" s="5" t="str">
        <f>IFERROR(VLOOKUP(E590,Sheet2!$G$3:$H$8,2,0),"unkwon")</f>
        <v>online</v>
      </c>
      <c r="I590" s="5">
        <f>VLOOKUP(B590,Sheet2!$J$4:$K$15,2,0)</f>
        <v>7</v>
      </c>
      <c r="J590" s="5">
        <f>IFERROR(VLOOKUP(C590,Sheet2!$M$4:$N$12,2,0),0)</f>
        <v>5500</v>
      </c>
      <c r="K590" s="5" t="str">
        <f t="shared" si="9"/>
        <v>within budget</v>
      </c>
    </row>
    <row r="591" spans="1:11" x14ac:dyDescent="0.3">
      <c r="A591" s="6">
        <v>45251</v>
      </c>
      <c r="B591" s="5" t="s">
        <v>40</v>
      </c>
      <c r="C591" s="5" t="s">
        <v>7</v>
      </c>
      <c r="D591" s="5" t="s">
        <v>31</v>
      </c>
      <c r="E591" s="5" t="s">
        <v>32</v>
      </c>
      <c r="F591" s="5">
        <v>4878</v>
      </c>
      <c r="G591" s="5" t="str">
        <f>VLOOKUP(C591,Sheet2!$C$3:$D$12,2,0)</f>
        <v>Fixed</v>
      </c>
      <c r="H591" s="5" t="str">
        <f>IFERROR(VLOOKUP(E591,Sheet2!$G$3:$H$8,2,0),"unkwon")</f>
        <v>offline</v>
      </c>
      <c r="I591" s="5">
        <f>VLOOKUP(B591,Sheet2!$J$4:$K$15,2,0)</f>
        <v>11</v>
      </c>
      <c r="J591" s="5">
        <f>IFERROR(VLOOKUP(C591,Sheet2!$M$4:$N$12,2,0),0)</f>
        <v>2000</v>
      </c>
      <c r="K591" s="5" t="str">
        <f t="shared" si="9"/>
        <v>over budget</v>
      </c>
    </row>
    <row r="592" spans="1:11" x14ac:dyDescent="0.3">
      <c r="A592" s="6">
        <v>45325</v>
      </c>
      <c r="B592" s="5" t="s">
        <v>33</v>
      </c>
      <c r="C592" s="5" t="s">
        <v>22</v>
      </c>
      <c r="D592" s="5" t="s">
        <v>18</v>
      </c>
      <c r="E592" s="5" t="s">
        <v>12</v>
      </c>
      <c r="F592" s="5">
        <v>2622</v>
      </c>
      <c r="G592" s="5" t="str">
        <f>VLOOKUP(C592,Sheet2!$C$3:$D$12,2,0)</f>
        <v>Variable</v>
      </c>
      <c r="H592" s="5" t="str">
        <f>IFERROR(VLOOKUP(E592,Sheet2!$G$3:$H$8,2,0),"unkwon")</f>
        <v>online</v>
      </c>
      <c r="I592" s="5">
        <f>VLOOKUP(B592,Sheet2!$J$4:$K$15,2,0)</f>
        <v>2</v>
      </c>
      <c r="J592" s="5">
        <f>IFERROR(VLOOKUP(C592,Sheet2!$M$4:$N$12,2,0),0)</f>
        <v>1000</v>
      </c>
      <c r="K592" s="5" t="str">
        <f t="shared" si="9"/>
        <v>over budget</v>
      </c>
    </row>
    <row r="593" spans="1:11" x14ac:dyDescent="0.3">
      <c r="A593" s="6">
        <v>45374</v>
      </c>
      <c r="B593" s="5" t="s">
        <v>19</v>
      </c>
      <c r="C593" s="5" t="s">
        <v>41</v>
      </c>
      <c r="D593" s="5" t="s">
        <v>11</v>
      </c>
      <c r="E593" s="5" t="s">
        <v>15</v>
      </c>
      <c r="F593" s="5">
        <v>1074</v>
      </c>
      <c r="G593" s="5" t="str">
        <f>VLOOKUP(C593,Sheet2!$C$3:$D$12,2,0)</f>
        <v>Variable</v>
      </c>
      <c r="H593" s="5" t="str">
        <f>IFERROR(VLOOKUP(E593,Sheet2!$G$3:$H$8,2,0),"unkwon")</f>
        <v>online</v>
      </c>
      <c r="I593" s="5">
        <f>VLOOKUP(B593,Sheet2!$J$4:$K$15,2,0)</f>
        <v>3</v>
      </c>
      <c r="J593" s="5">
        <f>IFERROR(VLOOKUP(C593,Sheet2!$M$4:$N$12,2,0),0)</f>
        <v>7000</v>
      </c>
      <c r="K593" s="5" t="str">
        <f t="shared" si="9"/>
        <v>within budget</v>
      </c>
    </row>
    <row r="594" spans="1:11" x14ac:dyDescent="0.3">
      <c r="A594" s="6">
        <v>45094</v>
      </c>
      <c r="B594" s="5" t="s">
        <v>39</v>
      </c>
      <c r="C594" s="5" t="s">
        <v>36</v>
      </c>
      <c r="D594" s="5" t="s">
        <v>31</v>
      </c>
      <c r="E594" s="5" t="s">
        <v>32</v>
      </c>
      <c r="F594" s="5">
        <v>4599</v>
      </c>
      <c r="G594" s="5" t="str">
        <f>VLOOKUP(C594,Sheet2!$C$3:$D$12,2,0)</f>
        <v>Variable</v>
      </c>
      <c r="H594" s="5" t="str">
        <f>IFERROR(VLOOKUP(E594,Sheet2!$G$3:$H$8,2,0),"unkwon")</f>
        <v>offline</v>
      </c>
      <c r="I594" s="5">
        <f>VLOOKUP(B594,Sheet2!$J$4:$K$15,2,0)</f>
        <v>6</v>
      </c>
      <c r="J594" s="5">
        <f>IFERROR(VLOOKUP(C594,Sheet2!$M$4:$N$12,2,0),0)</f>
        <v>10000</v>
      </c>
      <c r="K594" s="5" t="str">
        <f t="shared" si="9"/>
        <v>within budget</v>
      </c>
    </row>
    <row r="595" spans="1:11" x14ac:dyDescent="0.3">
      <c r="A595" s="6">
        <v>45466</v>
      </c>
      <c r="B595" s="5" t="s">
        <v>39</v>
      </c>
      <c r="C595" s="5" t="s">
        <v>27</v>
      </c>
      <c r="D595" s="5" t="s">
        <v>18</v>
      </c>
      <c r="E595" s="5" t="s">
        <v>32</v>
      </c>
      <c r="F595" s="5">
        <v>1429</v>
      </c>
      <c r="G595" s="5" t="str">
        <f>VLOOKUP(C595,Sheet2!$C$3:$D$12,2,0)</f>
        <v>Variable</v>
      </c>
      <c r="H595" s="5" t="str">
        <f>IFERROR(VLOOKUP(E595,Sheet2!$G$3:$H$8,2,0),"unkwon")</f>
        <v>offline</v>
      </c>
      <c r="I595" s="5">
        <f>VLOOKUP(B595,Sheet2!$J$4:$K$15,2,0)</f>
        <v>6</v>
      </c>
      <c r="J595" s="5">
        <f>IFERROR(VLOOKUP(C595,Sheet2!$M$4:$N$12,2,0),0)</f>
        <v>4000</v>
      </c>
      <c r="K595" s="5" t="str">
        <f t="shared" si="9"/>
        <v>within budget</v>
      </c>
    </row>
    <row r="596" spans="1:11" x14ac:dyDescent="0.3">
      <c r="A596" s="6">
        <v>45645</v>
      </c>
      <c r="B596" s="5" t="s">
        <v>16</v>
      </c>
      <c r="C596" s="5" t="s">
        <v>10</v>
      </c>
      <c r="D596" s="5" t="s">
        <v>18</v>
      </c>
      <c r="E596" s="5" t="s">
        <v>17</v>
      </c>
      <c r="F596" s="5">
        <v>414</v>
      </c>
      <c r="G596" s="5" t="str">
        <f>VLOOKUP(C596,Sheet2!$C$3:$D$12,2,0)</f>
        <v>Variable</v>
      </c>
      <c r="H596" s="5" t="str">
        <f>IFERROR(VLOOKUP(E596,Sheet2!$G$3:$H$8,2,0),"unkwon")</f>
        <v>online</v>
      </c>
      <c r="I596" s="5">
        <f>VLOOKUP(B596,Sheet2!$J$4:$K$15,2,0)</f>
        <v>12</v>
      </c>
      <c r="J596" s="5">
        <f>IFERROR(VLOOKUP(C596,Sheet2!$M$4:$N$12,2,0),0)</f>
        <v>5000</v>
      </c>
      <c r="K596" s="5" t="str">
        <f t="shared" si="9"/>
        <v>within budget</v>
      </c>
    </row>
    <row r="597" spans="1:11" x14ac:dyDescent="0.3">
      <c r="A597" s="6">
        <v>45381</v>
      </c>
      <c r="B597" s="5" t="s">
        <v>19</v>
      </c>
      <c r="C597" s="5" t="s">
        <v>22</v>
      </c>
      <c r="D597" s="5" t="s">
        <v>8</v>
      </c>
      <c r="E597" s="5" t="s">
        <v>32</v>
      </c>
      <c r="F597" s="5">
        <v>4515</v>
      </c>
      <c r="G597" s="5" t="str">
        <f>VLOOKUP(C597,Sheet2!$C$3:$D$12,2,0)</f>
        <v>Variable</v>
      </c>
      <c r="H597" s="5" t="str">
        <f>IFERROR(VLOOKUP(E597,Sheet2!$G$3:$H$8,2,0),"unkwon")</f>
        <v>offline</v>
      </c>
      <c r="I597" s="5">
        <f>VLOOKUP(B597,Sheet2!$J$4:$K$15,2,0)</f>
        <v>3</v>
      </c>
      <c r="J597" s="5">
        <f>IFERROR(VLOOKUP(C597,Sheet2!$M$4:$N$12,2,0),0)</f>
        <v>1000</v>
      </c>
      <c r="K597" s="5" t="str">
        <f t="shared" si="9"/>
        <v>over budget</v>
      </c>
    </row>
    <row r="598" spans="1:11" x14ac:dyDescent="0.3">
      <c r="A598" s="6">
        <v>45503</v>
      </c>
      <c r="B598" s="5" t="s">
        <v>21</v>
      </c>
      <c r="C598" s="5" t="s">
        <v>36</v>
      </c>
      <c r="D598" s="5" t="s">
        <v>18</v>
      </c>
      <c r="E598" s="5" t="s">
        <v>17</v>
      </c>
      <c r="F598" s="5">
        <v>268</v>
      </c>
      <c r="G598" s="5" t="str">
        <f>VLOOKUP(C598,Sheet2!$C$3:$D$12,2,0)</f>
        <v>Variable</v>
      </c>
      <c r="H598" s="5" t="str">
        <f>IFERROR(VLOOKUP(E598,Sheet2!$G$3:$H$8,2,0),"unkwon")</f>
        <v>online</v>
      </c>
      <c r="I598" s="5">
        <f>VLOOKUP(B598,Sheet2!$J$4:$K$15,2,0)</f>
        <v>7</v>
      </c>
      <c r="J598" s="5">
        <f>IFERROR(VLOOKUP(C598,Sheet2!$M$4:$N$12,2,0),0)</f>
        <v>10000</v>
      </c>
      <c r="K598" s="5" t="str">
        <f t="shared" si="9"/>
        <v>within budget</v>
      </c>
    </row>
    <row r="599" spans="1:11" x14ac:dyDescent="0.3">
      <c r="A599" s="6">
        <v>45210</v>
      </c>
      <c r="B599" s="5" t="s">
        <v>6</v>
      </c>
      <c r="C599" s="5" t="s">
        <v>41</v>
      </c>
      <c r="D599" s="5" t="s">
        <v>14</v>
      </c>
      <c r="E599" s="5" t="s">
        <v>15</v>
      </c>
      <c r="F599" s="5">
        <v>4502</v>
      </c>
      <c r="G599" s="5" t="str">
        <f>VLOOKUP(C599,Sheet2!$C$3:$D$12,2,0)</f>
        <v>Variable</v>
      </c>
      <c r="H599" s="5" t="str">
        <f>IFERROR(VLOOKUP(E599,Sheet2!$G$3:$H$8,2,0),"unkwon")</f>
        <v>online</v>
      </c>
      <c r="I599" s="5">
        <f>VLOOKUP(B599,Sheet2!$J$4:$K$15,2,0)</f>
        <v>10</v>
      </c>
      <c r="J599" s="5">
        <f>IFERROR(VLOOKUP(C599,Sheet2!$M$4:$N$12,2,0),0)</f>
        <v>7000</v>
      </c>
      <c r="K599" s="5" t="str">
        <f t="shared" si="9"/>
        <v>within budget</v>
      </c>
    </row>
    <row r="600" spans="1:11" x14ac:dyDescent="0.3">
      <c r="A600" s="6">
        <v>45057</v>
      </c>
      <c r="B600" s="5" t="s">
        <v>28</v>
      </c>
      <c r="C600" s="5" t="s">
        <v>36</v>
      </c>
      <c r="D600" s="5" t="s">
        <v>18</v>
      </c>
      <c r="E600" s="5" t="s">
        <v>32</v>
      </c>
      <c r="F600" s="5">
        <v>1895</v>
      </c>
      <c r="G600" s="5" t="str">
        <f>VLOOKUP(C600,Sheet2!$C$3:$D$12,2,0)</f>
        <v>Variable</v>
      </c>
      <c r="H600" s="5" t="str">
        <f>IFERROR(VLOOKUP(E600,Sheet2!$G$3:$H$8,2,0),"unkwon")</f>
        <v>offline</v>
      </c>
      <c r="I600" s="5">
        <f>VLOOKUP(B600,Sheet2!$J$4:$K$15,2,0)</f>
        <v>5</v>
      </c>
      <c r="J600" s="5">
        <f>IFERROR(VLOOKUP(C600,Sheet2!$M$4:$N$12,2,0),0)</f>
        <v>10000</v>
      </c>
      <c r="K600" s="5" t="str">
        <f t="shared" si="9"/>
        <v>within budget</v>
      </c>
    </row>
    <row r="601" spans="1:11" x14ac:dyDescent="0.3">
      <c r="A601" s="6">
        <v>45536</v>
      </c>
      <c r="B601" s="5" t="s">
        <v>38</v>
      </c>
      <c r="C601" s="5" t="s">
        <v>13</v>
      </c>
      <c r="D601" s="5" t="s">
        <v>20</v>
      </c>
      <c r="E601" s="5" t="s">
        <v>9</v>
      </c>
      <c r="F601" s="5">
        <v>3117</v>
      </c>
      <c r="G601" s="5" t="str">
        <f>VLOOKUP(C601,Sheet2!$C$3:$D$12,2,0)</f>
        <v>Variable</v>
      </c>
      <c r="H601" s="5" t="str">
        <f>IFERROR(VLOOKUP(E601,Sheet2!$G$3:$H$8,2,0),"unkwon")</f>
        <v>online</v>
      </c>
      <c r="I601" s="5">
        <f>VLOOKUP(B601,Sheet2!$J$4:$K$15,2,0)</f>
        <v>9</v>
      </c>
      <c r="J601" s="5">
        <f>IFERROR(VLOOKUP(C601,Sheet2!$M$4:$N$12,2,0),0)</f>
        <v>5000</v>
      </c>
      <c r="K601" s="5" t="str">
        <f t="shared" si="9"/>
        <v>within budget</v>
      </c>
    </row>
    <row r="602" spans="1:11" x14ac:dyDescent="0.3">
      <c r="A602" s="6">
        <v>45553</v>
      </c>
      <c r="B602" s="5" t="s">
        <v>38</v>
      </c>
      <c r="C602" s="5" t="s">
        <v>22</v>
      </c>
      <c r="D602" s="5" t="s">
        <v>14</v>
      </c>
      <c r="E602" s="5" t="s">
        <v>12</v>
      </c>
      <c r="F602" s="5">
        <v>1275</v>
      </c>
      <c r="G602" s="5" t="str">
        <f>VLOOKUP(C602,Sheet2!$C$3:$D$12,2,0)</f>
        <v>Variable</v>
      </c>
      <c r="H602" s="5" t="str">
        <f>IFERROR(VLOOKUP(E602,Sheet2!$G$3:$H$8,2,0),"unkwon")</f>
        <v>online</v>
      </c>
      <c r="I602" s="5">
        <f>VLOOKUP(B602,Sheet2!$J$4:$K$15,2,0)</f>
        <v>9</v>
      </c>
      <c r="J602" s="5">
        <f>IFERROR(VLOOKUP(C602,Sheet2!$M$4:$N$12,2,0),0)</f>
        <v>1000</v>
      </c>
      <c r="K602" s="5" t="str">
        <f t="shared" si="9"/>
        <v>over budget</v>
      </c>
    </row>
    <row r="603" spans="1:11" x14ac:dyDescent="0.3">
      <c r="A603" s="6">
        <v>45564</v>
      </c>
      <c r="B603" s="5" t="s">
        <v>38</v>
      </c>
      <c r="C603" s="5" t="s">
        <v>10</v>
      </c>
      <c r="D603" s="5" t="s">
        <v>34</v>
      </c>
      <c r="E603" s="5" t="s">
        <v>9</v>
      </c>
      <c r="F603" s="5">
        <v>4901</v>
      </c>
      <c r="G603" s="5" t="str">
        <f>VLOOKUP(C603,Sheet2!$C$3:$D$12,2,0)</f>
        <v>Variable</v>
      </c>
      <c r="H603" s="5" t="str">
        <f>IFERROR(VLOOKUP(E603,Sheet2!$G$3:$H$8,2,0),"unkwon")</f>
        <v>online</v>
      </c>
      <c r="I603" s="5">
        <f>VLOOKUP(B603,Sheet2!$J$4:$K$15,2,0)</f>
        <v>9</v>
      </c>
      <c r="J603" s="5">
        <f>IFERROR(VLOOKUP(C603,Sheet2!$M$4:$N$12,2,0),0)</f>
        <v>5000</v>
      </c>
      <c r="K603" s="5" t="str">
        <f t="shared" si="9"/>
        <v>within budget</v>
      </c>
    </row>
    <row r="604" spans="1:11" x14ac:dyDescent="0.3">
      <c r="A604" s="6">
        <v>45540</v>
      </c>
      <c r="B604" s="5" t="s">
        <v>38</v>
      </c>
      <c r="C604" s="5" t="s">
        <v>30</v>
      </c>
      <c r="D604" s="5" t="s">
        <v>34</v>
      </c>
      <c r="E604" s="5" t="s">
        <v>32</v>
      </c>
      <c r="F604" s="5">
        <v>4274</v>
      </c>
      <c r="G604" s="5" t="str">
        <f>VLOOKUP(C604,Sheet2!$C$3:$D$12,2,0)</f>
        <v>Fixed</v>
      </c>
      <c r="H604" s="5" t="str">
        <f>IFERROR(VLOOKUP(E604,Sheet2!$G$3:$H$8,2,0),"unkwon")</f>
        <v>offline</v>
      </c>
      <c r="I604" s="5">
        <f>VLOOKUP(B604,Sheet2!$J$4:$K$15,2,0)</f>
        <v>9</v>
      </c>
      <c r="J604" s="5">
        <f>IFERROR(VLOOKUP(C604,Sheet2!$M$4:$N$12,2,0),0)</f>
        <v>3000</v>
      </c>
      <c r="K604" s="5" t="str">
        <f t="shared" si="9"/>
        <v>over budget</v>
      </c>
    </row>
    <row r="605" spans="1:11" x14ac:dyDescent="0.3">
      <c r="A605" s="6">
        <v>44945</v>
      </c>
      <c r="B605" s="5" t="s">
        <v>37</v>
      </c>
      <c r="C605" s="5" t="s">
        <v>41</v>
      </c>
      <c r="D605" s="5" t="s">
        <v>8</v>
      </c>
      <c r="E605" s="5" t="s">
        <v>32</v>
      </c>
      <c r="F605" s="5">
        <v>3967</v>
      </c>
      <c r="G605" s="5" t="str">
        <f>VLOOKUP(C605,Sheet2!$C$3:$D$12,2,0)</f>
        <v>Variable</v>
      </c>
      <c r="H605" s="5" t="str">
        <f>IFERROR(VLOOKUP(E605,Sheet2!$G$3:$H$8,2,0),"unkwon")</f>
        <v>offline</v>
      </c>
      <c r="I605" s="5">
        <f>VLOOKUP(B605,Sheet2!$J$4:$K$15,2,0)</f>
        <v>1</v>
      </c>
      <c r="J605" s="5">
        <f>IFERROR(VLOOKUP(C605,Sheet2!$M$4:$N$12,2,0),0)</f>
        <v>7000</v>
      </c>
      <c r="K605" s="5" t="str">
        <f t="shared" si="9"/>
        <v>within budget</v>
      </c>
    </row>
    <row r="606" spans="1:11" x14ac:dyDescent="0.3">
      <c r="A606" s="6">
        <v>45046</v>
      </c>
      <c r="B606" s="5" t="s">
        <v>29</v>
      </c>
      <c r="C606" s="5" t="s">
        <v>13</v>
      </c>
      <c r="D606" s="5" t="s">
        <v>20</v>
      </c>
      <c r="E606" s="5" t="s">
        <v>12</v>
      </c>
      <c r="F606" s="5">
        <v>1881</v>
      </c>
      <c r="G606" s="5" t="str">
        <f>VLOOKUP(C606,Sheet2!$C$3:$D$12,2,0)</f>
        <v>Variable</v>
      </c>
      <c r="H606" s="5" t="str">
        <f>IFERROR(VLOOKUP(E606,Sheet2!$G$3:$H$8,2,0),"unkwon")</f>
        <v>online</v>
      </c>
      <c r="I606" s="5">
        <f>VLOOKUP(B606,Sheet2!$J$4:$K$15,2,0)</f>
        <v>4</v>
      </c>
      <c r="J606" s="5">
        <f>IFERROR(VLOOKUP(C606,Sheet2!$M$4:$N$12,2,0),0)</f>
        <v>5000</v>
      </c>
      <c r="K606" s="5" t="str">
        <f t="shared" si="9"/>
        <v>within budget</v>
      </c>
    </row>
    <row r="607" spans="1:11" x14ac:dyDescent="0.3">
      <c r="A607" s="6">
        <v>45029</v>
      </c>
      <c r="B607" s="5" t="s">
        <v>29</v>
      </c>
      <c r="C607" s="5" t="s">
        <v>36</v>
      </c>
      <c r="D607" s="5" t="s">
        <v>24</v>
      </c>
      <c r="E607" s="5" t="s">
        <v>17</v>
      </c>
      <c r="F607" s="5">
        <v>543</v>
      </c>
      <c r="G607" s="5" t="str">
        <f>VLOOKUP(C607,Sheet2!$C$3:$D$12,2,0)</f>
        <v>Variable</v>
      </c>
      <c r="H607" s="5" t="str">
        <f>IFERROR(VLOOKUP(E607,Sheet2!$G$3:$H$8,2,0),"unkwon")</f>
        <v>online</v>
      </c>
      <c r="I607" s="5">
        <f>VLOOKUP(B607,Sheet2!$J$4:$K$15,2,0)</f>
        <v>4</v>
      </c>
      <c r="J607" s="5">
        <f>IFERROR(VLOOKUP(C607,Sheet2!$M$4:$N$12,2,0),0)</f>
        <v>10000</v>
      </c>
      <c r="K607" s="5" t="str">
        <f t="shared" si="9"/>
        <v>within budget</v>
      </c>
    </row>
    <row r="608" spans="1:11" x14ac:dyDescent="0.3">
      <c r="A608" s="6">
        <v>45358</v>
      </c>
      <c r="B608" s="5" t="s">
        <v>19</v>
      </c>
      <c r="C608" s="5" t="s">
        <v>22</v>
      </c>
      <c r="D608" s="5" t="s">
        <v>14</v>
      </c>
      <c r="E608" s="5" t="s">
        <v>12</v>
      </c>
      <c r="F608" s="5">
        <v>4600</v>
      </c>
      <c r="G608" s="5" t="str">
        <f>VLOOKUP(C608,Sheet2!$C$3:$D$12,2,0)</f>
        <v>Variable</v>
      </c>
      <c r="H608" s="5" t="str">
        <f>IFERROR(VLOOKUP(E608,Sheet2!$G$3:$H$8,2,0),"unkwon")</f>
        <v>online</v>
      </c>
      <c r="I608" s="5">
        <f>VLOOKUP(B608,Sheet2!$J$4:$K$15,2,0)</f>
        <v>3</v>
      </c>
      <c r="J608" s="5">
        <f>IFERROR(VLOOKUP(C608,Sheet2!$M$4:$N$12,2,0),0)</f>
        <v>1000</v>
      </c>
      <c r="K608" s="5" t="str">
        <f t="shared" si="9"/>
        <v>over budget</v>
      </c>
    </row>
    <row r="609" spans="1:11" x14ac:dyDescent="0.3">
      <c r="A609" s="6">
        <v>45393</v>
      </c>
      <c r="B609" s="5" t="s">
        <v>29</v>
      </c>
      <c r="C609" s="5" t="s">
        <v>10</v>
      </c>
      <c r="D609" s="5" t="s">
        <v>11</v>
      </c>
      <c r="E609" s="5" t="s">
        <v>32</v>
      </c>
      <c r="F609" s="5">
        <v>4356</v>
      </c>
      <c r="G609" s="5" t="str">
        <f>VLOOKUP(C609,Sheet2!$C$3:$D$12,2,0)</f>
        <v>Variable</v>
      </c>
      <c r="H609" s="5" t="str">
        <f>IFERROR(VLOOKUP(E609,Sheet2!$G$3:$H$8,2,0),"unkwon")</f>
        <v>offline</v>
      </c>
      <c r="I609" s="5">
        <f>VLOOKUP(B609,Sheet2!$J$4:$K$15,2,0)</f>
        <v>4</v>
      </c>
      <c r="J609" s="5">
        <f>IFERROR(VLOOKUP(C609,Sheet2!$M$4:$N$12,2,0),0)</f>
        <v>5000</v>
      </c>
      <c r="K609" s="5" t="str">
        <f t="shared" si="9"/>
        <v>within budget</v>
      </c>
    </row>
    <row r="610" spans="1:11" x14ac:dyDescent="0.3">
      <c r="A610" s="6">
        <v>45509</v>
      </c>
      <c r="B610" s="5" t="s">
        <v>25</v>
      </c>
      <c r="C610" s="5" t="s">
        <v>41</v>
      </c>
      <c r="D610" s="5" t="s">
        <v>31</v>
      </c>
      <c r="E610" s="5" t="s">
        <v>9</v>
      </c>
      <c r="F610" s="5">
        <v>445</v>
      </c>
      <c r="G610" s="5" t="str">
        <f>VLOOKUP(C610,Sheet2!$C$3:$D$12,2,0)</f>
        <v>Variable</v>
      </c>
      <c r="H610" s="5" t="str">
        <f>IFERROR(VLOOKUP(E610,Sheet2!$G$3:$H$8,2,0),"unkwon")</f>
        <v>online</v>
      </c>
      <c r="I610" s="5">
        <f>VLOOKUP(B610,Sheet2!$J$4:$K$15,2,0)</f>
        <v>8</v>
      </c>
      <c r="J610" s="5">
        <f>IFERROR(VLOOKUP(C610,Sheet2!$M$4:$N$12,2,0),0)</f>
        <v>7000</v>
      </c>
      <c r="K610" s="5" t="str">
        <f t="shared" si="9"/>
        <v>within budget</v>
      </c>
    </row>
    <row r="611" spans="1:11" x14ac:dyDescent="0.3">
      <c r="A611" s="6">
        <v>45239</v>
      </c>
      <c r="B611" s="5" t="s">
        <v>40</v>
      </c>
      <c r="C611" s="5" t="s">
        <v>27</v>
      </c>
      <c r="D611" s="5" t="s">
        <v>31</v>
      </c>
      <c r="E611" s="5" t="s">
        <v>9</v>
      </c>
      <c r="F611" s="5">
        <v>1399</v>
      </c>
      <c r="G611" s="5" t="str">
        <f>VLOOKUP(C611,Sheet2!$C$3:$D$12,2,0)</f>
        <v>Variable</v>
      </c>
      <c r="H611" s="5" t="str">
        <f>IFERROR(VLOOKUP(E611,Sheet2!$G$3:$H$8,2,0),"unkwon")</f>
        <v>online</v>
      </c>
      <c r="I611" s="5">
        <f>VLOOKUP(B611,Sheet2!$J$4:$K$15,2,0)</f>
        <v>11</v>
      </c>
      <c r="J611" s="5">
        <f>IFERROR(VLOOKUP(C611,Sheet2!$M$4:$N$12,2,0),0)</f>
        <v>4000</v>
      </c>
      <c r="K611" s="5" t="str">
        <f t="shared" si="9"/>
        <v>within budget</v>
      </c>
    </row>
    <row r="612" spans="1:11" x14ac:dyDescent="0.3">
      <c r="A612" s="6">
        <v>45439</v>
      </c>
      <c r="B612" s="5" t="s">
        <v>28</v>
      </c>
      <c r="C612" s="5" t="s">
        <v>41</v>
      </c>
      <c r="D612" s="5" t="s">
        <v>23</v>
      </c>
      <c r="E612" s="5" t="s">
        <v>12</v>
      </c>
      <c r="F612" s="5">
        <v>849</v>
      </c>
      <c r="G612" s="5" t="str">
        <f>VLOOKUP(C612,Sheet2!$C$3:$D$12,2,0)</f>
        <v>Variable</v>
      </c>
      <c r="H612" s="5" t="str">
        <f>IFERROR(VLOOKUP(E612,Sheet2!$G$3:$H$8,2,0),"unkwon")</f>
        <v>online</v>
      </c>
      <c r="I612" s="5">
        <f>VLOOKUP(B612,Sheet2!$J$4:$K$15,2,0)</f>
        <v>5</v>
      </c>
      <c r="J612" s="5">
        <f>IFERROR(VLOOKUP(C612,Sheet2!$M$4:$N$12,2,0),0)</f>
        <v>7000</v>
      </c>
      <c r="K612" s="5" t="str">
        <f t="shared" si="9"/>
        <v>within budget</v>
      </c>
    </row>
    <row r="613" spans="1:11" x14ac:dyDescent="0.3">
      <c r="A613" s="6">
        <v>45406</v>
      </c>
      <c r="B613" s="5" t="s">
        <v>29</v>
      </c>
      <c r="C613" s="5" t="s">
        <v>27</v>
      </c>
      <c r="D613" s="5" t="s">
        <v>23</v>
      </c>
      <c r="E613" s="5" t="s">
        <v>12</v>
      </c>
      <c r="F613" s="5">
        <v>4560</v>
      </c>
      <c r="G613" s="5" t="str">
        <f>VLOOKUP(C613,Sheet2!$C$3:$D$12,2,0)</f>
        <v>Variable</v>
      </c>
      <c r="H613" s="5" t="str">
        <f>IFERROR(VLOOKUP(E613,Sheet2!$G$3:$H$8,2,0),"unkwon")</f>
        <v>online</v>
      </c>
      <c r="I613" s="5">
        <f>VLOOKUP(B613,Sheet2!$J$4:$K$15,2,0)</f>
        <v>4</v>
      </c>
      <c r="J613" s="5">
        <f>IFERROR(VLOOKUP(C613,Sheet2!$M$4:$N$12,2,0),0)</f>
        <v>4000</v>
      </c>
      <c r="K613" s="5" t="str">
        <f t="shared" si="9"/>
        <v>over budget</v>
      </c>
    </row>
    <row r="614" spans="1:11" x14ac:dyDescent="0.3">
      <c r="A614" s="6">
        <v>45644</v>
      </c>
      <c r="B614" s="5" t="s">
        <v>16</v>
      </c>
      <c r="C614" s="5" t="s">
        <v>13</v>
      </c>
      <c r="D614" s="5" t="s">
        <v>31</v>
      </c>
      <c r="E614" s="5" t="s">
        <v>9</v>
      </c>
      <c r="F614" s="5">
        <v>2914</v>
      </c>
      <c r="G614" s="5" t="str">
        <f>VLOOKUP(C614,Sheet2!$C$3:$D$12,2,0)</f>
        <v>Variable</v>
      </c>
      <c r="H614" s="5" t="str">
        <f>IFERROR(VLOOKUP(E614,Sheet2!$G$3:$H$8,2,0),"unkwon")</f>
        <v>online</v>
      </c>
      <c r="I614" s="5">
        <f>VLOOKUP(B614,Sheet2!$J$4:$K$15,2,0)</f>
        <v>12</v>
      </c>
      <c r="J614" s="5">
        <f>IFERROR(VLOOKUP(C614,Sheet2!$M$4:$N$12,2,0),0)</f>
        <v>5000</v>
      </c>
      <c r="K614" s="5" t="str">
        <f t="shared" si="9"/>
        <v>within budget</v>
      </c>
    </row>
    <row r="615" spans="1:11" x14ac:dyDescent="0.3">
      <c r="A615" s="6">
        <v>45610</v>
      </c>
      <c r="B615" s="5" t="s">
        <v>40</v>
      </c>
      <c r="C615" s="5" t="s">
        <v>41</v>
      </c>
      <c r="D615" s="5" t="s">
        <v>18</v>
      </c>
      <c r="E615" s="5" t="s">
        <v>17</v>
      </c>
      <c r="F615" s="5">
        <v>2095</v>
      </c>
      <c r="G615" s="5" t="str">
        <f>VLOOKUP(C615,Sheet2!$C$3:$D$12,2,0)</f>
        <v>Variable</v>
      </c>
      <c r="H615" s="5" t="str">
        <f>IFERROR(VLOOKUP(E615,Sheet2!$G$3:$H$8,2,0),"unkwon")</f>
        <v>online</v>
      </c>
      <c r="I615" s="5">
        <f>VLOOKUP(B615,Sheet2!$J$4:$K$15,2,0)</f>
        <v>11</v>
      </c>
      <c r="J615" s="5">
        <f>IFERROR(VLOOKUP(C615,Sheet2!$M$4:$N$12,2,0),0)</f>
        <v>7000</v>
      </c>
      <c r="K615" s="5" t="str">
        <f t="shared" si="9"/>
        <v>within budget</v>
      </c>
    </row>
    <row r="616" spans="1:11" x14ac:dyDescent="0.3">
      <c r="A616" s="6">
        <v>45654</v>
      </c>
      <c r="B616" s="5" t="s">
        <v>16</v>
      </c>
      <c r="C616" s="5" t="s">
        <v>10</v>
      </c>
      <c r="D616" s="5" t="s">
        <v>34</v>
      </c>
      <c r="E616" s="5" t="s">
        <v>12</v>
      </c>
      <c r="F616" s="5">
        <v>735</v>
      </c>
      <c r="G616" s="5" t="str">
        <f>VLOOKUP(C616,Sheet2!$C$3:$D$12,2,0)</f>
        <v>Variable</v>
      </c>
      <c r="H616" s="5" t="str">
        <f>IFERROR(VLOOKUP(E616,Sheet2!$G$3:$H$8,2,0),"unkwon")</f>
        <v>online</v>
      </c>
      <c r="I616" s="5">
        <f>VLOOKUP(B616,Sheet2!$J$4:$K$15,2,0)</f>
        <v>12</v>
      </c>
      <c r="J616" s="5">
        <f>IFERROR(VLOOKUP(C616,Sheet2!$M$4:$N$12,2,0),0)</f>
        <v>5000</v>
      </c>
      <c r="K616" s="5" t="str">
        <f t="shared" si="9"/>
        <v>within budget</v>
      </c>
    </row>
    <row r="617" spans="1:11" x14ac:dyDescent="0.3">
      <c r="A617" s="6">
        <v>45110</v>
      </c>
      <c r="B617" s="5" t="s">
        <v>21</v>
      </c>
      <c r="C617" s="5" t="s">
        <v>13</v>
      </c>
      <c r="D617" s="5" t="s">
        <v>34</v>
      </c>
      <c r="E617" s="5" t="s">
        <v>12</v>
      </c>
      <c r="F617" s="5">
        <v>1842</v>
      </c>
      <c r="G617" s="5" t="str">
        <f>VLOOKUP(C617,Sheet2!$C$3:$D$12,2,0)</f>
        <v>Variable</v>
      </c>
      <c r="H617" s="5" t="str">
        <f>IFERROR(VLOOKUP(E617,Sheet2!$G$3:$H$8,2,0),"unkwon")</f>
        <v>online</v>
      </c>
      <c r="I617" s="5">
        <f>VLOOKUP(B617,Sheet2!$J$4:$K$15,2,0)</f>
        <v>7</v>
      </c>
      <c r="J617" s="5">
        <f>IFERROR(VLOOKUP(C617,Sheet2!$M$4:$N$12,2,0),0)</f>
        <v>5000</v>
      </c>
      <c r="K617" s="5" t="str">
        <f t="shared" si="9"/>
        <v>within budget</v>
      </c>
    </row>
    <row r="618" spans="1:11" x14ac:dyDescent="0.3">
      <c r="A618" s="6">
        <v>45388</v>
      </c>
      <c r="B618" s="5" t="s">
        <v>29</v>
      </c>
      <c r="C618" s="5" t="s">
        <v>41</v>
      </c>
      <c r="D618" s="5" t="s">
        <v>26</v>
      </c>
      <c r="E618" s="5" t="s">
        <v>9</v>
      </c>
      <c r="F618" s="5">
        <v>435</v>
      </c>
      <c r="G618" s="5" t="str">
        <f>VLOOKUP(C618,Sheet2!$C$3:$D$12,2,0)</f>
        <v>Variable</v>
      </c>
      <c r="H618" s="5" t="str">
        <f>IFERROR(VLOOKUP(E618,Sheet2!$G$3:$H$8,2,0),"unkwon")</f>
        <v>online</v>
      </c>
      <c r="I618" s="5">
        <f>VLOOKUP(B618,Sheet2!$J$4:$K$15,2,0)</f>
        <v>4</v>
      </c>
      <c r="J618" s="5">
        <f>IFERROR(VLOOKUP(C618,Sheet2!$M$4:$N$12,2,0),0)</f>
        <v>7000</v>
      </c>
      <c r="K618" s="5" t="str">
        <f t="shared" si="9"/>
        <v>within budget</v>
      </c>
    </row>
    <row r="619" spans="1:11" x14ac:dyDescent="0.3">
      <c r="A619" s="6">
        <v>45036</v>
      </c>
      <c r="B619" s="5" t="s">
        <v>29</v>
      </c>
      <c r="C619" s="5" t="s">
        <v>22</v>
      </c>
      <c r="D619" s="5" t="s">
        <v>8</v>
      </c>
      <c r="E619" s="5" t="s">
        <v>12</v>
      </c>
      <c r="F619" s="5">
        <v>4424</v>
      </c>
      <c r="G619" s="5" t="str">
        <f>VLOOKUP(C619,Sheet2!$C$3:$D$12,2,0)</f>
        <v>Variable</v>
      </c>
      <c r="H619" s="5" t="str">
        <f>IFERROR(VLOOKUP(E619,Sheet2!$G$3:$H$8,2,0),"unkwon")</f>
        <v>online</v>
      </c>
      <c r="I619" s="5">
        <f>VLOOKUP(B619,Sheet2!$J$4:$K$15,2,0)</f>
        <v>4</v>
      </c>
      <c r="J619" s="5">
        <f>IFERROR(VLOOKUP(C619,Sheet2!$M$4:$N$12,2,0),0)</f>
        <v>1000</v>
      </c>
      <c r="K619" s="5" t="str">
        <f t="shared" si="9"/>
        <v>over budget</v>
      </c>
    </row>
    <row r="620" spans="1:11" x14ac:dyDescent="0.3">
      <c r="A620" s="6">
        <v>44974</v>
      </c>
      <c r="B620" s="5" t="s">
        <v>33</v>
      </c>
      <c r="C620" s="5" t="s">
        <v>41</v>
      </c>
      <c r="D620" s="5" t="s">
        <v>20</v>
      </c>
      <c r="E620" s="5" t="s">
        <v>15</v>
      </c>
      <c r="F620" s="5">
        <v>1676</v>
      </c>
      <c r="G620" s="5" t="str">
        <f>VLOOKUP(C620,Sheet2!$C$3:$D$12,2,0)</f>
        <v>Variable</v>
      </c>
      <c r="H620" s="5" t="str">
        <f>IFERROR(VLOOKUP(E620,Sheet2!$G$3:$H$8,2,0),"unkwon")</f>
        <v>online</v>
      </c>
      <c r="I620" s="5">
        <f>VLOOKUP(B620,Sheet2!$J$4:$K$15,2,0)</f>
        <v>2</v>
      </c>
      <c r="J620" s="5">
        <f>IFERROR(VLOOKUP(C620,Sheet2!$M$4:$N$12,2,0),0)</f>
        <v>7000</v>
      </c>
      <c r="K620" s="5" t="str">
        <f t="shared" si="9"/>
        <v>within budget</v>
      </c>
    </row>
    <row r="621" spans="1:11" x14ac:dyDescent="0.3">
      <c r="A621" s="6">
        <v>45053</v>
      </c>
      <c r="B621" s="5" t="s">
        <v>28</v>
      </c>
      <c r="C621" s="5" t="s">
        <v>22</v>
      </c>
      <c r="D621" s="5" t="s">
        <v>14</v>
      </c>
      <c r="E621" s="5" t="s">
        <v>12</v>
      </c>
      <c r="F621" s="5">
        <v>4235</v>
      </c>
      <c r="G621" s="5" t="str">
        <f>VLOOKUP(C621,Sheet2!$C$3:$D$12,2,0)</f>
        <v>Variable</v>
      </c>
      <c r="H621" s="5" t="str">
        <f>IFERROR(VLOOKUP(E621,Sheet2!$G$3:$H$8,2,0),"unkwon")</f>
        <v>online</v>
      </c>
      <c r="I621" s="5">
        <f>VLOOKUP(B621,Sheet2!$J$4:$K$15,2,0)</f>
        <v>5</v>
      </c>
      <c r="J621" s="5">
        <f>IFERROR(VLOOKUP(C621,Sheet2!$M$4:$N$12,2,0),0)</f>
        <v>1000</v>
      </c>
      <c r="K621" s="5" t="str">
        <f t="shared" si="9"/>
        <v>over budget</v>
      </c>
    </row>
    <row r="622" spans="1:11" x14ac:dyDescent="0.3">
      <c r="A622" s="6">
        <v>45007</v>
      </c>
      <c r="B622" s="5" t="s">
        <v>19</v>
      </c>
      <c r="C622" s="5" t="s">
        <v>10</v>
      </c>
      <c r="D622" s="5" t="s">
        <v>14</v>
      </c>
      <c r="E622" s="5" t="s">
        <v>12</v>
      </c>
      <c r="F622" s="5">
        <v>4949</v>
      </c>
      <c r="G622" s="5" t="str">
        <f>VLOOKUP(C622,Sheet2!$C$3:$D$12,2,0)</f>
        <v>Variable</v>
      </c>
      <c r="H622" s="5" t="str">
        <f>IFERROR(VLOOKUP(E622,Sheet2!$G$3:$H$8,2,0),"unkwon")</f>
        <v>online</v>
      </c>
      <c r="I622" s="5">
        <f>VLOOKUP(B622,Sheet2!$J$4:$K$15,2,0)</f>
        <v>3</v>
      </c>
      <c r="J622" s="5">
        <f>IFERROR(VLOOKUP(C622,Sheet2!$M$4:$N$12,2,0),0)</f>
        <v>5000</v>
      </c>
      <c r="K622" s="5" t="str">
        <f t="shared" si="9"/>
        <v>within budget</v>
      </c>
    </row>
    <row r="623" spans="1:11" x14ac:dyDescent="0.3">
      <c r="A623" s="6">
        <v>45009</v>
      </c>
      <c r="B623" s="5" t="s">
        <v>19</v>
      </c>
      <c r="C623" s="5" t="s">
        <v>13</v>
      </c>
      <c r="D623" s="5" t="s">
        <v>31</v>
      </c>
      <c r="E623" s="5" t="s">
        <v>9</v>
      </c>
      <c r="F623" s="5">
        <v>3942</v>
      </c>
      <c r="G623" s="5" t="str">
        <f>VLOOKUP(C623,Sheet2!$C$3:$D$12,2,0)</f>
        <v>Variable</v>
      </c>
      <c r="H623" s="5" t="str">
        <f>IFERROR(VLOOKUP(E623,Sheet2!$G$3:$H$8,2,0),"unkwon")</f>
        <v>online</v>
      </c>
      <c r="I623" s="5">
        <f>VLOOKUP(B623,Sheet2!$J$4:$K$15,2,0)</f>
        <v>3</v>
      </c>
      <c r="J623" s="5">
        <f>IFERROR(VLOOKUP(C623,Sheet2!$M$4:$N$12,2,0),0)</f>
        <v>5000</v>
      </c>
      <c r="K623" s="5" t="str">
        <f t="shared" si="9"/>
        <v>within budget</v>
      </c>
    </row>
    <row r="624" spans="1:11" x14ac:dyDescent="0.3">
      <c r="A624" s="6">
        <v>45127</v>
      </c>
      <c r="B624" s="5" t="s">
        <v>21</v>
      </c>
      <c r="C624" s="5" t="s">
        <v>41</v>
      </c>
      <c r="D624" s="5" t="s">
        <v>34</v>
      </c>
      <c r="E624" s="5" t="s">
        <v>15</v>
      </c>
      <c r="F624" s="5">
        <v>2338</v>
      </c>
      <c r="G624" s="5" t="str">
        <f>VLOOKUP(C624,Sheet2!$C$3:$D$12,2,0)</f>
        <v>Variable</v>
      </c>
      <c r="H624" s="5" t="str">
        <f>IFERROR(VLOOKUP(E624,Sheet2!$G$3:$H$8,2,0),"unkwon")</f>
        <v>online</v>
      </c>
      <c r="I624" s="5">
        <f>VLOOKUP(B624,Sheet2!$J$4:$K$15,2,0)</f>
        <v>7</v>
      </c>
      <c r="J624" s="5">
        <f>IFERROR(VLOOKUP(C624,Sheet2!$M$4:$N$12,2,0),0)</f>
        <v>7000</v>
      </c>
      <c r="K624" s="5" t="str">
        <f t="shared" si="9"/>
        <v>within budget</v>
      </c>
    </row>
    <row r="625" spans="1:11" x14ac:dyDescent="0.3">
      <c r="A625" s="6">
        <v>45201</v>
      </c>
      <c r="B625" s="5" t="s">
        <v>6</v>
      </c>
      <c r="C625" s="5" t="s">
        <v>13</v>
      </c>
      <c r="D625" s="5" t="s">
        <v>34</v>
      </c>
      <c r="E625" s="5" t="s">
        <v>32</v>
      </c>
      <c r="F625" s="5">
        <v>1448</v>
      </c>
      <c r="G625" s="5" t="str">
        <f>VLOOKUP(C625,Sheet2!$C$3:$D$12,2,0)</f>
        <v>Variable</v>
      </c>
      <c r="H625" s="5" t="str">
        <f>IFERROR(VLOOKUP(E625,Sheet2!$G$3:$H$8,2,0),"unkwon")</f>
        <v>offline</v>
      </c>
      <c r="I625" s="5">
        <f>VLOOKUP(B625,Sheet2!$J$4:$K$15,2,0)</f>
        <v>10</v>
      </c>
      <c r="J625" s="5">
        <f>IFERROR(VLOOKUP(C625,Sheet2!$M$4:$N$12,2,0),0)</f>
        <v>5000</v>
      </c>
      <c r="K625" s="5" t="str">
        <f t="shared" si="9"/>
        <v>within budget</v>
      </c>
    </row>
    <row r="626" spans="1:11" x14ac:dyDescent="0.3">
      <c r="A626" s="6">
        <v>45155</v>
      </c>
      <c r="B626" s="5" t="s">
        <v>25</v>
      </c>
      <c r="C626" s="5" t="s">
        <v>22</v>
      </c>
      <c r="D626" s="5" t="s">
        <v>31</v>
      </c>
      <c r="E626" s="5" t="s">
        <v>17</v>
      </c>
      <c r="F626" s="5">
        <v>560</v>
      </c>
      <c r="G626" s="5" t="str">
        <f>VLOOKUP(C626,Sheet2!$C$3:$D$12,2,0)</f>
        <v>Variable</v>
      </c>
      <c r="H626" s="5" t="str">
        <f>IFERROR(VLOOKUP(E626,Sheet2!$G$3:$H$8,2,0),"unkwon")</f>
        <v>online</v>
      </c>
      <c r="I626" s="5">
        <f>VLOOKUP(B626,Sheet2!$J$4:$K$15,2,0)</f>
        <v>8</v>
      </c>
      <c r="J626" s="5">
        <f>IFERROR(VLOOKUP(C626,Sheet2!$M$4:$N$12,2,0),0)</f>
        <v>1000</v>
      </c>
      <c r="K626" s="5" t="str">
        <f t="shared" si="9"/>
        <v>within budget</v>
      </c>
    </row>
    <row r="627" spans="1:11" x14ac:dyDescent="0.3">
      <c r="A627" s="6">
        <v>45365</v>
      </c>
      <c r="B627" s="5" t="s">
        <v>19</v>
      </c>
      <c r="C627" s="5" t="s">
        <v>13</v>
      </c>
      <c r="D627" s="5" t="s">
        <v>18</v>
      </c>
      <c r="E627" s="5" t="s">
        <v>32</v>
      </c>
      <c r="F627" s="5">
        <v>1950</v>
      </c>
      <c r="G627" s="5" t="str">
        <f>VLOOKUP(C627,Sheet2!$C$3:$D$12,2,0)</f>
        <v>Variable</v>
      </c>
      <c r="H627" s="5" t="str">
        <f>IFERROR(VLOOKUP(E627,Sheet2!$G$3:$H$8,2,0),"unkwon")</f>
        <v>offline</v>
      </c>
      <c r="I627" s="5">
        <f>VLOOKUP(B627,Sheet2!$J$4:$K$15,2,0)</f>
        <v>3</v>
      </c>
      <c r="J627" s="5">
        <f>IFERROR(VLOOKUP(C627,Sheet2!$M$4:$N$12,2,0),0)</f>
        <v>5000</v>
      </c>
      <c r="K627" s="5" t="str">
        <f t="shared" si="9"/>
        <v>within budget</v>
      </c>
    </row>
    <row r="628" spans="1:11" x14ac:dyDescent="0.3">
      <c r="A628" s="6">
        <v>45489</v>
      </c>
      <c r="B628" s="5" t="s">
        <v>21</v>
      </c>
      <c r="C628" s="5" t="s">
        <v>41</v>
      </c>
      <c r="D628" s="5" t="s">
        <v>18</v>
      </c>
      <c r="E628" s="5" t="s">
        <v>9</v>
      </c>
      <c r="F628" s="5">
        <v>4899</v>
      </c>
      <c r="G628" s="5" t="str">
        <f>VLOOKUP(C628,Sheet2!$C$3:$D$12,2,0)</f>
        <v>Variable</v>
      </c>
      <c r="H628" s="5" t="str">
        <f>IFERROR(VLOOKUP(E628,Sheet2!$G$3:$H$8,2,0),"unkwon")</f>
        <v>online</v>
      </c>
      <c r="I628" s="5">
        <f>VLOOKUP(B628,Sheet2!$J$4:$K$15,2,0)</f>
        <v>7</v>
      </c>
      <c r="J628" s="5">
        <f>IFERROR(VLOOKUP(C628,Sheet2!$M$4:$N$12,2,0),0)</f>
        <v>7000</v>
      </c>
      <c r="K628" s="5" t="str">
        <f t="shared" si="9"/>
        <v>within budget</v>
      </c>
    </row>
    <row r="629" spans="1:11" x14ac:dyDescent="0.3">
      <c r="A629" s="6">
        <v>45274</v>
      </c>
      <c r="B629" s="5" t="s">
        <v>16</v>
      </c>
      <c r="C629" s="5" t="s">
        <v>30</v>
      </c>
      <c r="D629" s="5" t="s">
        <v>8</v>
      </c>
      <c r="E629" s="5" t="s">
        <v>32</v>
      </c>
      <c r="F629" s="5">
        <v>2877</v>
      </c>
      <c r="G629" s="5" t="str">
        <f>VLOOKUP(C629,Sheet2!$C$3:$D$12,2,0)</f>
        <v>Fixed</v>
      </c>
      <c r="H629" s="5" t="str">
        <f>IFERROR(VLOOKUP(E629,Sheet2!$G$3:$H$8,2,0),"unkwon")</f>
        <v>offline</v>
      </c>
      <c r="I629" s="5">
        <f>VLOOKUP(B629,Sheet2!$J$4:$K$15,2,0)</f>
        <v>12</v>
      </c>
      <c r="J629" s="5">
        <f>IFERROR(VLOOKUP(C629,Sheet2!$M$4:$N$12,2,0),0)</f>
        <v>3000</v>
      </c>
      <c r="K629" s="5" t="str">
        <f t="shared" si="9"/>
        <v>within budget</v>
      </c>
    </row>
    <row r="630" spans="1:11" x14ac:dyDescent="0.3">
      <c r="A630" s="6">
        <v>45139</v>
      </c>
      <c r="B630" s="5" t="s">
        <v>25</v>
      </c>
      <c r="C630" s="5" t="s">
        <v>41</v>
      </c>
      <c r="D630" s="5" t="s">
        <v>14</v>
      </c>
      <c r="E630" s="5" t="s">
        <v>9</v>
      </c>
      <c r="F630" s="5">
        <v>547</v>
      </c>
      <c r="G630" s="5" t="str">
        <f>VLOOKUP(C630,Sheet2!$C$3:$D$12,2,0)</f>
        <v>Variable</v>
      </c>
      <c r="H630" s="5" t="str">
        <f>IFERROR(VLOOKUP(E630,Sheet2!$G$3:$H$8,2,0),"unkwon")</f>
        <v>online</v>
      </c>
      <c r="I630" s="5">
        <f>VLOOKUP(B630,Sheet2!$J$4:$K$15,2,0)</f>
        <v>8</v>
      </c>
      <c r="J630" s="5">
        <f>IFERROR(VLOOKUP(C630,Sheet2!$M$4:$N$12,2,0),0)</f>
        <v>7000</v>
      </c>
      <c r="K630" s="5" t="str">
        <f t="shared" si="9"/>
        <v>within budget</v>
      </c>
    </row>
    <row r="631" spans="1:11" x14ac:dyDescent="0.3">
      <c r="A631" s="6">
        <v>45229</v>
      </c>
      <c r="B631" s="5" t="s">
        <v>6</v>
      </c>
      <c r="C631" s="5" t="s">
        <v>13</v>
      </c>
      <c r="D631" s="5" t="s">
        <v>31</v>
      </c>
      <c r="E631" s="5" t="s">
        <v>17</v>
      </c>
      <c r="F631" s="5">
        <v>2843</v>
      </c>
      <c r="G631" s="5" t="str">
        <f>VLOOKUP(C631,Sheet2!$C$3:$D$12,2,0)</f>
        <v>Variable</v>
      </c>
      <c r="H631" s="5" t="str">
        <f>IFERROR(VLOOKUP(E631,Sheet2!$G$3:$H$8,2,0),"unkwon")</f>
        <v>online</v>
      </c>
      <c r="I631" s="5">
        <f>VLOOKUP(B631,Sheet2!$J$4:$K$15,2,0)</f>
        <v>10</v>
      </c>
      <c r="J631" s="5">
        <f>IFERROR(VLOOKUP(C631,Sheet2!$M$4:$N$12,2,0),0)</f>
        <v>5000</v>
      </c>
      <c r="K631" s="5" t="str">
        <f t="shared" si="9"/>
        <v>within budget</v>
      </c>
    </row>
    <row r="632" spans="1:11" x14ac:dyDescent="0.3">
      <c r="A632" s="6">
        <v>45387</v>
      </c>
      <c r="B632" s="5" t="s">
        <v>29</v>
      </c>
      <c r="C632" s="5" t="s">
        <v>7</v>
      </c>
      <c r="D632" s="5" t="s">
        <v>31</v>
      </c>
      <c r="E632" s="5" t="s">
        <v>12</v>
      </c>
      <c r="F632" s="5">
        <v>2297</v>
      </c>
      <c r="G632" s="5" t="str">
        <f>VLOOKUP(C632,Sheet2!$C$3:$D$12,2,0)</f>
        <v>Fixed</v>
      </c>
      <c r="H632" s="5" t="str">
        <f>IFERROR(VLOOKUP(E632,Sheet2!$G$3:$H$8,2,0),"unkwon")</f>
        <v>online</v>
      </c>
      <c r="I632" s="5">
        <f>VLOOKUP(B632,Sheet2!$J$4:$K$15,2,0)</f>
        <v>4</v>
      </c>
      <c r="J632" s="5">
        <f>IFERROR(VLOOKUP(C632,Sheet2!$M$4:$N$12,2,0),0)</f>
        <v>2000</v>
      </c>
      <c r="K632" s="5" t="str">
        <f t="shared" si="9"/>
        <v>over budget</v>
      </c>
    </row>
    <row r="633" spans="1:11" x14ac:dyDescent="0.3">
      <c r="A633" s="6">
        <v>45059</v>
      </c>
      <c r="B633" s="5" t="s">
        <v>28</v>
      </c>
      <c r="C633" s="5" t="s">
        <v>27</v>
      </c>
      <c r="D633" s="5" t="s">
        <v>11</v>
      </c>
      <c r="E633" s="5" t="s">
        <v>32</v>
      </c>
      <c r="F633" s="5">
        <v>2138</v>
      </c>
      <c r="G633" s="5" t="str">
        <f>VLOOKUP(C633,Sheet2!$C$3:$D$12,2,0)</f>
        <v>Variable</v>
      </c>
      <c r="H633" s="5" t="str">
        <f>IFERROR(VLOOKUP(E633,Sheet2!$G$3:$H$8,2,0),"unkwon")</f>
        <v>offline</v>
      </c>
      <c r="I633" s="5">
        <f>VLOOKUP(B633,Sheet2!$J$4:$K$15,2,0)</f>
        <v>5</v>
      </c>
      <c r="J633" s="5">
        <f>IFERROR(VLOOKUP(C633,Sheet2!$M$4:$N$12,2,0),0)</f>
        <v>4000</v>
      </c>
      <c r="K633" s="5" t="str">
        <f t="shared" si="9"/>
        <v>within budget</v>
      </c>
    </row>
    <row r="634" spans="1:11" x14ac:dyDescent="0.3">
      <c r="A634" s="6">
        <v>45562</v>
      </c>
      <c r="B634" s="5" t="s">
        <v>38</v>
      </c>
      <c r="C634" s="5" t="s">
        <v>10</v>
      </c>
      <c r="D634" s="5" t="s">
        <v>20</v>
      </c>
      <c r="E634" s="5" t="s">
        <v>32</v>
      </c>
      <c r="F634" s="5">
        <v>2945</v>
      </c>
      <c r="G634" s="5" t="str">
        <f>VLOOKUP(C634,Sheet2!$C$3:$D$12,2,0)</f>
        <v>Variable</v>
      </c>
      <c r="H634" s="5" t="str">
        <f>IFERROR(VLOOKUP(E634,Sheet2!$G$3:$H$8,2,0),"unkwon")</f>
        <v>offline</v>
      </c>
      <c r="I634" s="5">
        <f>VLOOKUP(B634,Sheet2!$J$4:$K$15,2,0)</f>
        <v>9</v>
      </c>
      <c r="J634" s="5">
        <f>IFERROR(VLOOKUP(C634,Sheet2!$M$4:$N$12,2,0),0)</f>
        <v>5000</v>
      </c>
      <c r="K634" s="5" t="str">
        <f t="shared" si="9"/>
        <v>within budget</v>
      </c>
    </row>
    <row r="635" spans="1:11" x14ac:dyDescent="0.3">
      <c r="A635" s="6">
        <v>44960</v>
      </c>
      <c r="B635" s="5" t="s">
        <v>33</v>
      </c>
      <c r="C635" s="5" t="s">
        <v>22</v>
      </c>
      <c r="D635" s="5" t="s">
        <v>20</v>
      </c>
      <c r="E635" s="5" t="s">
        <v>12</v>
      </c>
      <c r="F635" s="5">
        <v>622</v>
      </c>
      <c r="G635" s="5" t="str">
        <f>VLOOKUP(C635,Sheet2!$C$3:$D$12,2,0)</f>
        <v>Variable</v>
      </c>
      <c r="H635" s="5" t="str">
        <f>IFERROR(VLOOKUP(E635,Sheet2!$G$3:$H$8,2,0),"unkwon")</f>
        <v>online</v>
      </c>
      <c r="I635" s="5">
        <f>VLOOKUP(B635,Sheet2!$J$4:$K$15,2,0)</f>
        <v>2</v>
      </c>
      <c r="J635" s="5">
        <f>IFERROR(VLOOKUP(C635,Sheet2!$M$4:$N$12,2,0),0)</f>
        <v>1000</v>
      </c>
      <c r="K635" s="5" t="str">
        <f t="shared" si="9"/>
        <v>within budget</v>
      </c>
    </row>
    <row r="636" spans="1:11" x14ac:dyDescent="0.3">
      <c r="A636" s="6">
        <v>45327</v>
      </c>
      <c r="B636" s="5" t="s">
        <v>33</v>
      </c>
      <c r="C636" s="5" t="s">
        <v>36</v>
      </c>
      <c r="D636" s="5" t="s">
        <v>34</v>
      </c>
      <c r="E636" s="5" t="s">
        <v>12</v>
      </c>
      <c r="F636" s="5">
        <v>4619</v>
      </c>
      <c r="G636" s="5" t="str">
        <f>VLOOKUP(C636,Sheet2!$C$3:$D$12,2,0)</f>
        <v>Variable</v>
      </c>
      <c r="H636" s="5" t="str">
        <f>IFERROR(VLOOKUP(E636,Sheet2!$G$3:$H$8,2,0),"unkwon")</f>
        <v>online</v>
      </c>
      <c r="I636" s="5">
        <f>VLOOKUP(B636,Sheet2!$J$4:$K$15,2,0)</f>
        <v>2</v>
      </c>
      <c r="J636" s="5">
        <f>IFERROR(VLOOKUP(C636,Sheet2!$M$4:$N$12,2,0),0)</f>
        <v>10000</v>
      </c>
      <c r="K636" s="5" t="str">
        <f t="shared" si="9"/>
        <v>within budget</v>
      </c>
    </row>
    <row r="637" spans="1:11" x14ac:dyDescent="0.3">
      <c r="A637" s="6">
        <v>45532</v>
      </c>
      <c r="B637" s="5" t="s">
        <v>25</v>
      </c>
      <c r="C637" s="5" t="s">
        <v>22</v>
      </c>
      <c r="D637" s="5" t="s">
        <v>31</v>
      </c>
      <c r="E637" s="5" t="s">
        <v>15</v>
      </c>
      <c r="F637" s="5">
        <v>2817</v>
      </c>
      <c r="G637" s="5" t="str">
        <f>VLOOKUP(C637,Sheet2!$C$3:$D$12,2,0)</f>
        <v>Variable</v>
      </c>
      <c r="H637" s="5" t="str">
        <f>IFERROR(VLOOKUP(E637,Sheet2!$G$3:$H$8,2,0),"unkwon")</f>
        <v>online</v>
      </c>
      <c r="I637" s="5">
        <f>VLOOKUP(B637,Sheet2!$J$4:$K$15,2,0)</f>
        <v>8</v>
      </c>
      <c r="J637" s="5">
        <f>IFERROR(VLOOKUP(C637,Sheet2!$M$4:$N$12,2,0),0)</f>
        <v>1000</v>
      </c>
      <c r="K637" s="5" t="str">
        <f t="shared" si="9"/>
        <v>over budget</v>
      </c>
    </row>
    <row r="638" spans="1:11" x14ac:dyDescent="0.3">
      <c r="A638" s="6">
        <v>45083</v>
      </c>
      <c r="B638" s="5" t="s">
        <v>39</v>
      </c>
      <c r="C638" s="5" t="s">
        <v>30</v>
      </c>
      <c r="D638" s="5" t="s">
        <v>24</v>
      </c>
      <c r="E638" s="5" t="s">
        <v>9</v>
      </c>
      <c r="F638" s="5">
        <v>4807</v>
      </c>
      <c r="G638" s="5" t="str">
        <f>VLOOKUP(C638,Sheet2!$C$3:$D$12,2,0)</f>
        <v>Fixed</v>
      </c>
      <c r="H638" s="5" t="str">
        <f>IFERROR(VLOOKUP(E638,Sheet2!$G$3:$H$8,2,0),"unkwon")</f>
        <v>online</v>
      </c>
      <c r="I638" s="5">
        <f>VLOOKUP(B638,Sheet2!$J$4:$K$15,2,0)</f>
        <v>6</v>
      </c>
      <c r="J638" s="5">
        <f>IFERROR(VLOOKUP(C638,Sheet2!$M$4:$N$12,2,0),0)</f>
        <v>3000</v>
      </c>
      <c r="K638" s="5" t="str">
        <f t="shared" si="9"/>
        <v>over budget</v>
      </c>
    </row>
    <row r="639" spans="1:11" x14ac:dyDescent="0.3">
      <c r="A639" s="6">
        <v>45040</v>
      </c>
      <c r="B639" s="5" t="s">
        <v>29</v>
      </c>
      <c r="C639" s="5" t="s">
        <v>10</v>
      </c>
      <c r="D639" s="5" t="s">
        <v>23</v>
      </c>
      <c r="E639" s="5" t="s">
        <v>32</v>
      </c>
      <c r="F639" s="5">
        <v>1395</v>
      </c>
      <c r="G639" s="5" t="str">
        <f>VLOOKUP(C639,Sheet2!$C$3:$D$12,2,0)</f>
        <v>Variable</v>
      </c>
      <c r="H639" s="5" t="str">
        <f>IFERROR(VLOOKUP(E639,Sheet2!$G$3:$H$8,2,0),"unkwon")</f>
        <v>offline</v>
      </c>
      <c r="I639" s="5">
        <f>VLOOKUP(B639,Sheet2!$J$4:$K$15,2,0)</f>
        <v>4</v>
      </c>
      <c r="J639" s="5">
        <f>IFERROR(VLOOKUP(C639,Sheet2!$M$4:$N$12,2,0),0)</f>
        <v>5000</v>
      </c>
      <c r="K639" s="5" t="str">
        <f t="shared" si="9"/>
        <v>within budget</v>
      </c>
    </row>
    <row r="640" spans="1:11" x14ac:dyDescent="0.3">
      <c r="A640" s="6">
        <v>45196</v>
      </c>
      <c r="B640" s="5" t="s">
        <v>38</v>
      </c>
      <c r="C640" s="5" t="s">
        <v>13</v>
      </c>
      <c r="D640" s="5" t="s">
        <v>26</v>
      </c>
      <c r="E640" s="5" t="s">
        <v>9</v>
      </c>
      <c r="F640" s="5">
        <v>1476</v>
      </c>
      <c r="G640" s="5" t="str">
        <f>VLOOKUP(C640,Sheet2!$C$3:$D$12,2,0)</f>
        <v>Variable</v>
      </c>
      <c r="H640" s="5" t="str">
        <f>IFERROR(VLOOKUP(E640,Sheet2!$G$3:$H$8,2,0),"unkwon")</f>
        <v>online</v>
      </c>
      <c r="I640" s="5">
        <f>VLOOKUP(B640,Sheet2!$J$4:$K$15,2,0)</f>
        <v>9</v>
      </c>
      <c r="J640" s="5">
        <f>IFERROR(VLOOKUP(C640,Sheet2!$M$4:$N$12,2,0),0)</f>
        <v>5000</v>
      </c>
      <c r="K640" s="5" t="str">
        <f t="shared" si="9"/>
        <v>within budget</v>
      </c>
    </row>
    <row r="641" spans="1:11" x14ac:dyDescent="0.3">
      <c r="A641" s="6">
        <v>44977</v>
      </c>
      <c r="B641" s="5" t="s">
        <v>33</v>
      </c>
      <c r="C641" s="5" t="s">
        <v>41</v>
      </c>
      <c r="D641" s="5" t="s">
        <v>31</v>
      </c>
      <c r="E641" s="5" t="s">
        <v>17</v>
      </c>
      <c r="F641" s="5">
        <v>3518</v>
      </c>
      <c r="G641" s="5" t="str">
        <f>VLOOKUP(C641,Sheet2!$C$3:$D$12,2,0)</f>
        <v>Variable</v>
      </c>
      <c r="H641" s="5" t="str">
        <f>IFERROR(VLOOKUP(E641,Sheet2!$G$3:$H$8,2,0),"unkwon")</f>
        <v>online</v>
      </c>
      <c r="I641" s="5">
        <f>VLOOKUP(B641,Sheet2!$J$4:$K$15,2,0)</f>
        <v>2</v>
      </c>
      <c r="J641" s="5">
        <f>IFERROR(VLOOKUP(C641,Sheet2!$M$4:$N$12,2,0),0)</f>
        <v>7000</v>
      </c>
      <c r="K641" s="5" t="str">
        <f t="shared" si="9"/>
        <v>within budget</v>
      </c>
    </row>
    <row r="642" spans="1:11" x14ac:dyDescent="0.3">
      <c r="A642" s="6">
        <v>44941</v>
      </c>
      <c r="B642" s="5" t="s">
        <v>37</v>
      </c>
      <c r="C642" s="5" t="s">
        <v>27</v>
      </c>
      <c r="D642" s="5" t="s">
        <v>18</v>
      </c>
      <c r="E642" s="5" t="s">
        <v>32</v>
      </c>
      <c r="F642" s="5">
        <v>3456</v>
      </c>
      <c r="G642" s="5" t="str">
        <f>VLOOKUP(C642,Sheet2!$C$3:$D$12,2,0)</f>
        <v>Variable</v>
      </c>
      <c r="H642" s="5" t="str">
        <f>IFERROR(VLOOKUP(E642,Sheet2!$G$3:$H$8,2,0),"unkwon")</f>
        <v>offline</v>
      </c>
      <c r="I642" s="5">
        <f>VLOOKUP(B642,Sheet2!$J$4:$K$15,2,0)</f>
        <v>1</v>
      </c>
      <c r="J642" s="5">
        <f>IFERROR(VLOOKUP(C642,Sheet2!$M$4:$N$12,2,0),0)</f>
        <v>4000</v>
      </c>
      <c r="K642" s="5" t="str">
        <f t="shared" si="9"/>
        <v>within budget</v>
      </c>
    </row>
    <row r="643" spans="1:11" x14ac:dyDescent="0.3">
      <c r="A643" s="6">
        <v>45371</v>
      </c>
      <c r="B643" s="5" t="s">
        <v>19</v>
      </c>
      <c r="C643" s="5" t="s">
        <v>13</v>
      </c>
      <c r="D643" s="5" t="s">
        <v>20</v>
      </c>
      <c r="E643" s="5" t="s">
        <v>17</v>
      </c>
      <c r="F643" s="5">
        <v>3699</v>
      </c>
      <c r="G643" s="5" t="str">
        <f>VLOOKUP(C643,Sheet2!$C$3:$D$12,2,0)</f>
        <v>Variable</v>
      </c>
      <c r="H643" s="5" t="str">
        <f>IFERROR(VLOOKUP(E643,Sheet2!$G$3:$H$8,2,0),"unkwon")</f>
        <v>online</v>
      </c>
      <c r="I643" s="5">
        <f>VLOOKUP(B643,Sheet2!$J$4:$K$15,2,0)</f>
        <v>3</v>
      </c>
      <c r="J643" s="5">
        <f>IFERROR(VLOOKUP(C643,Sheet2!$M$4:$N$12,2,0),0)</f>
        <v>5000</v>
      </c>
      <c r="K643" s="5" t="str">
        <f t="shared" ref="K643:K706" si="10">IF(F643&gt;J643,"over budget","within budget")</f>
        <v>within budget</v>
      </c>
    </row>
    <row r="644" spans="1:11" x14ac:dyDescent="0.3">
      <c r="A644" s="6">
        <v>45453</v>
      </c>
      <c r="B644" s="5" t="s">
        <v>39</v>
      </c>
      <c r="C644" s="5" t="s">
        <v>27</v>
      </c>
      <c r="D644" s="5" t="s">
        <v>31</v>
      </c>
      <c r="E644" s="5" t="s">
        <v>12</v>
      </c>
      <c r="F644" s="5">
        <v>2182</v>
      </c>
      <c r="G644" s="5" t="str">
        <f>VLOOKUP(C644,Sheet2!$C$3:$D$12,2,0)</f>
        <v>Variable</v>
      </c>
      <c r="H644" s="5" t="str">
        <f>IFERROR(VLOOKUP(E644,Sheet2!$G$3:$H$8,2,0),"unkwon")</f>
        <v>online</v>
      </c>
      <c r="I644" s="5">
        <f>VLOOKUP(B644,Sheet2!$J$4:$K$15,2,0)</f>
        <v>6</v>
      </c>
      <c r="J644" s="5">
        <f>IFERROR(VLOOKUP(C644,Sheet2!$M$4:$N$12,2,0),0)</f>
        <v>4000</v>
      </c>
      <c r="K644" s="5" t="str">
        <f t="shared" si="10"/>
        <v>within budget</v>
      </c>
    </row>
    <row r="645" spans="1:11" x14ac:dyDescent="0.3">
      <c r="A645" s="6">
        <v>45040</v>
      </c>
      <c r="B645" s="5" t="s">
        <v>29</v>
      </c>
      <c r="C645" s="5" t="s">
        <v>27</v>
      </c>
      <c r="D645" s="5" t="s">
        <v>8</v>
      </c>
      <c r="E645" s="5" t="s">
        <v>15</v>
      </c>
      <c r="F645" s="5">
        <v>4680</v>
      </c>
      <c r="G645" s="5" t="str">
        <f>VLOOKUP(C645,Sheet2!$C$3:$D$12,2,0)</f>
        <v>Variable</v>
      </c>
      <c r="H645" s="5" t="str">
        <f>IFERROR(VLOOKUP(E645,Sheet2!$G$3:$H$8,2,0),"unkwon")</f>
        <v>online</v>
      </c>
      <c r="I645" s="5">
        <f>VLOOKUP(B645,Sheet2!$J$4:$K$15,2,0)</f>
        <v>4</v>
      </c>
      <c r="J645" s="5">
        <f>IFERROR(VLOOKUP(C645,Sheet2!$M$4:$N$12,2,0),0)</f>
        <v>4000</v>
      </c>
      <c r="K645" s="5" t="str">
        <f t="shared" si="10"/>
        <v>over budget</v>
      </c>
    </row>
    <row r="646" spans="1:11" x14ac:dyDescent="0.3">
      <c r="A646" s="6">
        <v>45567</v>
      </c>
      <c r="B646" s="5" t="s">
        <v>6</v>
      </c>
      <c r="C646" s="5" t="s">
        <v>27</v>
      </c>
      <c r="D646" s="5" t="s">
        <v>34</v>
      </c>
      <c r="E646" s="5" t="s">
        <v>9</v>
      </c>
      <c r="F646" s="5">
        <v>4089</v>
      </c>
      <c r="G646" s="5" t="str">
        <f>VLOOKUP(C646,Sheet2!$C$3:$D$12,2,0)</f>
        <v>Variable</v>
      </c>
      <c r="H646" s="5" t="str">
        <f>IFERROR(VLOOKUP(E646,Sheet2!$G$3:$H$8,2,0),"unkwon")</f>
        <v>online</v>
      </c>
      <c r="I646" s="5">
        <f>VLOOKUP(B646,Sheet2!$J$4:$K$15,2,0)</f>
        <v>10</v>
      </c>
      <c r="J646" s="5">
        <f>IFERROR(VLOOKUP(C646,Sheet2!$M$4:$N$12,2,0),0)</f>
        <v>4000</v>
      </c>
      <c r="K646" s="5" t="str">
        <f t="shared" si="10"/>
        <v>over budget</v>
      </c>
    </row>
    <row r="647" spans="1:11" x14ac:dyDescent="0.3">
      <c r="A647" s="6">
        <v>45289</v>
      </c>
      <c r="B647" s="5" t="s">
        <v>16</v>
      </c>
      <c r="C647" s="5" t="s">
        <v>41</v>
      </c>
      <c r="D647" s="5" t="s">
        <v>31</v>
      </c>
      <c r="E647" s="5" t="s">
        <v>17</v>
      </c>
      <c r="F647" s="5">
        <v>3254</v>
      </c>
      <c r="G647" s="5" t="str">
        <f>VLOOKUP(C647,Sheet2!$C$3:$D$12,2,0)</f>
        <v>Variable</v>
      </c>
      <c r="H647" s="5" t="str">
        <f>IFERROR(VLOOKUP(E647,Sheet2!$G$3:$H$8,2,0),"unkwon")</f>
        <v>online</v>
      </c>
      <c r="I647" s="5">
        <f>VLOOKUP(B647,Sheet2!$J$4:$K$15,2,0)</f>
        <v>12</v>
      </c>
      <c r="J647" s="5">
        <f>IFERROR(VLOOKUP(C647,Sheet2!$M$4:$N$12,2,0),0)</f>
        <v>7000</v>
      </c>
      <c r="K647" s="5" t="str">
        <f t="shared" si="10"/>
        <v>within budget</v>
      </c>
    </row>
    <row r="648" spans="1:11" x14ac:dyDescent="0.3">
      <c r="A648" s="6">
        <v>45315</v>
      </c>
      <c r="B648" s="5" t="s">
        <v>37</v>
      </c>
      <c r="C648" s="5" t="s">
        <v>30</v>
      </c>
      <c r="D648" s="5" t="s">
        <v>18</v>
      </c>
      <c r="E648" s="5" t="s">
        <v>32</v>
      </c>
      <c r="F648" s="5">
        <v>1580</v>
      </c>
      <c r="G648" s="5" t="str">
        <f>VLOOKUP(C648,Sheet2!$C$3:$D$12,2,0)</f>
        <v>Fixed</v>
      </c>
      <c r="H648" s="5" t="str">
        <f>IFERROR(VLOOKUP(E648,Sheet2!$G$3:$H$8,2,0),"unkwon")</f>
        <v>offline</v>
      </c>
      <c r="I648" s="5">
        <f>VLOOKUP(B648,Sheet2!$J$4:$K$15,2,0)</f>
        <v>1</v>
      </c>
      <c r="J648" s="5">
        <f>IFERROR(VLOOKUP(C648,Sheet2!$M$4:$N$12,2,0),0)</f>
        <v>3000</v>
      </c>
      <c r="K648" s="5" t="str">
        <f t="shared" si="10"/>
        <v>within budget</v>
      </c>
    </row>
    <row r="649" spans="1:11" x14ac:dyDescent="0.3">
      <c r="A649" s="6">
        <v>45040</v>
      </c>
      <c r="B649" s="5" t="s">
        <v>29</v>
      </c>
      <c r="C649" s="5" t="s">
        <v>10</v>
      </c>
      <c r="D649" s="5" t="s">
        <v>18</v>
      </c>
      <c r="E649" s="5" t="s">
        <v>15</v>
      </c>
      <c r="F649" s="5">
        <v>2242</v>
      </c>
      <c r="G649" s="5" t="str">
        <f>VLOOKUP(C649,Sheet2!$C$3:$D$12,2,0)</f>
        <v>Variable</v>
      </c>
      <c r="H649" s="5" t="str">
        <f>IFERROR(VLOOKUP(E649,Sheet2!$G$3:$H$8,2,0),"unkwon")</f>
        <v>online</v>
      </c>
      <c r="I649" s="5">
        <f>VLOOKUP(B649,Sheet2!$J$4:$K$15,2,0)</f>
        <v>4</v>
      </c>
      <c r="J649" s="5">
        <f>IFERROR(VLOOKUP(C649,Sheet2!$M$4:$N$12,2,0),0)</f>
        <v>5000</v>
      </c>
      <c r="K649" s="5" t="str">
        <f t="shared" si="10"/>
        <v>within budget</v>
      </c>
    </row>
    <row r="650" spans="1:11" x14ac:dyDescent="0.3">
      <c r="A650" s="6">
        <v>45161</v>
      </c>
      <c r="B650" s="5" t="s">
        <v>25</v>
      </c>
      <c r="C650" s="5" t="s">
        <v>13</v>
      </c>
      <c r="D650" s="5" t="s">
        <v>23</v>
      </c>
      <c r="E650" s="5" t="s">
        <v>9</v>
      </c>
      <c r="F650" s="5">
        <v>3973</v>
      </c>
      <c r="G650" s="5" t="str">
        <f>VLOOKUP(C650,Sheet2!$C$3:$D$12,2,0)</f>
        <v>Variable</v>
      </c>
      <c r="H650" s="5" t="str">
        <f>IFERROR(VLOOKUP(E650,Sheet2!$G$3:$H$8,2,0),"unkwon")</f>
        <v>online</v>
      </c>
      <c r="I650" s="5">
        <f>VLOOKUP(B650,Sheet2!$J$4:$K$15,2,0)</f>
        <v>8</v>
      </c>
      <c r="J650" s="5">
        <f>IFERROR(VLOOKUP(C650,Sheet2!$M$4:$N$12,2,0),0)</f>
        <v>5000</v>
      </c>
      <c r="K650" s="5" t="str">
        <f t="shared" si="10"/>
        <v>within budget</v>
      </c>
    </row>
    <row r="651" spans="1:11" x14ac:dyDescent="0.3">
      <c r="A651" s="6">
        <v>45050</v>
      </c>
      <c r="B651" s="5" t="s">
        <v>28</v>
      </c>
      <c r="C651" s="5" t="s">
        <v>35</v>
      </c>
      <c r="D651" s="5" t="s">
        <v>24</v>
      </c>
      <c r="E651" s="5" t="s">
        <v>12</v>
      </c>
      <c r="F651" s="5">
        <v>2545</v>
      </c>
      <c r="G651" s="5" t="str">
        <f>VLOOKUP(C651,Sheet2!$C$3:$D$12,2,0)</f>
        <v>Fixed</v>
      </c>
      <c r="H651" s="5" t="str">
        <f>IFERROR(VLOOKUP(E651,Sheet2!$G$3:$H$8,2,0),"unkwon")</f>
        <v>online</v>
      </c>
      <c r="I651" s="5">
        <f>VLOOKUP(B651,Sheet2!$J$4:$K$15,2,0)</f>
        <v>5</v>
      </c>
      <c r="J651" s="5">
        <f>IFERROR(VLOOKUP(C651,Sheet2!$M$4:$N$12,2,0),0)</f>
        <v>5500</v>
      </c>
      <c r="K651" s="5" t="str">
        <f t="shared" si="10"/>
        <v>within budget</v>
      </c>
    </row>
    <row r="652" spans="1:11" x14ac:dyDescent="0.3">
      <c r="A652" s="6">
        <v>45257</v>
      </c>
      <c r="B652" s="5" t="s">
        <v>40</v>
      </c>
      <c r="C652" s="5" t="s">
        <v>10</v>
      </c>
      <c r="D652" s="5" t="s">
        <v>34</v>
      </c>
      <c r="E652" s="5" t="s">
        <v>9</v>
      </c>
      <c r="F652" s="5">
        <v>3021</v>
      </c>
      <c r="G652" s="5" t="str">
        <f>VLOOKUP(C652,Sheet2!$C$3:$D$12,2,0)</f>
        <v>Variable</v>
      </c>
      <c r="H652" s="5" t="str">
        <f>IFERROR(VLOOKUP(E652,Sheet2!$G$3:$H$8,2,0),"unkwon")</f>
        <v>online</v>
      </c>
      <c r="I652" s="5">
        <f>VLOOKUP(B652,Sheet2!$J$4:$K$15,2,0)</f>
        <v>11</v>
      </c>
      <c r="J652" s="5">
        <f>IFERROR(VLOOKUP(C652,Sheet2!$M$4:$N$12,2,0),0)</f>
        <v>5000</v>
      </c>
      <c r="K652" s="5" t="str">
        <f t="shared" si="10"/>
        <v>within budget</v>
      </c>
    </row>
    <row r="653" spans="1:11" x14ac:dyDescent="0.3">
      <c r="A653" s="6">
        <v>45452</v>
      </c>
      <c r="B653" s="5" t="s">
        <v>39</v>
      </c>
      <c r="C653" s="5" t="s">
        <v>27</v>
      </c>
      <c r="D653" s="5" t="s">
        <v>14</v>
      </c>
      <c r="E653" s="5" t="s">
        <v>17</v>
      </c>
      <c r="F653" s="5">
        <v>3487</v>
      </c>
      <c r="G653" s="5" t="str">
        <f>VLOOKUP(C653,Sheet2!$C$3:$D$12,2,0)</f>
        <v>Variable</v>
      </c>
      <c r="H653" s="5" t="str">
        <f>IFERROR(VLOOKUP(E653,Sheet2!$G$3:$H$8,2,0),"unkwon")</f>
        <v>online</v>
      </c>
      <c r="I653" s="5">
        <f>VLOOKUP(B653,Sheet2!$J$4:$K$15,2,0)</f>
        <v>6</v>
      </c>
      <c r="J653" s="5">
        <f>IFERROR(VLOOKUP(C653,Sheet2!$M$4:$N$12,2,0),0)</f>
        <v>4000</v>
      </c>
      <c r="K653" s="5" t="str">
        <f t="shared" si="10"/>
        <v>within budget</v>
      </c>
    </row>
    <row r="654" spans="1:11" x14ac:dyDescent="0.3">
      <c r="A654" s="6">
        <v>45448</v>
      </c>
      <c r="B654" s="5" t="s">
        <v>39</v>
      </c>
      <c r="C654" s="5" t="s">
        <v>22</v>
      </c>
      <c r="D654" s="5" t="s">
        <v>11</v>
      </c>
      <c r="E654" s="5" t="s">
        <v>12</v>
      </c>
      <c r="F654" s="5">
        <v>2015</v>
      </c>
      <c r="G654" s="5" t="str">
        <f>VLOOKUP(C654,Sheet2!$C$3:$D$12,2,0)</f>
        <v>Variable</v>
      </c>
      <c r="H654" s="5" t="str">
        <f>IFERROR(VLOOKUP(E654,Sheet2!$G$3:$H$8,2,0),"unkwon")</f>
        <v>online</v>
      </c>
      <c r="I654" s="5">
        <f>VLOOKUP(B654,Sheet2!$J$4:$K$15,2,0)</f>
        <v>6</v>
      </c>
      <c r="J654" s="5">
        <f>IFERROR(VLOOKUP(C654,Sheet2!$M$4:$N$12,2,0),0)</f>
        <v>1000</v>
      </c>
      <c r="K654" s="5" t="str">
        <f t="shared" si="10"/>
        <v>over budget</v>
      </c>
    </row>
    <row r="655" spans="1:11" x14ac:dyDescent="0.3">
      <c r="A655" s="6">
        <v>45634</v>
      </c>
      <c r="B655" s="5" t="s">
        <v>16</v>
      </c>
      <c r="C655" s="5" t="s">
        <v>10</v>
      </c>
      <c r="D655" s="5" t="s">
        <v>14</v>
      </c>
      <c r="E655" s="5" t="s">
        <v>12</v>
      </c>
      <c r="F655" s="5">
        <v>3299</v>
      </c>
      <c r="G655" s="5" t="str">
        <f>VLOOKUP(C655,Sheet2!$C$3:$D$12,2,0)</f>
        <v>Variable</v>
      </c>
      <c r="H655" s="5" t="str">
        <f>IFERROR(VLOOKUP(E655,Sheet2!$G$3:$H$8,2,0),"unkwon")</f>
        <v>online</v>
      </c>
      <c r="I655" s="5">
        <f>VLOOKUP(B655,Sheet2!$J$4:$K$15,2,0)</f>
        <v>12</v>
      </c>
      <c r="J655" s="5">
        <f>IFERROR(VLOOKUP(C655,Sheet2!$M$4:$N$12,2,0),0)</f>
        <v>5000</v>
      </c>
      <c r="K655" s="5" t="str">
        <f t="shared" si="10"/>
        <v>within budget</v>
      </c>
    </row>
    <row r="656" spans="1:11" x14ac:dyDescent="0.3">
      <c r="A656" s="6">
        <v>44938</v>
      </c>
      <c r="B656" s="5" t="s">
        <v>37</v>
      </c>
      <c r="C656" s="5" t="s">
        <v>36</v>
      </c>
      <c r="D656" s="5" t="s">
        <v>14</v>
      </c>
      <c r="E656" s="5" t="s">
        <v>17</v>
      </c>
      <c r="F656" s="5">
        <v>4969</v>
      </c>
      <c r="G656" s="5" t="str">
        <f>VLOOKUP(C656,Sheet2!$C$3:$D$12,2,0)</f>
        <v>Variable</v>
      </c>
      <c r="H656" s="5" t="str">
        <f>IFERROR(VLOOKUP(E656,Sheet2!$G$3:$H$8,2,0),"unkwon")</f>
        <v>online</v>
      </c>
      <c r="I656" s="5">
        <f>VLOOKUP(B656,Sheet2!$J$4:$K$15,2,0)</f>
        <v>1</v>
      </c>
      <c r="J656" s="5">
        <f>IFERROR(VLOOKUP(C656,Sheet2!$M$4:$N$12,2,0),0)</f>
        <v>10000</v>
      </c>
      <c r="K656" s="5" t="str">
        <f t="shared" si="10"/>
        <v>within budget</v>
      </c>
    </row>
    <row r="657" spans="1:11" x14ac:dyDescent="0.3">
      <c r="A657" s="6">
        <v>45632</v>
      </c>
      <c r="B657" s="5" t="s">
        <v>16</v>
      </c>
      <c r="C657" s="5" t="s">
        <v>7</v>
      </c>
      <c r="D657" s="5" t="s">
        <v>34</v>
      </c>
      <c r="E657" s="5" t="s">
        <v>32</v>
      </c>
      <c r="F657" s="5">
        <v>443</v>
      </c>
      <c r="G657" s="5" t="str">
        <f>VLOOKUP(C657,Sheet2!$C$3:$D$12,2,0)</f>
        <v>Fixed</v>
      </c>
      <c r="H657" s="5" t="str">
        <f>IFERROR(VLOOKUP(E657,Sheet2!$G$3:$H$8,2,0),"unkwon")</f>
        <v>offline</v>
      </c>
      <c r="I657" s="5">
        <f>VLOOKUP(B657,Sheet2!$J$4:$K$15,2,0)</f>
        <v>12</v>
      </c>
      <c r="J657" s="5">
        <f>IFERROR(VLOOKUP(C657,Sheet2!$M$4:$N$12,2,0),0)</f>
        <v>2000</v>
      </c>
      <c r="K657" s="5" t="str">
        <f t="shared" si="10"/>
        <v>within budget</v>
      </c>
    </row>
    <row r="658" spans="1:11" x14ac:dyDescent="0.3">
      <c r="A658" s="6">
        <v>45033</v>
      </c>
      <c r="B658" s="5" t="s">
        <v>29</v>
      </c>
      <c r="C658" s="5" t="s">
        <v>27</v>
      </c>
      <c r="D658" s="5" t="s">
        <v>14</v>
      </c>
      <c r="E658" s="5" t="s">
        <v>9</v>
      </c>
      <c r="F658" s="5">
        <v>4245</v>
      </c>
      <c r="G658" s="5" t="str">
        <f>VLOOKUP(C658,Sheet2!$C$3:$D$12,2,0)</f>
        <v>Variable</v>
      </c>
      <c r="H658" s="5" t="str">
        <f>IFERROR(VLOOKUP(E658,Sheet2!$G$3:$H$8,2,0),"unkwon")</f>
        <v>online</v>
      </c>
      <c r="I658" s="5">
        <f>VLOOKUP(B658,Sheet2!$J$4:$K$15,2,0)</f>
        <v>4</v>
      </c>
      <c r="J658" s="5">
        <f>IFERROR(VLOOKUP(C658,Sheet2!$M$4:$N$12,2,0),0)</f>
        <v>4000</v>
      </c>
      <c r="K658" s="5" t="str">
        <f t="shared" si="10"/>
        <v>over budget</v>
      </c>
    </row>
    <row r="659" spans="1:11" x14ac:dyDescent="0.3">
      <c r="A659" s="6">
        <v>44941</v>
      </c>
      <c r="B659" s="5" t="s">
        <v>37</v>
      </c>
      <c r="C659" s="5" t="s">
        <v>10</v>
      </c>
      <c r="D659" s="5" t="s">
        <v>11</v>
      </c>
      <c r="E659" s="5" t="s">
        <v>32</v>
      </c>
      <c r="F659" s="5">
        <v>4634</v>
      </c>
      <c r="G659" s="5" t="str">
        <f>VLOOKUP(C659,Sheet2!$C$3:$D$12,2,0)</f>
        <v>Variable</v>
      </c>
      <c r="H659" s="5" t="str">
        <f>IFERROR(VLOOKUP(E659,Sheet2!$G$3:$H$8,2,0),"unkwon")</f>
        <v>offline</v>
      </c>
      <c r="I659" s="5">
        <f>VLOOKUP(B659,Sheet2!$J$4:$K$15,2,0)</f>
        <v>1</v>
      </c>
      <c r="J659" s="5">
        <f>IFERROR(VLOOKUP(C659,Sheet2!$M$4:$N$12,2,0),0)</f>
        <v>5000</v>
      </c>
      <c r="K659" s="5" t="str">
        <f t="shared" si="10"/>
        <v>within budget</v>
      </c>
    </row>
    <row r="660" spans="1:11" x14ac:dyDescent="0.3">
      <c r="A660" s="6">
        <v>45067</v>
      </c>
      <c r="B660" s="5" t="s">
        <v>28</v>
      </c>
      <c r="C660" s="5" t="s">
        <v>22</v>
      </c>
      <c r="D660" s="5" t="s">
        <v>20</v>
      </c>
      <c r="E660" s="5" t="s">
        <v>15</v>
      </c>
      <c r="F660" s="5">
        <v>1015</v>
      </c>
      <c r="G660" s="5" t="str">
        <f>VLOOKUP(C660,Sheet2!$C$3:$D$12,2,0)</f>
        <v>Variable</v>
      </c>
      <c r="H660" s="5" t="str">
        <f>IFERROR(VLOOKUP(E660,Sheet2!$G$3:$H$8,2,0),"unkwon")</f>
        <v>online</v>
      </c>
      <c r="I660" s="5">
        <f>VLOOKUP(B660,Sheet2!$J$4:$K$15,2,0)</f>
        <v>5</v>
      </c>
      <c r="J660" s="5">
        <f>IFERROR(VLOOKUP(C660,Sheet2!$M$4:$N$12,2,0),0)</f>
        <v>1000</v>
      </c>
      <c r="K660" s="5" t="str">
        <f t="shared" si="10"/>
        <v>over budget</v>
      </c>
    </row>
    <row r="661" spans="1:11" x14ac:dyDescent="0.3">
      <c r="A661" s="6">
        <v>45595</v>
      </c>
      <c r="B661" s="5" t="s">
        <v>6</v>
      </c>
      <c r="C661" s="5" t="s">
        <v>13</v>
      </c>
      <c r="D661" s="5" t="s">
        <v>18</v>
      </c>
      <c r="E661" s="5" t="s">
        <v>17</v>
      </c>
      <c r="F661" s="5">
        <v>4550</v>
      </c>
      <c r="G661" s="5" t="str">
        <f>VLOOKUP(C661,Sheet2!$C$3:$D$12,2,0)</f>
        <v>Variable</v>
      </c>
      <c r="H661" s="5" t="str">
        <f>IFERROR(VLOOKUP(E661,Sheet2!$G$3:$H$8,2,0),"unkwon")</f>
        <v>online</v>
      </c>
      <c r="I661" s="5">
        <f>VLOOKUP(B661,Sheet2!$J$4:$K$15,2,0)</f>
        <v>10</v>
      </c>
      <c r="J661" s="5">
        <f>IFERROR(VLOOKUP(C661,Sheet2!$M$4:$N$12,2,0),0)</f>
        <v>5000</v>
      </c>
      <c r="K661" s="5" t="str">
        <f t="shared" si="10"/>
        <v>within budget</v>
      </c>
    </row>
    <row r="662" spans="1:11" x14ac:dyDescent="0.3">
      <c r="A662" s="6">
        <v>45360</v>
      </c>
      <c r="B662" s="5" t="s">
        <v>19</v>
      </c>
      <c r="C662" s="5" t="s">
        <v>10</v>
      </c>
      <c r="D662" s="5" t="s">
        <v>14</v>
      </c>
      <c r="E662" s="5" t="s">
        <v>15</v>
      </c>
      <c r="F662" s="5">
        <v>833</v>
      </c>
      <c r="G662" s="5" t="str">
        <f>VLOOKUP(C662,Sheet2!$C$3:$D$12,2,0)</f>
        <v>Variable</v>
      </c>
      <c r="H662" s="5" t="str">
        <f>IFERROR(VLOOKUP(E662,Sheet2!$G$3:$H$8,2,0),"unkwon")</f>
        <v>online</v>
      </c>
      <c r="I662" s="5">
        <f>VLOOKUP(B662,Sheet2!$J$4:$K$15,2,0)</f>
        <v>3</v>
      </c>
      <c r="J662" s="5">
        <f>IFERROR(VLOOKUP(C662,Sheet2!$M$4:$N$12,2,0),0)</f>
        <v>5000</v>
      </c>
      <c r="K662" s="5" t="str">
        <f t="shared" si="10"/>
        <v>within budget</v>
      </c>
    </row>
    <row r="663" spans="1:11" x14ac:dyDescent="0.3">
      <c r="A663" s="6">
        <v>45472</v>
      </c>
      <c r="B663" s="5" t="s">
        <v>39</v>
      </c>
      <c r="C663" s="5" t="s">
        <v>30</v>
      </c>
      <c r="D663" s="5" t="s">
        <v>11</v>
      </c>
      <c r="E663" s="5" t="s">
        <v>9</v>
      </c>
      <c r="F663" s="5">
        <v>1278</v>
      </c>
      <c r="G663" s="5" t="str">
        <f>VLOOKUP(C663,Sheet2!$C$3:$D$12,2,0)</f>
        <v>Fixed</v>
      </c>
      <c r="H663" s="5" t="str">
        <f>IFERROR(VLOOKUP(E663,Sheet2!$G$3:$H$8,2,0),"unkwon")</f>
        <v>online</v>
      </c>
      <c r="I663" s="5">
        <f>VLOOKUP(B663,Sheet2!$J$4:$K$15,2,0)</f>
        <v>6</v>
      </c>
      <c r="J663" s="5">
        <f>IFERROR(VLOOKUP(C663,Sheet2!$M$4:$N$12,2,0),0)</f>
        <v>3000</v>
      </c>
      <c r="K663" s="5" t="str">
        <f t="shared" si="10"/>
        <v>within budget</v>
      </c>
    </row>
    <row r="664" spans="1:11" x14ac:dyDescent="0.3">
      <c r="A664" s="6">
        <v>45477</v>
      </c>
      <c r="B664" s="5" t="s">
        <v>21</v>
      </c>
      <c r="C664" s="5" t="s">
        <v>35</v>
      </c>
      <c r="D664" s="5" t="s">
        <v>11</v>
      </c>
      <c r="E664" s="5" t="s">
        <v>9</v>
      </c>
      <c r="F664" s="5">
        <v>3931</v>
      </c>
      <c r="G664" s="5" t="str">
        <f>VLOOKUP(C664,Sheet2!$C$3:$D$12,2,0)</f>
        <v>Fixed</v>
      </c>
      <c r="H664" s="5" t="str">
        <f>IFERROR(VLOOKUP(E664,Sheet2!$G$3:$H$8,2,0),"unkwon")</f>
        <v>online</v>
      </c>
      <c r="I664" s="5">
        <f>VLOOKUP(B664,Sheet2!$J$4:$K$15,2,0)</f>
        <v>7</v>
      </c>
      <c r="J664" s="5">
        <f>IFERROR(VLOOKUP(C664,Sheet2!$M$4:$N$12,2,0),0)</f>
        <v>5500</v>
      </c>
      <c r="K664" s="5" t="str">
        <f t="shared" si="10"/>
        <v>within budget</v>
      </c>
    </row>
    <row r="665" spans="1:11" x14ac:dyDescent="0.3">
      <c r="A665" s="6">
        <v>45610</v>
      </c>
      <c r="B665" s="5" t="s">
        <v>40</v>
      </c>
      <c r="C665" s="5" t="s">
        <v>22</v>
      </c>
      <c r="D665" s="5" t="s">
        <v>34</v>
      </c>
      <c r="E665" s="5" t="s">
        <v>32</v>
      </c>
      <c r="F665" s="5">
        <v>3084</v>
      </c>
      <c r="G665" s="5" t="str">
        <f>VLOOKUP(C665,Sheet2!$C$3:$D$12,2,0)</f>
        <v>Variable</v>
      </c>
      <c r="H665" s="5" t="str">
        <f>IFERROR(VLOOKUP(E665,Sheet2!$G$3:$H$8,2,0),"unkwon")</f>
        <v>offline</v>
      </c>
      <c r="I665" s="5">
        <f>VLOOKUP(B665,Sheet2!$J$4:$K$15,2,0)</f>
        <v>11</v>
      </c>
      <c r="J665" s="5">
        <f>IFERROR(VLOOKUP(C665,Sheet2!$M$4:$N$12,2,0),0)</f>
        <v>1000</v>
      </c>
      <c r="K665" s="5" t="str">
        <f t="shared" si="10"/>
        <v>over budget</v>
      </c>
    </row>
    <row r="666" spans="1:11" x14ac:dyDescent="0.3">
      <c r="A666" s="6">
        <v>45136</v>
      </c>
      <c r="B666" s="5" t="s">
        <v>21</v>
      </c>
      <c r="C666" s="5" t="s">
        <v>10</v>
      </c>
      <c r="D666" s="5" t="s">
        <v>23</v>
      </c>
      <c r="E666" s="5" t="s">
        <v>17</v>
      </c>
      <c r="F666" s="5">
        <v>1935</v>
      </c>
      <c r="G666" s="5" t="str">
        <f>VLOOKUP(C666,Sheet2!$C$3:$D$12,2,0)</f>
        <v>Variable</v>
      </c>
      <c r="H666" s="5" t="str">
        <f>IFERROR(VLOOKUP(E666,Sheet2!$G$3:$H$8,2,0),"unkwon")</f>
        <v>online</v>
      </c>
      <c r="I666" s="5">
        <f>VLOOKUP(B666,Sheet2!$J$4:$K$15,2,0)</f>
        <v>7</v>
      </c>
      <c r="J666" s="5">
        <f>IFERROR(VLOOKUP(C666,Sheet2!$M$4:$N$12,2,0),0)</f>
        <v>5000</v>
      </c>
      <c r="K666" s="5" t="str">
        <f t="shared" si="10"/>
        <v>within budget</v>
      </c>
    </row>
    <row r="667" spans="1:11" x14ac:dyDescent="0.3">
      <c r="A667" s="6">
        <v>45044</v>
      </c>
      <c r="B667" s="5" t="s">
        <v>29</v>
      </c>
      <c r="C667" s="5" t="s">
        <v>36</v>
      </c>
      <c r="D667" s="5" t="s">
        <v>23</v>
      </c>
      <c r="E667" s="5" t="s">
        <v>17</v>
      </c>
      <c r="F667" s="5">
        <v>2294</v>
      </c>
      <c r="G667" s="5" t="str">
        <f>VLOOKUP(C667,Sheet2!$C$3:$D$12,2,0)</f>
        <v>Variable</v>
      </c>
      <c r="H667" s="5" t="str">
        <f>IFERROR(VLOOKUP(E667,Sheet2!$G$3:$H$8,2,0),"unkwon")</f>
        <v>online</v>
      </c>
      <c r="I667" s="5">
        <f>VLOOKUP(B667,Sheet2!$J$4:$K$15,2,0)</f>
        <v>4</v>
      </c>
      <c r="J667" s="5">
        <f>IFERROR(VLOOKUP(C667,Sheet2!$M$4:$N$12,2,0),0)</f>
        <v>10000</v>
      </c>
      <c r="K667" s="5" t="str">
        <f t="shared" si="10"/>
        <v>within budget</v>
      </c>
    </row>
    <row r="668" spans="1:11" x14ac:dyDescent="0.3">
      <c r="A668" s="6">
        <v>45625</v>
      </c>
      <c r="B668" s="5" t="s">
        <v>40</v>
      </c>
      <c r="C668" s="5" t="s">
        <v>41</v>
      </c>
      <c r="D668" s="5" t="s">
        <v>26</v>
      </c>
      <c r="E668" s="5" t="s">
        <v>17</v>
      </c>
      <c r="F668" s="5">
        <v>645</v>
      </c>
      <c r="G668" s="5" t="str">
        <f>VLOOKUP(C668,Sheet2!$C$3:$D$12,2,0)</f>
        <v>Variable</v>
      </c>
      <c r="H668" s="5" t="str">
        <f>IFERROR(VLOOKUP(E668,Sheet2!$G$3:$H$8,2,0),"unkwon")</f>
        <v>online</v>
      </c>
      <c r="I668" s="5">
        <f>VLOOKUP(B668,Sheet2!$J$4:$K$15,2,0)</f>
        <v>11</v>
      </c>
      <c r="J668" s="5">
        <f>IFERROR(VLOOKUP(C668,Sheet2!$M$4:$N$12,2,0),0)</f>
        <v>7000</v>
      </c>
      <c r="K668" s="5" t="str">
        <f t="shared" si="10"/>
        <v>within budget</v>
      </c>
    </row>
    <row r="669" spans="1:11" x14ac:dyDescent="0.3">
      <c r="A669" s="6">
        <v>45542</v>
      </c>
      <c r="B669" s="5" t="s">
        <v>38</v>
      </c>
      <c r="C669" s="5" t="s">
        <v>35</v>
      </c>
      <c r="D669" s="5" t="s">
        <v>11</v>
      </c>
      <c r="E669" s="5" t="s">
        <v>12</v>
      </c>
      <c r="F669" s="5">
        <v>2575</v>
      </c>
      <c r="G669" s="5" t="str">
        <f>VLOOKUP(C669,Sheet2!$C$3:$D$12,2,0)</f>
        <v>Fixed</v>
      </c>
      <c r="H669" s="5" t="str">
        <f>IFERROR(VLOOKUP(E669,Sheet2!$G$3:$H$8,2,0),"unkwon")</f>
        <v>online</v>
      </c>
      <c r="I669" s="5">
        <f>VLOOKUP(B669,Sheet2!$J$4:$K$15,2,0)</f>
        <v>9</v>
      </c>
      <c r="J669" s="5">
        <f>IFERROR(VLOOKUP(C669,Sheet2!$M$4:$N$12,2,0),0)</f>
        <v>5500</v>
      </c>
      <c r="K669" s="5" t="str">
        <f t="shared" si="10"/>
        <v>within budget</v>
      </c>
    </row>
    <row r="670" spans="1:11" x14ac:dyDescent="0.3">
      <c r="A670" s="6">
        <v>45444</v>
      </c>
      <c r="B670" s="5" t="s">
        <v>39</v>
      </c>
      <c r="C670" s="5" t="s">
        <v>27</v>
      </c>
      <c r="D670" s="5" t="s">
        <v>20</v>
      </c>
      <c r="E670" s="5" t="s">
        <v>15</v>
      </c>
      <c r="F670" s="5">
        <v>2646</v>
      </c>
      <c r="G670" s="5" t="str">
        <f>VLOOKUP(C670,Sheet2!$C$3:$D$12,2,0)</f>
        <v>Variable</v>
      </c>
      <c r="H670" s="5" t="str">
        <f>IFERROR(VLOOKUP(E670,Sheet2!$G$3:$H$8,2,0),"unkwon")</f>
        <v>online</v>
      </c>
      <c r="I670" s="5">
        <f>VLOOKUP(B670,Sheet2!$J$4:$K$15,2,0)</f>
        <v>6</v>
      </c>
      <c r="J670" s="5">
        <f>IFERROR(VLOOKUP(C670,Sheet2!$M$4:$N$12,2,0),0)</f>
        <v>4000</v>
      </c>
      <c r="K670" s="5" t="str">
        <f t="shared" si="10"/>
        <v>within budget</v>
      </c>
    </row>
    <row r="671" spans="1:11" x14ac:dyDescent="0.3">
      <c r="A671" s="6">
        <v>45049</v>
      </c>
      <c r="B671" s="5" t="s">
        <v>28</v>
      </c>
      <c r="C671" s="5" t="s">
        <v>10</v>
      </c>
      <c r="D671" s="5" t="s">
        <v>24</v>
      </c>
      <c r="E671" s="5" t="s">
        <v>17</v>
      </c>
      <c r="F671" s="5">
        <v>2061</v>
      </c>
      <c r="G671" s="5" t="str">
        <f>VLOOKUP(C671,Sheet2!$C$3:$D$12,2,0)</f>
        <v>Variable</v>
      </c>
      <c r="H671" s="5" t="str">
        <f>IFERROR(VLOOKUP(E671,Sheet2!$G$3:$H$8,2,0),"unkwon")</f>
        <v>online</v>
      </c>
      <c r="I671" s="5">
        <f>VLOOKUP(B671,Sheet2!$J$4:$K$15,2,0)</f>
        <v>5</v>
      </c>
      <c r="J671" s="5">
        <f>IFERROR(VLOOKUP(C671,Sheet2!$M$4:$N$12,2,0),0)</f>
        <v>5000</v>
      </c>
      <c r="K671" s="5" t="str">
        <f t="shared" si="10"/>
        <v>within budget</v>
      </c>
    </row>
    <row r="672" spans="1:11" x14ac:dyDescent="0.3">
      <c r="A672" s="6">
        <v>45296</v>
      </c>
      <c r="B672" s="5" t="s">
        <v>37</v>
      </c>
      <c r="C672" s="5" t="s">
        <v>41</v>
      </c>
      <c r="D672" s="5" t="s">
        <v>18</v>
      </c>
      <c r="E672" s="5" t="s">
        <v>15</v>
      </c>
      <c r="F672" s="5">
        <v>227</v>
      </c>
      <c r="G672" s="5" t="str">
        <f>VLOOKUP(C672,Sheet2!$C$3:$D$12,2,0)</f>
        <v>Variable</v>
      </c>
      <c r="H672" s="5" t="str">
        <f>IFERROR(VLOOKUP(E672,Sheet2!$G$3:$H$8,2,0),"unkwon")</f>
        <v>online</v>
      </c>
      <c r="I672" s="5">
        <f>VLOOKUP(B672,Sheet2!$J$4:$K$15,2,0)</f>
        <v>1</v>
      </c>
      <c r="J672" s="5">
        <f>IFERROR(VLOOKUP(C672,Sheet2!$M$4:$N$12,2,0),0)</f>
        <v>7000</v>
      </c>
      <c r="K672" s="5" t="str">
        <f t="shared" si="10"/>
        <v>within budget</v>
      </c>
    </row>
    <row r="673" spans="1:11" x14ac:dyDescent="0.3">
      <c r="A673" s="6">
        <v>45121</v>
      </c>
      <c r="B673" s="5" t="s">
        <v>21</v>
      </c>
      <c r="C673" s="5" t="s">
        <v>30</v>
      </c>
      <c r="D673" s="5" t="s">
        <v>31</v>
      </c>
      <c r="E673" s="5" t="s">
        <v>15</v>
      </c>
      <c r="F673" s="5">
        <v>1231</v>
      </c>
      <c r="G673" s="5" t="str">
        <f>VLOOKUP(C673,Sheet2!$C$3:$D$12,2,0)</f>
        <v>Fixed</v>
      </c>
      <c r="H673" s="5" t="str">
        <f>IFERROR(VLOOKUP(E673,Sheet2!$G$3:$H$8,2,0),"unkwon")</f>
        <v>online</v>
      </c>
      <c r="I673" s="5">
        <f>VLOOKUP(B673,Sheet2!$J$4:$K$15,2,0)</f>
        <v>7</v>
      </c>
      <c r="J673" s="5">
        <f>IFERROR(VLOOKUP(C673,Sheet2!$M$4:$N$12,2,0),0)</f>
        <v>3000</v>
      </c>
      <c r="K673" s="5" t="str">
        <f t="shared" si="10"/>
        <v>within budget</v>
      </c>
    </row>
    <row r="674" spans="1:11" x14ac:dyDescent="0.3">
      <c r="A674" s="6">
        <v>45208</v>
      </c>
      <c r="B674" s="5" t="s">
        <v>6</v>
      </c>
      <c r="C674" s="5" t="s">
        <v>22</v>
      </c>
      <c r="D674" s="5" t="s">
        <v>11</v>
      </c>
      <c r="E674" s="5" t="s">
        <v>12</v>
      </c>
      <c r="F674" s="5">
        <v>269</v>
      </c>
      <c r="G674" s="5" t="str">
        <f>VLOOKUP(C674,Sheet2!$C$3:$D$12,2,0)</f>
        <v>Variable</v>
      </c>
      <c r="H674" s="5" t="str">
        <f>IFERROR(VLOOKUP(E674,Sheet2!$G$3:$H$8,2,0),"unkwon")</f>
        <v>online</v>
      </c>
      <c r="I674" s="5">
        <f>VLOOKUP(B674,Sheet2!$J$4:$K$15,2,0)</f>
        <v>10</v>
      </c>
      <c r="J674" s="5">
        <f>IFERROR(VLOOKUP(C674,Sheet2!$M$4:$N$12,2,0),0)</f>
        <v>1000</v>
      </c>
      <c r="K674" s="5" t="str">
        <f t="shared" si="10"/>
        <v>within budget</v>
      </c>
    </row>
    <row r="675" spans="1:11" x14ac:dyDescent="0.3">
      <c r="A675" s="6">
        <v>45192</v>
      </c>
      <c r="B675" s="5" t="s">
        <v>38</v>
      </c>
      <c r="C675" s="5" t="s">
        <v>36</v>
      </c>
      <c r="D675" s="5" t="s">
        <v>20</v>
      </c>
      <c r="E675" s="5" t="s">
        <v>12</v>
      </c>
      <c r="F675" s="5">
        <v>4572</v>
      </c>
      <c r="G675" s="5" t="str">
        <f>VLOOKUP(C675,Sheet2!$C$3:$D$12,2,0)</f>
        <v>Variable</v>
      </c>
      <c r="H675" s="5" t="str">
        <f>IFERROR(VLOOKUP(E675,Sheet2!$G$3:$H$8,2,0),"unkwon")</f>
        <v>online</v>
      </c>
      <c r="I675" s="5">
        <f>VLOOKUP(B675,Sheet2!$J$4:$K$15,2,0)</f>
        <v>9</v>
      </c>
      <c r="J675" s="5">
        <f>IFERROR(VLOOKUP(C675,Sheet2!$M$4:$N$12,2,0),0)</f>
        <v>10000</v>
      </c>
      <c r="K675" s="5" t="str">
        <f t="shared" si="10"/>
        <v>within budget</v>
      </c>
    </row>
    <row r="676" spans="1:11" x14ac:dyDescent="0.3">
      <c r="A676" s="6">
        <v>45459</v>
      </c>
      <c r="B676" s="5" t="s">
        <v>39</v>
      </c>
      <c r="C676" s="5" t="s">
        <v>36</v>
      </c>
      <c r="D676" s="5" t="s">
        <v>24</v>
      </c>
      <c r="E676" s="5" t="s">
        <v>12</v>
      </c>
      <c r="F676" s="5">
        <v>2818</v>
      </c>
      <c r="G676" s="5" t="str">
        <f>VLOOKUP(C676,Sheet2!$C$3:$D$12,2,0)</f>
        <v>Variable</v>
      </c>
      <c r="H676" s="5" t="str">
        <f>IFERROR(VLOOKUP(E676,Sheet2!$G$3:$H$8,2,0),"unkwon")</f>
        <v>online</v>
      </c>
      <c r="I676" s="5">
        <f>VLOOKUP(B676,Sheet2!$J$4:$K$15,2,0)</f>
        <v>6</v>
      </c>
      <c r="J676" s="5">
        <f>IFERROR(VLOOKUP(C676,Sheet2!$M$4:$N$12,2,0),0)</f>
        <v>10000</v>
      </c>
      <c r="K676" s="5" t="str">
        <f t="shared" si="10"/>
        <v>within budget</v>
      </c>
    </row>
    <row r="677" spans="1:11" x14ac:dyDescent="0.3">
      <c r="A677" s="6">
        <v>45186</v>
      </c>
      <c r="B677" s="5" t="s">
        <v>38</v>
      </c>
      <c r="C677" s="5" t="s">
        <v>30</v>
      </c>
      <c r="D677" s="5" t="s">
        <v>34</v>
      </c>
      <c r="E677" s="5" t="s">
        <v>17</v>
      </c>
      <c r="F677" s="5">
        <v>3436</v>
      </c>
      <c r="G677" s="5" t="str">
        <f>VLOOKUP(C677,Sheet2!$C$3:$D$12,2,0)</f>
        <v>Fixed</v>
      </c>
      <c r="H677" s="5" t="str">
        <f>IFERROR(VLOOKUP(E677,Sheet2!$G$3:$H$8,2,0),"unkwon")</f>
        <v>online</v>
      </c>
      <c r="I677" s="5">
        <f>VLOOKUP(B677,Sheet2!$J$4:$K$15,2,0)</f>
        <v>9</v>
      </c>
      <c r="J677" s="5">
        <f>IFERROR(VLOOKUP(C677,Sheet2!$M$4:$N$12,2,0),0)</f>
        <v>3000</v>
      </c>
      <c r="K677" s="5" t="str">
        <f t="shared" si="10"/>
        <v>over budget</v>
      </c>
    </row>
    <row r="678" spans="1:11" x14ac:dyDescent="0.3">
      <c r="A678" s="6">
        <v>45141</v>
      </c>
      <c r="B678" s="5" t="s">
        <v>25</v>
      </c>
      <c r="C678" s="5" t="s">
        <v>13</v>
      </c>
      <c r="D678" s="5" t="s">
        <v>34</v>
      </c>
      <c r="E678" s="5" t="s">
        <v>12</v>
      </c>
      <c r="F678" s="5">
        <v>4150</v>
      </c>
      <c r="G678" s="5" t="str">
        <f>VLOOKUP(C678,Sheet2!$C$3:$D$12,2,0)</f>
        <v>Variable</v>
      </c>
      <c r="H678" s="5" t="str">
        <f>IFERROR(VLOOKUP(E678,Sheet2!$G$3:$H$8,2,0),"unkwon")</f>
        <v>online</v>
      </c>
      <c r="I678" s="5">
        <f>VLOOKUP(B678,Sheet2!$J$4:$K$15,2,0)</f>
        <v>8</v>
      </c>
      <c r="J678" s="5">
        <f>IFERROR(VLOOKUP(C678,Sheet2!$M$4:$N$12,2,0),0)</f>
        <v>5000</v>
      </c>
      <c r="K678" s="5" t="str">
        <f t="shared" si="10"/>
        <v>within budget</v>
      </c>
    </row>
    <row r="679" spans="1:11" x14ac:dyDescent="0.3">
      <c r="A679" s="6">
        <v>45214</v>
      </c>
      <c r="B679" s="5" t="s">
        <v>6</v>
      </c>
      <c r="C679" s="5" t="s">
        <v>13</v>
      </c>
      <c r="D679" s="5" t="s">
        <v>8</v>
      </c>
      <c r="E679" s="5" t="s">
        <v>17</v>
      </c>
      <c r="F679" s="5">
        <v>2698</v>
      </c>
      <c r="G679" s="5" t="str">
        <f>VLOOKUP(C679,Sheet2!$C$3:$D$12,2,0)</f>
        <v>Variable</v>
      </c>
      <c r="H679" s="5" t="str">
        <f>IFERROR(VLOOKUP(E679,Sheet2!$G$3:$H$8,2,0),"unkwon")</f>
        <v>online</v>
      </c>
      <c r="I679" s="5">
        <f>VLOOKUP(B679,Sheet2!$J$4:$K$15,2,0)</f>
        <v>10</v>
      </c>
      <c r="J679" s="5">
        <f>IFERROR(VLOOKUP(C679,Sheet2!$M$4:$N$12,2,0),0)</f>
        <v>5000</v>
      </c>
      <c r="K679" s="5" t="str">
        <f t="shared" si="10"/>
        <v>within budget</v>
      </c>
    </row>
    <row r="680" spans="1:11" x14ac:dyDescent="0.3">
      <c r="A680" s="6">
        <v>45362</v>
      </c>
      <c r="B680" s="5" t="s">
        <v>19</v>
      </c>
      <c r="C680" s="5" t="s">
        <v>41</v>
      </c>
      <c r="D680" s="5" t="s">
        <v>18</v>
      </c>
      <c r="E680" s="5" t="s">
        <v>17</v>
      </c>
      <c r="F680" s="5">
        <v>4045</v>
      </c>
      <c r="G680" s="5" t="str">
        <f>VLOOKUP(C680,Sheet2!$C$3:$D$12,2,0)</f>
        <v>Variable</v>
      </c>
      <c r="H680" s="5" t="str">
        <f>IFERROR(VLOOKUP(E680,Sheet2!$G$3:$H$8,2,0),"unkwon")</f>
        <v>online</v>
      </c>
      <c r="I680" s="5">
        <f>VLOOKUP(B680,Sheet2!$J$4:$K$15,2,0)</f>
        <v>3</v>
      </c>
      <c r="J680" s="5">
        <f>IFERROR(VLOOKUP(C680,Sheet2!$M$4:$N$12,2,0),0)</f>
        <v>7000</v>
      </c>
      <c r="K680" s="5" t="str">
        <f t="shared" si="10"/>
        <v>within budget</v>
      </c>
    </row>
    <row r="681" spans="1:11" x14ac:dyDescent="0.3">
      <c r="A681" s="6">
        <v>45174</v>
      </c>
      <c r="B681" s="5" t="s">
        <v>38</v>
      </c>
      <c r="C681" s="5" t="s">
        <v>30</v>
      </c>
      <c r="D681" s="5" t="s">
        <v>18</v>
      </c>
      <c r="E681" s="5" t="s">
        <v>17</v>
      </c>
      <c r="F681" s="5">
        <v>1788</v>
      </c>
      <c r="G681" s="5" t="str">
        <f>VLOOKUP(C681,Sheet2!$C$3:$D$12,2,0)</f>
        <v>Fixed</v>
      </c>
      <c r="H681" s="5" t="str">
        <f>IFERROR(VLOOKUP(E681,Sheet2!$G$3:$H$8,2,0),"unkwon")</f>
        <v>online</v>
      </c>
      <c r="I681" s="5">
        <f>VLOOKUP(B681,Sheet2!$J$4:$K$15,2,0)</f>
        <v>9</v>
      </c>
      <c r="J681" s="5">
        <f>IFERROR(VLOOKUP(C681,Sheet2!$M$4:$N$12,2,0),0)</f>
        <v>3000</v>
      </c>
      <c r="K681" s="5" t="str">
        <f t="shared" si="10"/>
        <v>within budget</v>
      </c>
    </row>
    <row r="682" spans="1:11" x14ac:dyDescent="0.3">
      <c r="A682" s="6">
        <v>45304</v>
      </c>
      <c r="B682" s="5" t="s">
        <v>37</v>
      </c>
      <c r="C682" s="5" t="s">
        <v>10</v>
      </c>
      <c r="D682" s="5" t="s">
        <v>23</v>
      </c>
      <c r="E682" s="5" t="s">
        <v>12</v>
      </c>
      <c r="F682" s="5">
        <v>748</v>
      </c>
      <c r="G682" s="5" t="str">
        <f>VLOOKUP(C682,Sheet2!$C$3:$D$12,2,0)</f>
        <v>Variable</v>
      </c>
      <c r="H682" s="5" t="str">
        <f>IFERROR(VLOOKUP(E682,Sheet2!$G$3:$H$8,2,0),"unkwon")</f>
        <v>online</v>
      </c>
      <c r="I682" s="5">
        <f>VLOOKUP(B682,Sheet2!$J$4:$K$15,2,0)</f>
        <v>1</v>
      </c>
      <c r="J682" s="5">
        <f>IFERROR(VLOOKUP(C682,Sheet2!$M$4:$N$12,2,0),0)</f>
        <v>5000</v>
      </c>
      <c r="K682" s="5" t="str">
        <f t="shared" si="10"/>
        <v>within budget</v>
      </c>
    </row>
    <row r="683" spans="1:11" x14ac:dyDescent="0.3">
      <c r="A683" s="6">
        <v>45641</v>
      </c>
      <c r="B683" s="5" t="s">
        <v>16</v>
      </c>
      <c r="C683" s="5" t="s">
        <v>35</v>
      </c>
      <c r="D683" s="5" t="s">
        <v>31</v>
      </c>
      <c r="E683" s="5" t="s">
        <v>12</v>
      </c>
      <c r="F683" s="5">
        <v>3859</v>
      </c>
      <c r="G683" s="5" t="str">
        <f>VLOOKUP(C683,Sheet2!$C$3:$D$12,2,0)</f>
        <v>Fixed</v>
      </c>
      <c r="H683" s="5" t="str">
        <f>IFERROR(VLOOKUP(E683,Sheet2!$G$3:$H$8,2,0),"unkwon")</f>
        <v>online</v>
      </c>
      <c r="I683" s="5">
        <f>VLOOKUP(B683,Sheet2!$J$4:$K$15,2,0)</f>
        <v>12</v>
      </c>
      <c r="J683" s="5">
        <f>IFERROR(VLOOKUP(C683,Sheet2!$M$4:$N$12,2,0),0)</f>
        <v>5500</v>
      </c>
      <c r="K683" s="5" t="str">
        <f t="shared" si="10"/>
        <v>within budget</v>
      </c>
    </row>
    <row r="684" spans="1:11" x14ac:dyDescent="0.3">
      <c r="A684" s="6">
        <v>45218</v>
      </c>
      <c r="B684" s="5" t="s">
        <v>6</v>
      </c>
      <c r="C684" s="5" t="s">
        <v>22</v>
      </c>
      <c r="D684" s="5" t="s">
        <v>20</v>
      </c>
      <c r="E684" s="5" t="s">
        <v>12</v>
      </c>
      <c r="F684" s="5">
        <v>4598</v>
      </c>
      <c r="G684" s="5" t="str">
        <f>VLOOKUP(C684,Sheet2!$C$3:$D$12,2,0)</f>
        <v>Variable</v>
      </c>
      <c r="H684" s="5" t="str">
        <f>IFERROR(VLOOKUP(E684,Sheet2!$G$3:$H$8,2,0),"unkwon")</f>
        <v>online</v>
      </c>
      <c r="I684" s="5">
        <f>VLOOKUP(B684,Sheet2!$J$4:$K$15,2,0)</f>
        <v>10</v>
      </c>
      <c r="J684" s="5">
        <f>IFERROR(VLOOKUP(C684,Sheet2!$M$4:$N$12,2,0),0)</f>
        <v>1000</v>
      </c>
      <c r="K684" s="5" t="str">
        <f t="shared" si="10"/>
        <v>over budget</v>
      </c>
    </row>
    <row r="685" spans="1:11" x14ac:dyDescent="0.3">
      <c r="A685" s="6">
        <v>45066</v>
      </c>
      <c r="B685" s="5" t="s">
        <v>28</v>
      </c>
      <c r="C685" s="5" t="s">
        <v>41</v>
      </c>
      <c r="D685" s="5" t="s">
        <v>31</v>
      </c>
      <c r="E685" s="5" t="s">
        <v>12</v>
      </c>
      <c r="F685" s="5">
        <v>742</v>
      </c>
      <c r="G685" s="5" t="str">
        <f>VLOOKUP(C685,Sheet2!$C$3:$D$12,2,0)</f>
        <v>Variable</v>
      </c>
      <c r="H685" s="5" t="str">
        <f>IFERROR(VLOOKUP(E685,Sheet2!$G$3:$H$8,2,0),"unkwon")</f>
        <v>online</v>
      </c>
      <c r="I685" s="5">
        <f>VLOOKUP(B685,Sheet2!$J$4:$K$15,2,0)</f>
        <v>5</v>
      </c>
      <c r="J685" s="5">
        <f>IFERROR(VLOOKUP(C685,Sheet2!$M$4:$N$12,2,0),0)</f>
        <v>7000</v>
      </c>
      <c r="K685" s="5" t="str">
        <f t="shared" si="10"/>
        <v>within budget</v>
      </c>
    </row>
    <row r="686" spans="1:11" x14ac:dyDescent="0.3">
      <c r="A686" s="6">
        <v>45555</v>
      </c>
      <c r="B686" s="5" t="s">
        <v>38</v>
      </c>
      <c r="C686" s="5" t="s">
        <v>41</v>
      </c>
      <c r="D686" s="5" t="s">
        <v>14</v>
      </c>
      <c r="E686" s="5" t="s">
        <v>17</v>
      </c>
      <c r="F686" s="5">
        <v>677</v>
      </c>
      <c r="G686" s="5" t="str">
        <f>VLOOKUP(C686,Sheet2!$C$3:$D$12,2,0)</f>
        <v>Variable</v>
      </c>
      <c r="H686" s="5" t="str">
        <f>IFERROR(VLOOKUP(E686,Sheet2!$G$3:$H$8,2,0),"unkwon")</f>
        <v>online</v>
      </c>
      <c r="I686" s="5">
        <f>VLOOKUP(B686,Sheet2!$J$4:$K$15,2,0)</f>
        <v>9</v>
      </c>
      <c r="J686" s="5">
        <f>IFERROR(VLOOKUP(C686,Sheet2!$M$4:$N$12,2,0),0)</f>
        <v>7000</v>
      </c>
      <c r="K686" s="5" t="str">
        <f t="shared" si="10"/>
        <v>within budget</v>
      </c>
    </row>
    <row r="687" spans="1:11" x14ac:dyDescent="0.3">
      <c r="A687" s="6">
        <v>45012</v>
      </c>
      <c r="B687" s="5" t="s">
        <v>19</v>
      </c>
      <c r="C687" s="5" t="s">
        <v>41</v>
      </c>
      <c r="D687" s="5" t="s">
        <v>11</v>
      </c>
      <c r="E687" s="5" t="s">
        <v>15</v>
      </c>
      <c r="F687" s="5">
        <v>4793</v>
      </c>
      <c r="G687" s="5" t="str">
        <f>VLOOKUP(C687,Sheet2!$C$3:$D$12,2,0)</f>
        <v>Variable</v>
      </c>
      <c r="H687" s="5" t="str">
        <f>IFERROR(VLOOKUP(E687,Sheet2!$G$3:$H$8,2,0),"unkwon")</f>
        <v>online</v>
      </c>
      <c r="I687" s="5">
        <f>VLOOKUP(B687,Sheet2!$J$4:$K$15,2,0)</f>
        <v>3</v>
      </c>
      <c r="J687" s="5">
        <f>IFERROR(VLOOKUP(C687,Sheet2!$M$4:$N$12,2,0),0)</f>
        <v>7000</v>
      </c>
      <c r="K687" s="5" t="str">
        <f t="shared" si="10"/>
        <v>within budget</v>
      </c>
    </row>
    <row r="688" spans="1:11" x14ac:dyDescent="0.3">
      <c r="A688" s="6">
        <v>45142</v>
      </c>
      <c r="B688" s="5" t="s">
        <v>25</v>
      </c>
      <c r="C688" s="5" t="s">
        <v>30</v>
      </c>
      <c r="D688" s="5" t="s">
        <v>20</v>
      </c>
      <c r="E688" s="5" t="s">
        <v>15</v>
      </c>
      <c r="F688" s="5">
        <v>3668</v>
      </c>
      <c r="G688" s="5" t="str">
        <f>VLOOKUP(C688,Sheet2!$C$3:$D$12,2,0)</f>
        <v>Fixed</v>
      </c>
      <c r="H688" s="5" t="str">
        <f>IFERROR(VLOOKUP(E688,Sheet2!$G$3:$H$8,2,0),"unkwon")</f>
        <v>online</v>
      </c>
      <c r="I688" s="5">
        <f>VLOOKUP(B688,Sheet2!$J$4:$K$15,2,0)</f>
        <v>8</v>
      </c>
      <c r="J688" s="5">
        <f>IFERROR(VLOOKUP(C688,Sheet2!$M$4:$N$12,2,0),0)</f>
        <v>3000</v>
      </c>
      <c r="K688" s="5" t="str">
        <f t="shared" si="10"/>
        <v>over budget</v>
      </c>
    </row>
    <row r="689" spans="1:11" x14ac:dyDescent="0.3">
      <c r="A689" s="6">
        <v>45298</v>
      </c>
      <c r="B689" s="5" t="s">
        <v>37</v>
      </c>
      <c r="C689" s="5" t="s">
        <v>35</v>
      </c>
      <c r="D689" s="5" t="s">
        <v>34</v>
      </c>
      <c r="E689" s="5" t="s">
        <v>17</v>
      </c>
      <c r="F689" s="5">
        <v>1808</v>
      </c>
      <c r="G689" s="5" t="str">
        <f>VLOOKUP(C689,Sheet2!$C$3:$D$12,2,0)</f>
        <v>Fixed</v>
      </c>
      <c r="H689" s="5" t="str">
        <f>IFERROR(VLOOKUP(E689,Sheet2!$G$3:$H$8,2,0),"unkwon")</f>
        <v>online</v>
      </c>
      <c r="I689" s="5">
        <f>VLOOKUP(B689,Sheet2!$J$4:$K$15,2,0)</f>
        <v>1</v>
      </c>
      <c r="J689" s="5">
        <f>IFERROR(VLOOKUP(C689,Sheet2!$M$4:$N$12,2,0),0)</f>
        <v>5500</v>
      </c>
      <c r="K689" s="5" t="str">
        <f t="shared" si="10"/>
        <v>within budget</v>
      </c>
    </row>
    <row r="690" spans="1:11" x14ac:dyDescent="0.3">
      <c r="A690" s="6">
        <v>45081</v>
      </c>
      <c r="B690" s="5" t="s">
        <v>39</v>
      </c>
      <c r="C690" s="5" t="s">
        <v>27</v>
      </c>
      <c r="D690" s="5" t="s">
        <v>24</v>
      </c>
      <c r="E690" s="5" t="s">
        <v>17</v>
      </c>
      <c r="F690" s="5">
        <v>2590</v>
      </c>
      <c r="G690" s="5" t="str">
        <f>VLOOKUP(C690,Sheet2!$C$3:$D$12,2,0)</f>
        <v>Variable</v>
      </c>
      <c r="H690" s="5" t="str">
        <f>IFERROR(VLOOKUP(E690,Sheet2!$G$3:$H$8,2,0),"unkwon")</f>
        <v>online</v>
      </c>
      <c r="I690" s="5">
        <f>VLOOKUP(B690,Sheet2!$J$4:$K$15,2,0)</f>
        <v>6</v>
      </c>
      <c r="J690" s="5">
        <f>IFERROR(VLOOKUP(C690,Sheet2!$M$4:$N$12,2,0),0)</f>
        <v>4000</v>
      </c>
      <c r="K690" s="5" t="str">
        <f t="shared" si="10"/>
        <v>within budget</v>
      </c>
    </row>
    <row r="691" spans="1:11" x14ac:dyDescent="0.3">
      <c r="A691" s="6">
        <v>45410</v>
      </c>
      <c r="B691" s="5" t="s">
        <v>29</v>
      </c>
      <c r="C691" s="5" t="s">
        <v>22</v>
      </c>
      <c r="D691" s="5" t="s">
        <v>18</v>
      </c>
      <c r="E691" s="5" t="s">
        <v>12</v>
      </c>
      <c r="F691" s="5">
        <v>1467</v>
      </c>
      <c r="G691" s="5" t="str">
        <f>VLOOKUP(C691,Sheet2!$C$3:$D$12,2,0)</f>
        <v>Variable</v>
      </c>
      <c r="H691" s="5" t="str">
        <f>IFERROR(VLOOKUP(E691,Sheet2!$G$3:$H$8,2,0),"unkwon")</f>
        <v>online</v>
      </c>
      <c r="I691" s="5">
        <f>VLOOKUP(B691,Sheet2!$J$4:$K$15,2,0)</f>
        <v>4</v>
      </c>
      <c r="J691" s="5">
        <f>IFERROR(VLOOKUP(C691,Sheet2!$M$4:$N$12,2,0),0)</f>
        <v>1000</v>
      </c>
      <c r="K691" s="5" t="str">
        <f t="shared" si="10"/>
        <v>over budget</v>
      </c>
    </row>
    <row r="692" spans="1:11" x14ac:dyDescent="0.3">
      <c r="A692" s="6">
        <v>45141</v>
      </c>
      <c r="B692" s="5" t="s">
        <v>25</v>
      </c>
      <c r="C692" s="5" t="s">
        <v>35</v>
      </c>
      <c r="D692" s="5" t="s">
        <v>14</v>
      </c>
      <c r="E692" s="5" t="s">
        <v>15</v>
      </c>
      <c r="F692" s="5">
        <v>2914</v>
      </c>
      <c r="G692" s="5" t="str">
        <f>VLOOKUP(C692,Sheet2!$C$3:$D$12,2,0)</f>
        <v>Fixed</v>
      </c>
      <c r="H692" s="5" t="str">
        <f>IFERROR(VLOOKUP(E692,Sheet2!$G$3:$H$8,2,0),"unkwon")</f>
        <v>online</v>
      </c>
      <c r="I692" s="5">
        <f>VLOOKUP(B692,Sheet2!$J$4:$K$15,2,0)</f>
        <v>8</v>
      </c>
      <c r="J692" s="5">
        <f>IFERROR(VLOOKUP(C692,Sheet2!$M$4:$N$12,2,0),0)</f>
        <v>5500</v>
      </c>
      <c r="K692" s="5" t="str">
        <f t="shared" si="10"/>
        <v>within budget</v>
      </c>
    </row>
    <row r="693" spans="1:11" x14ac:dyDescent="0.3">
      <c r="A693" s="6">
        <v>44952</v>
      </c>
      <c r="B693" s="5" t="s">
        <v>37</v>
      </c>
      <c r="C693" s="5" t="s">
        <v>35</v>
      </c>
      <c r="D693" s="5" t="s">
        <v>31</v>
      </c>
      <c r="E693" s="5" t="s">
        <v>15</v>
      </c>
      <c r="F693" s="5">
        <v>3970</v>
      </c>
      <c r="G693" s="5" t="str">
        <f>VLOOKUP(C693,Sheet2!$C$3:$D$12,2,0)</f>
        <v>Fixed</v>
      </c>
      <c r="H693" s="5" t="str">
        <f>IFERROR(VLOOKUP(E693,Sheet2!$G$3:$H$8,2,0),"unkwon")</f>
        <v>online</v>
      </c>
      <c r="I693" s="5">
        <f>VLOOKUP(B693,Sheet2!$J$4:$K$15,2,0)</f>
        <v>1</v>
      </c>
      <c r="J693" s="5">
        <f>IFERROR(VLOOKUP(C693,Sheet2!$M$4:$N$12,2,0),0)</f>
        <v>5500</v>
      </c>
      <c r="K693" s="5" t="str">
        <f t="shared" si="10"/>
        <v>within budget</v>
      </c>
    </row>
    <row r="694" spans="1:11" x14ac:dyDescent="0.3">
      <c r="A694" s="6">
        <v>45458</v>
      </c>
      <c r="B694" s="5" t="s">
        <v>39</v>
      </c>
      <c r="C694" s="5" t="s">
        <v>41</v>
      </c>
      <c r="D694" s="5" t="s">
        <v>18</v>
      </c>
      <c r="E694" s="5" t="s">
        <v>9</v>
      </c>
      <c r="F694" s="5">
        <v>2045</v>
      </c>
      <c r="G694" s="5" t="str">
        <f>VLOOKUP(C694,Sheet2!$C$3:$D$12,2,0)</f>
        <v>Variable</v>
      </c>
      <c r="H694" s="5" t="str">
        <f>IFERROR(VLOOKUP(E694,Sheet2!$G$3:$H$8,2,0),"unkwon")</f>
        <v>online</v>
      </c>
      <c r="I694" s="5">
        <f>VLOOKUP(B694,Sheet2!$J$4:$K$15,2,0)</f>
        <v>6</v>
      </c>
      <c r="J694" s="5">
        <f>IFERROR(VLOOKUP(C694,Sheet2!$M$4:$N$12,2,0),0)</f>
        <v>7000</v>
      </c>
      <c r="K694" s="5" t="str">
        <f t="shared" si="10"/>
        <v>within budget</v>
      </c>
    </row>
    <row r="695" spans="1:11" x14ac:dyDescent="0.3">
      <c r="A695" s="6">
        <v>45210</v>
      </c>
      <c r="B695" s="5" t="s">
        <v>6</v>
      </c>
      <c r="C695" s="5" t="s">
        <v>13</v>
      </c>
      <c r="D695" s="5" t="s">
        <v>23</v>
      </c>
      <c r="E695" s="5" t="s">
        <v>32</v>
      </c>
      <c r="F695" s="5">
        <v>2098</v>
      </c>
      <c r="G695" s="5" t="str">
        <f>VLOOKUP(C695,Sheet2!$C$3:$D$12,2,0)</f>
        <v>Variable</v>
      </c>
      <c r="H695" s="5" t="str">
        <f>IFERROR(VLOOKUP(E695,Sheet2!$G$3:$H$8,2,0),"unkwon")</f>
        <v>offline</v>
      </c>
      <c r="I695" s="5">
        <f>VLOOKUP(B695,Sheet2!$J$4:$K$15,2,0)</f>
        <v>10</v>
      </c>
      <c r="J695" s="5">
        <f>IFERROR(VLOOKUP(C695,Sheet2!$M$4:$N$12,2,0),0)</f>
        <v>5000</v>
      </c>
      <c r="K695" s="5" t="str">
        <f t="shared" si="10"/>
        <v>within budget</v>
      </c>
    </row>
    <row r="696" spans="1:11" x14ac:dyDescent="0.3">
      <c r="A696" s="6">
        <v>45050</v>
      </c>
      <c r="B696" s="5" t="s">
        <v>28</v>
      </c>
      <c r="C696" s="5" t="s">
        <v>13</v>
      </c>
      <c r="D696" s="5" t="s">
        <v>24</v>
      </c>
      <c r="E696" s="5" t="s">
        <v>17</v>
      </c>
      <c r="F696" s="5">
        <v>4042</v>
      </c>
      <c r="G696" s="5" t="str">
        <f>VLOOKUP(C696,Sheet2!$C$3:$D$12,2,0)</f>
        <v>Variable</v>
      </c>
      <c r="H696" s="5" t="str">
        <f>IFERROR(VLOOKUP(E696,Sheet2!$G$3:$H$8,2,0),"unkwon")</f>
        <v>online</v>
      </c>
      <c r="I696" s="5">
        <f>VLOOKUP(B696,Sheet2!$J$4:$K$15,2,0)</f>
        <v>5</v>
      </c>
      <c r="J696" s="5">
        <f>IFERROR(VLOOKUP(C696,Sheet2!$M$4:$N$12,2,0),0)</f>
        <v>5000</v>
      </c>
      <c r="K696" s="5" t="str">
        <f t="shared" si="10"/>
        <v>within budget</v>
      </c>
    </row>
    <row r="697" spans="1:11" x14ac:dyDescent="0.3">
      <c r="A697" s="6">
        <v>45201</v>
      </c>
      <c r="B697" s="5" t="s">
        <v>6</v>
      </c>
      <c r="C697" s="5" t="s">
        <v>41</v>
      </c>
      <c r="D697" s="5" t="s">
        <v>18</v>
      </c>
      <c r="E697" s="5" t="s">
        <v>9</v>
      </c>
      <c r="F697" s="5">
        <v>1252</v>
      </c>
      <c r="G697" s="5" t="str">
        <f>VLOOKUP(C697,Sheet2!$C$3:$D$12,2,0)</f>
        <v>Variable</v>
      </c>
      <c r="H697" s="5" t="str">
        <f>IFERROR(VLOOKUP(E697,Sheet2!$G$3:$H$8,2,0),"unkwon")</f>
        <v>online</v>
      </c>
      <c r="I697" s="5">
        <f>VLOOKUP(B697,Sheet2!$J$4:$K$15,2,0)</f>
        <v>10</v>
      </c>
      <c r="J697" s="5">
        <f>IFERROR(VLOOKUP(C697,Sheet2!$M$4:$N$12,2,0),0)</f>
        <v>7000</v>
      </c>
      <c r="K697" s="5" t="str">
        <f t="shared" si="10"/>
        <v>within budget</v>
      </c>
    </row>
    <row r="698" spans="1:11" x14ac:dyDescent="0.3">
      <c r="A698" s="6">
        <v>45562</v>
      </c>
      <c r="B698" s="5" t="s">
        <v>38</v>
      </c>
      <c r="C698" s="5" t="s">
        <v>41</v>
      </c>
      <c r="D698" s="5" t="s">
        <v>31</v>
      </c>
      <c r="E698" s="5" t="s">
        <v>32</v>
      </c>
      <c r="F698" s="5">
        <v>2578</v>
      </c>
      <c r="G698" s="5" t="str">
        <f>VLOOKUP(C698,Sheet2!$C$3:$D$12,2,0)</f>
        <v>Variable</v>
      </c>
      <c r="H698" s="5" t="str">
        <f>IFERROR(VLOOKUP(E698,Sheet2!$G$3:$H$8,2,0),"unkwon")</f>
        <v>offline</v>
      </c>
      <c r="I698" s="5">
        <f>VLOOKUP(B698,Sheet2!$J$4:$K$15,2,0)</f>
        <v>9</v>
      </c>
      <c r="J698" s="5">
        <f>IFERROR(VLOOKUP(C698,Sheet2!$M$4:$N$12,2,0),0)</f>
        <v>7000</v>
      </c>
      <c r="K698" s="5" t="str">
        <f t="shared" si="10"/>
        <v>within budget</v>
      </c>
    </row>
    <row r="699" spans="1:11" x14ac:dyDescent="0.3">
      <c r="A699" s="6">
        <v>45637</v>
      </c>
      <c r="B699" s="5" t="s">
        <v>16</v>
      </c>
      <c r="C699" s="5" t="s">
        <v>22</v>
      </c>
      <c r="D699" s="5" t="s">
        <v>31</v>
      </c>
      <c r="E699" s="5" t="s">
        <v>32</v>
      </c>
      <c r="F699" s="5">
        <v>459</v>
      </c>
      <c r="G699" s="5" t="str">
        <f>VLOOKUP(C699,Sheet2!$C$3:$D$12,2,0)</f>
        <v>Variable</v>
      </c>
      <c r="H699" s="5" t="str">
        <f>IFERROR(VLOOKUP(E699,Sheet2!$G$3:$H$8,2,0),"unkwon")</f>
        <v>offline</v>
      </c>
      <c r="I699" s="5">
        <f>VLOOKUP(B699,Sheet2!$J$4:$K$15,2,0)</f>
        <v>12</v>
      </c>
      <c r="J699" s="5">
        <f>IFERROR(VLOOKUP(C699,Sheet2!$M$4:$N$12,2,0),0)</f>
        <v>1000</v>
      </c>
      <c r="K699" s="5" t="str">
        <f t="shared" si="10"/>
        <v>within budget</v>
      </c>
    </row>
    <row r="700" spans="1:11" x14ac:dyDescent="0.3">
      <c r="A700" s="6">
        <v>45466</v>
      </c>
      <c r="B700" s="5" t="s">
        <v>39</v>
      </c>
      <c r="C700" s="5" t="s">
        <v>30</v>
      </c>
      <c r="D700" s="5" t="s">
        <v>34</v>
      </c>
      <c r="E700" s="5" t="s">
        <v>9</v>
      </c>
      <c r="F700" s="5">
        <v>1237</v>
      </c>
      <c r="G700" s="5" t="str">
        <f>VLOOKUP(C700,Sheet2!$C$3:$D$12,2,0)</f>
        <v>Fixed</v>
      </c>
      <c r="H700" s="5" t="str">
        <f>IFERROR(VLOOKUP(E700,Sheet2!$G$3:$H$8,2,0),"unkwon")</f>
        <v>online</v>
      </c>
      <c r="I700" s="5">
        <f>VLOOKUP(B700,Sheet2!$J$4:$K$15,2,0)</f>
        <v>6</v>
      </c>
      <c r="J700" s="5">
        <f>IFERROR(VLOOKUP(C700,Sheet2!$M$4:$N$12,2,0),0)</f>
        <v>3000</v>
      </c>
      <c r="K700" s="5" t="str">
        <f t="shared" si="10"/>
        <v>within budget</v>
      </c>
    </row>
    <row r="701" spans="1:11" x14ac:dyDescent="0.3">
      <c r="A701" s="6">
        <v>44962</v>
      </c>
      <c r="B701" s="5" t="s">
        <v>33</v>
      </c>
      <c r="C701" s="5" t="s">
        <v>36</v>
      </c>
      <c r="D701" s="5" t="s">
        <v>11</v>
      </c>
      <c r="E701" s="5" t="s">
        <v>32</v>
      </c>
      <c r="F701" s="5">
        <v>4428</v>
      </c>
      <c r="G701" s="5" t="str">
        <f>VLOOKUP(C701,Sheet2!$C$3:$D$12,2,0)</f>
        <v>Variable</v>
      </c>
      <c r="H701" s="5" t="str">
        <f>IFERROR(VLOOKUP(E701,Sheet2!$G$3:$H$8,2,0),"unkwon")</f>
        <v>offline</v>
      </c>
      <c r="I701" s="5">
        <f>VLOOKUP(B701,Sheet2!$J$4:$K$15,2,0)</f>
        <v>2</v>
      </c>
      <c r="J701" s="5">
        <f>IFERROR(VLOOKUP(C701,Sheet2!$M$4:$N$12,2,0),0)</f>
        <v>10000</v>
      </c>
      <c r="K701" s="5" t="str">
        <f t="shared" si="10"/>
        <v>within budget</v>
      </c>
    </row>
    <row r="702" spans="1:11" x14ac:dyDescent="0.3">
      <c r="A702" s="6">
        <v>45016</v>
      </c>
      <c r="B702" s="5" t="s">
        <v>19</v>
      </c>
      <c r="C702" s="5" t="s">
        <v>41</v>
      </c>
      <c r="D702" s="5" t="s">
        <v>26</v>
      </c>
      <c r="E702" s="5" t="s">
        <v>9</v>
      </c>
      <c r="F702" s="5">
        <v>588</v>
      </c>
      <c r="G702" s="5" t="str">
        <f>VLOOKUP(C702,Sheet2!$C$3:$D$12,2,0)</f>
        <v>Variable</v>
      </c>
      <c r="H702" s="5" t="str">
        <f>IFERROR(VLOOKUP(E702,Sheet2!$G$3:$H$8,2,0),"unkwon")</f>
        <v>online</v>
      </c>
      <c r="I702" s="5">
        <f>VLOOKUP(B702,Sheet2!$J$4:$K$15,2,0)</f>
        <v>3</v>
      </c>
      <c r="J702" s="5">
        <f>IFERROR(VLOOKUP(C702,Sheet2!$M$4:$N$12,2,0),0)</f>
        <v>7000</v>
      </c>
      <c r="K702" s="5" t="str">
        <f t="shared" si="10"/>
        <v>within budget</v>
      </c>
    </row>
    <row r="703" spans="1:11" x14ac:dyDescent="0.3">
      <c r="A703" s="6">
        <v>45318</v>
      </c>
      <c r="B703" s="5" t="s">
        <v>37</v>
      </c>
      <c r="C703" s="5" t="s">
        <v>22</v>
      </c>
      <c r="D703" s="5" t="s">
        <v>18</v>
      </c>
      <c r="E703" s="5" t="s">
        <v>12</v>
      </c>
      <c r="F703" s="5">
        <v>2530</v>
      </c>
      <c r="G703" s="5" t="str">
        <f>VLOOKUP(C703,Sheet2!$C$3:$D$12,2,0)</f>
        <v>Variable</v>
      </c>
      <c r="H703" s="5" t="str">
        <f>IFERROR(VLOOKUP(E703,Sheet2!$G$3:$H$8,2,0),"unkwon")</f>
        <v>online</v>
      </c>
      <c r="I703" s="5">
        <f>VLOOKUP(B703,Sheet2!$J$4:$K$15,2,0)</f>
        <v>1</v>
      </c>
      <c r="J703" s="5">
        <f>IFERROR(VLOOKUP(C703,Sheet2!$M$4:$N$12,2,0),0)</f>
        <v>1000</v>
      </c>
      <c r="K703" s="5" t="str">
        <f t="shared" si="10"/>
        <v>over budget</v>
      </c>
    </row>
    <row r="704" spans="1:11" x14ac:dyDescent="0.3">
      <c r="A704" s="6">
        <v>45562</v>
      </c>
      <c r="B704" s="5" t="s">
        <v>38</v>
      </c>
      <c r="C704" s="5" t="s">
        <v>35</v>
      </c>
      <c r="D704" s="5" t="s">
        <v>11</v>
      </c>
      <c r="E704" s="5" t="s">
        <v>12</v>
      </c>
      <c r="F704" s="5">
        <v>720</v>
      </c>
      <c r="G704" s="5" t="str">
        <f>VLOOKUP(C704,Sheet2!$C$3:$D$12,2,0)</f>
        <v>Fixed</v>
      </c>
      <c r="H704" s="5" t="str">
        <f>IFERROR(VLOOKUP(E704,Sheet2!$G$3:$H$8,2,0),"unkwon")</f>
        <v>online</v>
      </c>
      <c r="I704" s="5">
        <f>VLOOKUP(B704,Sheet2!$J$4:$K$15,2,0)</f>
        <v>9</v>
      </c>
      <c r="J704" s="5">
        <f>IFERROR(VLOOKUP(C704,Sheet2!$M$4:$N$12,2,0),0)</f>
        <v>5500</v>
      </c>
      <c r="K704" s="5" t="str">
        <f t="shared" si="10"/>
        <v>within budget</v>
      </c>
    </row>
    <row r="705" spans="1:11" x14ac:dyDescent="0.3">
      <c r="A705" s="6">
        <v>45449</v>
      </c>
      <c r="B705" s="5" t="s">
        <v>39</v>
      </c>
      <c r="C705" s="5" t="s">
        <v>35</v>
      </c>
      <c r="D705" s="5" t="s">
        <v>34</v>
      </c>
      <c r="E705" s="5" t="s">
        <v>15</v>
      </c>
      <c r="F705" s="5">
        <v>2003</v>
      </c>
      <c r="G705" s="5" t="str">
        <f>VLOOKUP(C705,Sheet2!$C$3:$D$12,2,0)</f>
        <v>Fixed</v>
      </c>
      <c r="H705" s="5" t="str">
        <f>IFERROR(VLOOKUP(E705,Sheet2!$G$3:$H$8,2,0),"unkwon")</f>
        <v>online</v>
      </c>
      <c r="I705" s="5">
        <f>VLOOKUP(B705,Sheet2!$J$4:$K$15,2,0)</f>
        <v>6</v>
      </c>
      <c r="J705" s="5">
        <f>IFERROR(VLOOKUP(C705,Sheet2!$M$4:$N$12,2,0),0)</f>
        <v>5500</v>
      </c>
      <c r="K705" s="5" t="str">
        <f t="shared" si="10"/>
        <v>within budget</v>
      </c>
    </row>
    <row r="706" spans="1:11" x14ac:dyDescent="0.3">
      <c r="A706" s="6">
        <v>45571</v>
      </c>
      <c r="B706" s="5" t="s">
        <v>6</v>
      </c>
      <c r="C706" s="5" t="s">
        <v>22</v>
      </c>
      <c r="D706" s="5" t="s">
        <v>11</v>
      </c>
      <c r="E706" s="5" t="s">
        <v>17</v>
      </c>
      <c r="F706" s="5">
        <v>4657</v>
      </c>
      <c r="G706" s="5" t="str">
        <f>VLOOKUP(C706,Sheet2!$C$3:$D$12,2,0)</f>
        <v>Variable</v>
      </c>
      <c r="H706" s="5" t="str">
        <f>IFERROR(VLOOKUP(E706,Sheet2!$G$3:$H$8,2,0),"unkwon")</f>
        <v>online</v>
      </c>
      <c r="I706" s="5">
        <f>VLOOKUP(B706,Sheet2!$J$4:$K$15,2,0)</f>
        <v>10</v>
      </c>
      <c r="J706" s="5">
        <f>IFERROR(VLOOKUP(C706,Sheet2!$M$4:$N$12,2,0),0)</f>
        <v>1000</v>
      </c>
      <c r="K706" s="5" t="str">
        <f t="shared" si="10"/>
        <v>over budget</v>
      </c>
    </row>
    <row r="707" spans="1:11" x14ac:dyDescent="0.3">
      <c r="A707" s="6">
        <v>45301</v>
      </c>
      <c r="B707" s="5" t="s">
        <v>37</v>
      </c>
      <c r="C707" s="5" t="s">
        <v>22</v>
      </c>
      <c r="D707" s="5" t="s">
        <v>11</v>
      </c>
      <c r="E707" s="5" t="s">
        <v>15</v>
      </c>
      <c r="F707" s="5">
        <v>3493</v>
      </c>
      <c r="G707" s="5" t="str">
        <f>VLOOKUP(C707,Sheet2!$C$3:$D$12,2,0)</f>
        <v>Variable</v>
      </c>
      <c r="H707" s="5" t="str">
        <f>IFERROR(VLOOKUP(E707,Sheet2!$G$3:$H$8,2,0),"unkwon")</f>
        <v>online</v>
      </c>
      <c r="I707" s="5">
        <f>VLOOKUP(B707,Sheet2!$J$4:$K$15,2,0)</f>
        <v>1</v>
      </c>
      <c r="J707" s="5">
        <f>IFERROR(VLOOKUP(C707,Sheet2!$M$4:$N$12,2,0),0)</f>
        <v>1000</v>
      </c>
      <c r="K707" s="5" t="str">
        <f t="shared" ref="K707:K770" si="11">IF(F707&gt;J707,"over budget","within budget")</f>
        <v>over budget</v>
      </c>
    </row>
    <row r="708" spans="1:11" x14ac:dyDescent="0.3">
      <c r="A708" s="6">
        <v>45324</v>
      </c>
      <c r="B708" s="5" t="s">
        <v>33</v>
      </c>
      <c r="C708" s="5" t="s">
        <v>30</v>
      </c>
      <c r="D708" s="5" t="s">
        <v>11</v>
      </c>
      <c r="E708" s="5" t="s">
        <v>17</v>
      </c>
      <c r="F708" s="5">
        <v>1235</v>
      </c>
      <c r="G708" s="5" t="str">
        <f>VLOOKUP(C708,Sheet2!$C$3:$D$12,2,0)</f>
        <v>Fixed</v>
      </c>
      <c r="H708" s="5" t="str">
        <f>IFERROR(VLOOKUP(E708,Sheet2!$G$3:$H$8,2,0),"unkwon")</f>
        <v>online</v>
      </c>
      <c r="I708" s="5">
        <f>VLOOKUP(B708,Sheet2!$J$4:$K$15,2,0)</f>
        <v>2</v>
      </c>
      <c r="J708" s="5">
        <f>IFERROR(VLOOKUP(C708,Sheet2!$M$4:$N$12,2,0),0)</f>
        <v>3000</v>
      </c>
      <c r="K708" s="5" t="str">
        <f t="shared" si="11"/>
        <v>within budget</v>
      </c>
    </row>
    <row r="709" spans="1:11" x14ac:dyDescent="0.3">
      <c r="A709" s="6">
        <v>45465</v>
      </c>
      <c r="B709" s="5" t="s">
        <v>39</v>
      </c>
      <c r="C709" s="5" t="s">
        <v>30</v>
      </c>
      <c r="D709" s="5" t="s">
        <v>26</v>
      </c>
      <c r="E709" s="5" t="s">
        <v>17</v>
      </c>
      <c r="F709" s="5">
        <v>3744</v>
      </c>
      <c r="G709" s="5" t="str">
        <f>VLOOKUP(C709,Sheet2!$C$3:$D$12,2,0)</f>
        <v>Fixed</v>
      </c>
      <c r="H709" s="5" t="str">
        <f>IFERROR(VLOOKUP(E709,Sheet2!$G$3:$H$8,2,0),"unkwon")</f>
        <v>online</v>
      </c>
      <c r="I709" s="5">
        <f>VLOOKUP(B709,Sheet2!$J$4:$K$15,2,0)</f>
        <v>6</v>
      </c>
      <c r="J709" s="5">
        <f>IFERROR(VLOOKUP(C709,Sheet2!$M$4:$N$12,2,0),0)</f>
        <v>3000</v>
      </c>
      <c r="K709" s="5" t="str">
        <f t="shared" si="11"/>
        <v>over budget</v>
      </c>
    </row>
    <row r="710" spans="1:11" x14ac:dyDescent="0.3">
      <c r="A710" s="6">
        <v>45486</v>
      </c>
      <c r="B710" s="5" t="s">
        <v>21</v>
      </c>
      <c r="C710" s="5" t="s">
        <v>36</v>
      </c>
      <c r="D710" s="5" t="s">
        <v>14</v>
      </c>
      <c r="E710" s="5" t="s">
        <v>32</v>
      </c>
      <c r="F710" s="5">
        <v>3619</v>
      </c>
      <c r="G710" s="5" t="str">
        <f>VLOOKUP(C710,Sheet2!$C$3:$D$12,2,0)</f>
        <v>Variable</v>
      </c>
      <c r="H710" s="5" t="str">
        <f>IFERROR(VLOOKUP(E710,Sheet2!$G$3:$H$8,2,0),"unkwon")</f>
        <v>offline</v>
      </c>
      <c r="I710" s="5">
        <f>VLOOKUP(B710,Sheet2!$J$4:$K$15,2,0)</f>
        <v>7</v>
      </c>
      <c r="J710" s="5">
        <f>IFERROR(VLOOKUP(C710,Sheet2!$M$4:$N$12,2,0),0)</f>
        <v>10000</v>
      </c>
      <c r="K710" s="5" t="str">
        <f t="shared" si="11"/>
        <v>within budget</v>
      </c>
    </row>
    <row r="711" spans="1:11" x14ac:dyDescent="0.3">
      <c r="A711" s="6">
        <v>45657</v>
      </c>
      <c r="B711" s="5" t="s">
        <v>16</v>
      </c>
      <c r="C711" s="5" t="s">
        <v>22</v>
      </c>
      <c r="D711" s="5" t="s">
        <v>18</v>
      </c>
      <c r="E711" s="5" t="s">
        <v>32</v>
      </c>
      <c r="F711" s="5">
        <v>2300</v>
      </c>
      <c r="G711" s="5" t="str">
        <f>VLOOKUP(C711,Sheet2!$C$3:$D$12,2,0)</f>
        <v>Variable</v>
      </c>
      <c r="H711" s="5" t="str">
        <f>IFERROR(VLOOKUP(E711,Sheet2!$G$3:$H$8,2,0),"unkwon")</f>
        <v>offline</v>
      </c>
      <c r="I711" s="5">
        <f>VLOOKUP(B711,Sheet2!$J$4:$K$15,2,0)</f>
        <v>12</v>
      </c>
      <c r="J711" s="5">
        <f>IFERROR(VLOOKUP(C711,Sheet2!$M$4:$N$12,2,0),0)</f>
        <v>1000</v>
      </c>
      <c r="K711" s="5" t="str">
        <f t="shared" si="11"/>
        <v>over budget</v>
      </c>
    </row>
    <row r="712" spans="1:11" x14ac:dyDescent="0.3">
      <c r="A712" s="6">
        <v>45495</v>
      </c>
      <c r="B712" s="5" t="s">
        <v>21</v>
      </c>
      <c r="C712" s="5" t="s">
        <v>13</v>
      </c>
      <c r="D712" s="5" t="s">
        <v>20</v>
      </c>
      <c r="E712" s="5" t="s">
        <v>12</v>
      </c>
      <c r="F712" s="5">
        <v>4218</v>
      </c>
      <c r="G712" s="5" t="str">
        <f>VLOOKUP(C712,Sheet2!$C$3:$D$12,2,0)</f>
        <v>Variable</v>
      </c>
      <c r="H712" s="5" t="str">
        <f>IFERROR(VLOOKUP(E712,Sheet2!$G$3:$H$8,2,0),"unkwon")</f>
        <v>online</v>
      </c>
      <c r="I712" s="5">
        <f>VLOOKUP(B712,Sheet2!$J$4:$K$15,2,0)</f>
        <v>7</v>
      </c>
      <c r="J712" s="5">
        <f>IFERROR(VLOOKUP(C712,Sheet2!$M$4:$N$12,2,0),0)</f>
        <v>5000</v>
      </c>
      <c r="K712" s="5" t="str">
        <f t="shared" si="11"/>
        <v>within budget</v>
      </c>
    </row>
    <row r="713" spans="1:11" x14ac:dyDescent="0.3">
      <c r="A713" s="6">
        <v>44977</v>
      </c>
      <c r="B713" s="5" t="s">
        <v>33</v>
      </c>
      <c r="C713" s="5" t="s">
        <v>27</v>
      </c>
      <c r="D713" s="5" t="s">
        <v>34</v>
      </c>
      <c r="E713" s="5" t="s">
        <v>17</v>
      </c>
      <c r="F713" s="5">
        <v>3101</v>
      </c>
      <c r="G713" s="5" t="str">
        <f>VLOOKUP(C713,Sheet2!$C$3:$D$12,2,0)</f>
        <v>Variable</v>
      </c>
      <c r="H713" s="5" t="str">
        <f>IFERROR(VLOOKUP(E713,Sheet2!$G$3:$H$8,2,0),"unkwon")</f>
        <v>online</v>
      </c>
      <c r="I713" s="5">
        <f>VLOOKUP(B713,Sheet2!$J$4:$K$15,2,0)</f>
        <v>2</v>
      </c>
      <c r="J713" s="5">
        <f>IFERROR(VLOOKUP(C713,Sheet2!$M$4:$N$12,2,0),0)</f>
        <v>4000</v>
      </c>
      <c r="K713" s="5" t="str">
        <f t="shared" si="11"/>
        <v>within budget</v>
      </c>
    </row>
    <row r="714" spans="1:11" x14ac:dyDescent="0.3">
      <c r="A714" s="6">
        <v>45514</v>
      </c>
      <c r="B714" s="5" t="s">
        <v>25</v>
      </c>
      <c r="C714" s="5" t="s">
        <v>10</v>
      </c>
      <c r="D714" s="5" t="s">
        <v>31</v>
      </c>
      <c r="E714" s="5" t="s">
        <v>9</v>
      </c>
      <c r="F714" s="5">
        <v>1873</v>
      </c>
      <c r="G714" s="5" t="str">
        <f>VLOOKUP(C714,Sheet2!$C$3:$D$12,2,0)</f>
        <v>Variable</v>
      </c>
      <c r="H714" s="5" t="str">
        <f>IFERROR(VLOOKUP(E714,Sheet2!$G$3:$H$8,2,0),"unkwon")</f>
        <v>online</v>
      </c>
      <c r="I714" s="5">
        <f>VLOOKUP(B714,Sheet2!$J$4:$K$15,2,0)</f>
        <v>8</v>
      </c>
      <c r="J714" s="5">
        <f>IFERROR(VLOOKUP(C714,Sheet2!$M$4:$N$12,2,0),0)</f>
        <v>5000</v>
      </c>
      <c r="K714" s="5" t="str">
        <f t="shared" si="11"/>
        <v>within budget</v>
      </c>
    </row>
    <row r="715" spans="1:11" x14ac:dyDescent="0.3">
      <c r="A715" s="6">
        <v>45292</v>
      </c>
      <c r="B715" s="5" t="s">
        <v>37</v>
      </c>
      <c r="C715" s="5" t="s">
        <v>36</v>
      </c>
      <c r="D715" s="5" t="s">
        <v>8</v>
      </c>
      <c r="E715" s="5" t="s">
        <v>9</v>
      </c>
      <c r="F715" s="5">
        <v>4451</v>
      </c>
      <c r="G715" s="5" t="str">
        <f>VLOOKUP(C715,Sheet2!$C$3:$D$12,2,0)</f>
        <v>Variable</v>
      </c>
      <c r="H715" s="5" t="str">
        <f>IFERROR(VLOOKUP(E715,Sheet2!$G$3:$H$8,2,0),"unkwon")</f>
        <v>online</v>
      </c>
      <c r="I715" s="5">
        <f>VLOOKUP(B715,Sheet2!$J$4:$K$15,2,0)</f>
        <v>1</v>
      </c>
      <c r="J715" s="5">
        <f>IFERROR(VLOOKUP(C715,Sheet2!$M$4:$N$12,2,0),0)</f>
        <v>10000</v>
      </c>
      <c r="K715" s="5" t="str">
        <f t="shared" si="11"/>
        <v>within budget</v>
      </c>
    </row>
    <row r="716" spans="1:11" x14ac:dyDescent="0.3">
      <c r="A716" s="6">
        <v>45161</v>
      </c>
      <c r="B716" s="5" t="s">
        <v>25</v>
      </c>
      <c r="C716" s="5" t="s">
        <v>36</v>
      </c>
      <c r="D716" s="5" t="s">
        <v>23</v>
      </c>
      <c r="E716" s="5" t="s">
        <v>9</v>
      </c>
      <c r="F716" s="5">
        <v>3833</v>
      </c>
      <c r="G716" s="5" t="str">
        <f>VLOOKUP(C716,Sheet2!$C$3:$D$12,2,0)</f>
        <v>Variable</v>
      </c>
      <c r="H716" s="5" t="str">
        <f>IFERROR(VLOOKUP(E716,Sheet2!$G$3:$H$8,2,0),"unkwon")</f>
        <v>online</v>
      </c>
      <c r="I716" s="5">
        <f>VLOOKUP(B716,Sheet2!$J$4:$K$15,2,0)</f>
        <v>8</v>
      </c>
      <c r="J716" s="5">
        <f>IFERROR(VLOOKUP(C716,Sheet2!$M$4:$N$12,2,0),0)</f>
        <v>10000</v>
      </c>
      <c r="K716" s="5" t="str">
        <f t="shared" si="11"/>
        <v>within budget</v>
      </c>
    </row>
    <row r="717" spans="1:11" x14ac:dyDescent="0.3">
      <c r="A717" s="6">
        <v>45153</v>
      </c>
      <c r="B717" s="5" t="s">
        <v>25</v>
      </c>
      <c r="C717" s="5" t="s">
        <v>27</v>
      </c>
      <c r="D717" s="5" t="s">
        <v>31</v>
      </c>
      <c r="E717" s="5" t="s">
        <v>15</v>
      </c>
      <c r="F717" s="5">
        <v>1722</v>
      </c>
      <c r="G717" s="5" t="str">
        <f>VLOOKUP(C717,Sheet2!$C$3:$D$12,2,0)</f>
        <v>Variable</v>
      </c>
      <c r="H717" s="5" t="str">
        <f>IFERROR(VLOOKUP(E717,Sheet2!$G$3:$H$8,2,0),"unkwon")</f>
        <v>online</v>
      </c>
      <c r="I717" s="5">
        <f>VLOOKUP(B717,Sheet2!$J$4:$K$15,2,0)</f>
        <v>8</v>
      </c>
      <c r="J717" s="5">
        <f>IFERROR(VLOOKUP(C717,Sheet2!$M$4:$N$12,2,0),0)</f>
        <v>4000</v>
      </c>
      <c r="K717" s="5" t="str">
        <f t="shared" si="11"/>
        <v>within budget</v>
      </c>
    </row>
    <row r="718" spans="1:11" x14ac:dyDescent="0.3">
      <c r="A718" s="6">
        <v>45084</v>
      </c>
      <c r="B718" s="5" t="s">
        <v>39</v>
      </c>
      <c r="C718" s="5" t="s">
        <v>13</v>
      </c>
      <c r="D718" s="5" t="s">
        <v>23</v>
      </c>
      <c r="E718" s="5" t="s">
        <v>9</v>
      </c>
      <c r="F718" s="5">
        <v>2536</v>
      </c>
      <c r="G718" s="5" t="str">
        <f>VLOOKUP(C718,Sheet2!$C$3:$D$12,2,0)</f>
        <v>Variable</v>
      </c>
      <c r="H718" s="5" t="str">
        <f>IFERROR(VLOOKUP(E718,Sheet2!$G$3:$H$8,2,0),"unkwon")</f>
        <v>online</v>
      </c>
      <c r="I718" s="5">
        <f>VLOOKUP(B718,Sheet2!$J$4:$K$15,2,0)</f>
        <v>6</v>
      </c>
      <c r="J718" s="5">
        <f>IFERROR(VLOOKUP(C718,Sheet2!$M$4:$N$12,2,0),0)</f>
        <v>5000</v>
      </c>
      <c r="K718" s="5" t="str">
        <f t="shared" si="11"/>
        <v>within budget</v>
      </c>
    </row>
    <row r="719" spans="1:11" x14ac:dyDescent="0.3">
      <c r="A719" s="6">
        <v>45558</v>
      </c>
      <c r="B719" s="5" t="s">
        <v>38</v>
      </c>
      <c r="C719" s="5" t="s">
        <v>7</v>
      </c>
      <c r="D719" s="5" t="s">
        <v>24</v>
      </c>
      <c r="E719" s="5" t="s">
        <v>9</v>
      </c>
      <c r="F719" s="5">
        <v>3436</v>
      </c>
      <c r="G719" s="5" t="str">
        <f>VLOOKUP(C719,Sheet2!$C$3:$D$12,2,0)</f>
        <v>Fixed</v>
      </c>
      <c r="H719" s="5" t="str">
        <f>IFERROR(VLOOKUP(E719,Sheet2!$G$3:$H$8,2,0),"unkwon")</f>
        <v>online</v>
      </c>
      <c r="I719" s="5">
        <f>VLOOKUP(B719,Sheet2!$J$4:$K$15,2,0)</f>
        <v>9</v>
      </c>
      <c r="J719" s="5">
        <f>IFERROR(VLOOKUP(C719,Sheet2!$M$4:$N$12,2,0),0)</f>
        <v>2000</v>
      </c>
      <c r="K719" s="5" t="str">
        <f t="shared" si="11"/>
        <v>over budget</v>
      </c>
    </row>
    <row r="720" spans="1:11" x14ac:dyDescent="0.3">
      <c r="A720" s="6">
        <v>45003</v>
      </c>
      <c r="B720" s="5" t="s">
        <v>19</v>
      </c>
      <c r="C720" s="5" t="s">
        <v>13</v>
      </c>
      <c r="D720" s="5" t="s">
        <v>23</v>
      </c>
      <c r="E720" s="5" t="s">
        <v>9</v>
      </c>
      <c r="F720" s="5">
        <v>384</v>
      </c>
      <c r="G720" s="5" t="str">
        <f>VLOOKUP(C720,Sheet2!$C$3:$D$12,2,0)</f>
        <v>Variable</v>
      </c>
      <c r="H720" s="5" t="str">
        <f>IFERROR(VLOOKUP(E720,Sheet2!$G$3:$H$8,2,0),"unkwon")</f>
        <v>online</v>
      </c>
      <c r="I720" s="5">
        <f>VLOOKUP(B720,Sheet2!$J$4:$K$15,2,0)</f>
        <v>3</v>
      </c>
      <c r="J720" s="5">
        <f>IFERROR(VLOOKUP(C720,Sheet2!$M$4:$N$12,2,0),0)</f>
        <v>5000</v>
      </c>
      <c r="K720" s="5" t="str">
        <f t="shared" si="11"/>
        <v>within budget</v>
      </c>
    </row>
    <row r="721" spans="1:11" x14ac:dyDescent="0.3">
      <c r="A721" s="6">
        <v>45084</v>
      </c>
      <c r="B721" s="5" t="s">
        <v>39</v>
      </c>
      <c r="C721" s="5" t="s">
        <v>41</v>
      </c>
      <c r="D721" s="5" t="s">
        <v>14</v>
      </c>
      <c r="E721" s="5" t="s">
        <v>32</v>
      </c>
      <c r="F721" s="5">
        <v>2781</v>
      </c>
      <c r="G721" s="5" t="str">
        <f>VLOOKUP(C721,Sheet2!$C$3:$D$12,2,0)</f>
        <v>Variable</v>
      </c>
      <c r="H721" s="5" t="str">
        <f>IFERROR(VLOOKUP(E721,Sheet2!$G$3:$H$8,2,0),"unkwon")</f>
        <v>offline</v>
      </c>
      <c r="I721" s="5">
        <f>VLOOKUP(B721,Sheet2!$J$4:$K$15,2,0)</f>
        <v>6</v>
      </c>
      <c r="J721" s="5">
        <f>IFERROR(VLOOKUP(C721,Sheet2!$M$4:$N$12,2,0),0)</f>
        <v>7000</v>
      </c>
      <c r="K721" s="5" t="str">
        <f t="shared" si="11"/>
        <v>within budget</v>
      </c>
    </row>
    <row r="722" spans="1:11" x14ac:dyDescent="0.3">
      <c r="A722" s="6">
        <v>45381</v>
      </c>
      <c r="B722" s="5" t="s">
        <v>19</v>
      </c>
      <c r="C722" s="5" t="s">
        <v>36</v>
      </c>
      <c r="D722" s="5" t="s">
        <v>14</v>
      </c>
      <c r="E722" s="5" t="s">
        <v>15</v>
      </c>
      <c r="F722" s="5">
        <v>3955</v>
      </c>
      <c r="G722" s="5" t="str">
        <f>VLOOKUP(C722,Sheet2!$C$3:$D$12,2,0)</f>
        <v>Variable</v>
      </c>
      <c r="H722" s="5" t="str">
        <f>IFERROR(VLOOKUP(E722,Sheet2!$G$3:$H$8,2,0),"unkwon")</f>
        <v>online</v>
      </c>
      <c r="I722" s="5">
        <f>VLOOKUP(B722,Sheet2!$J$4:$K$15,2,0)</f>
        <v>3</v>
      </c>
      <c r="J722" s="5">
        <f>IFERROR(VLOOKUP(C722,Sheet2!$M$4:$N$12,2,0),0)</f>
        <v>10000</v>
      </c>
      <c r="K722" s="5" t="str">
        <f t="shared" si="11"/>
        <v>within budget</v>
      </c>
    </row>
    <row r="723" spans="1:11" x14ac:dyDescent="0.3">
      <c r="A723" s="6">
        <v>45367</v>
      </c>
      <c r="B723" s="5" t="s">
        <v>19</v>
      </c>
      <c r="C723" s="5" t="s">
        <v>30</v>
      </c>
      <c r="D723" s="5" t="s">
        <v>20</v>
      </c>
      <c r="E723" s="5" t="s">
        <v>32</v>
      </c>
      <c r="F723" s="5">
        <v>3273</v>
      </c>
      <c r="G723" s="5" t="str">
        <f>VLOOKUP(C723,Sheet2!$C$3:$D$12,2,0)</f>
        <v>Fixed</v>
      </c>
      <c r="H723" s="5" t="str">
        <f>IFERROR(VLOOKUP(E723,Sheet2!$G$3:$H$8,2,0),"unkwon")</f>
        <v>offline</v>
      </c>
      <c r="I723" s="5">
        <f>VLOOKUP(B723,Sheet2!$J$4:$K$15,2,0)</f>
        <v>3</v>
      </c>
      <c r="J723" s="5">
        <f>IFERROR(VLOOKUP(C723,Sheet2!$M$4:$N$12,2,0),0)</f>
        <v>3000</v>
      </c>
      <c r="K723" s="5" t="str">
        <f t="shared" si="11"/>
        <v>over budget</v>
      </c>
    </row>
    <row r="724" spans="1:11" x14ac:dyDescent="0.3">
      <c r="A724" s="6">
        <v>45432</v>
      </c>
      <c r="B724" s="5" t="s">
        <v>28</v>
      </c>
      <c r="C724" s="5" t="s">
        <v>36</v>
      </c>
      <c r="D724" s="5" t="s">
        <v>23</v>
      </c>
      <c r="E724" s="5" t="s">
        <v>15</v>
      </c>
      <c r="F724" s="5">
        <v>1837</v>
      </c>
      <c r="G724" s="5" t="str">
        <f>VLOOKUP(C724,Sheet2!$C$3:$D$12,2,0)</f>
        <v>Variable</v>
      </c>
      <c r="H724" s="5" t="str">
        <f>IFERROR(VLOOKUP(E724,Sheet2!$G$3:$H$8,2,0),"unkwon")</f>
        <v>online</v>
      </c>
      <c r="I724" s="5">
        <f>VLOOKUP(B724,Sheet2!$J$4:$K$15,2,0)</f>
        <v>5</v>
      </c>
      <c r="J724" s="5">
        <f>IFERROR(VLOOKUP(C724,Sheet2!$M$4:$N$12,2,0),0)</f>
        <v>10000</v>
      </c>
      <c r="K724" s="5" t="str">
        <f t="shared" si="11"/>
        <v>within budget</v>
      </c>
    </row>
    <row r="725" spans="1:11" x14ac:dyDescent="0.3">
      <c r="A725" s="6">
        <v>45427</v>
      </c>
      <c r="B725" s="5" t="s">
        <v>28</v>
      </c>
      <c r="C725" s="5" t="s">
        <v>30</v>
      </c>
      <c r="D725" s="5" t="s">
        <v>20</v>
      </c>
      <c r="E725" s="5" t="s">
        <v>12</v>
      </c>
      <c r="F725" s="5">
        <v>2735</v>
      </c>
      <c r="G725" s="5" t="str">
        <f>VLOOKUP(C725,Sheet2!$C$3:$D$12,2,0)</f>
        <v>Fixed</v>
      </c>
      <c r="H725" s="5" t="str">
        <f>IFERROR(VLOOKUP(E725,Sheet2!$G$3:$H$8,2,0),"unkwon")</f>
        <v>online</v>
      </c>
      <c r="I725" s="5">
        <f>VLOOKUP(B725,Sheet2!$J$4:$K$15,2,0)</f>
        <v>5</v>
      </c>
      <c r="J725" s="5">
        <f>IFERROR(VLOOKUP(C725,Sheet2!$M$4:$N$12,2,0),0)</f>
        <v>3000</v>
      </c>
      <c r="K725" s="5" t="str">
        <f t="shared" si="11"/>
        <v>within budget</v>
      </c>
    </row>
    <row r="726" spans="1:11" x14ac:dyDescent="0.3">
      <c r="A726" s="6">
        <v>45363</v>
      </c>
      <c r="B726" s="5" t="s">
        <v>19</v>
      </c>
      <c r="C726" s="5" t="s">
        <v>36</v>
      </c>
      <c r="D726" s="5" t="s">
        <v>24</v>
      </c>
      <c r="E726" s="5" t="s">
        <v>32</v>
      </c>
      <c r="F726" s="5">
        <v>2577</v>
      </c>
      <c r="G726" s="5" t="str">
        <f>VLOOKUP(C726,Sheet2!$C$3:$D$12,2,0)</f>
        <v>Variable</v>
      </c>
      <c r="H726" s="5" t="str">
        <f>IFERROR(VLOOKUP(E726,Sheet2!$G$3:$H$8,2,0),"unkwon")</f>
        <v>offline</v>
      </c>
      <c r="I726" s="5">
        <f>VLOOKUP(B726,Sheet2!$J$4:$K$15,2,0)</f>
        <v>3</v>
      </c>
      <c r="J726" s="5">
        <f>IFERROR(VLOOKUP(C726,Sheet2!$M$4:$N$12,2,0),0)</f>
        <v>10000</v>
      </c>
      <c r="K726" s="5" t="str">
        <f t="shared" si="11"/>
        <v>within budget</v>
      </c>
    </row>
    <row r="727" spans="1:11" x14ac:dyDescent="0.3">
      <c r="A727" s="6">
        <v>45089</v>
      </c>
      <c r="B727" s="5" t="s">
        <v>39</v>
      </c>
      <c r="C727" s="5" t="s">
        <v>7</v>
      </c>
      <c r="D727" s="5" t="s">
        <v>11</v>
      </c>
      <c r="E727" s="5" t="s">
        <v>9</v>
      </c>
      <c r="F727" s="5">
        <v>4078</v>
      </c>
      <c r="G727" s="5" t="str">
        <f>VLOOKUP(C727,Sheet2!$C$3:$D$12,2,0)</f>
        <v>Fixed</v>
      </c>
      <c r="H727" s="5" t="str">
        <f>IFERROR(VLOOKUP(E727,Sheet2!$G$3:$H$8,2,0),"unkwon")</f>
        <v>online</v>
      </c>
      <c r="I727" s="5">
        <f>VLOOKUP(B727,Sheet2!$J$4:$K$15,2,0)</f>
        <v>6</v>
      </c>
      <c r="J727" s="5">
        <f>IFERROR(VLOOKUP(C727,Sheet2!$M$4:$N$12,2,0),0)</f>
        <v>2000</v>
      </c>
      <c r="K727" s="5" t="str">
        <f t="shared" si="11"/>
        <v>over budget</v>
      </c>
    </row>
    <row r="728" spans="1:11" x14ac:dyDescent="0.3">
      <c r="A728" s="6">
        <v>45612</v>
      </c>
      <c r="B728" s="5" t="s">
        <v>40</v>
      </c>
      <c r="C728" s="5" t="s">
        <v>7</v>
      </c>
      <c r="D728" s="5" t="s">
        <v>14</v>
      </c>
      <c r="E728" s="5" t="s">
        <v>17</v>
      </c>
      <c r="F728" s="5">
        <v>1999</v>
      </c>
      <c r="G728" s="5" t="str">
        <f>VLOOKUP(C728,Sheet2!$C$3:$D$12,2,0)</f>
        <v>Fixed</v>
      </c>
      <c r="H728" s="5" t="str">
        <f>IFERROR(VLOOKUP(E728,Sheet2!$G$3:$H$8,2,0),"unkwon")</f>
        <v>online</v>
      </c>
      <c r="I728" s="5">
        <f>VLOOKUP(B728,Sheet2!$J$4:$K$15,2,0)</f>
        <v>11</v>
      </c>
      <c r="J728" s="5">
        <f>IFERROR(VLOOKUP(C728,Sheet2!$M$4:$N$12,2,0),0)</f>
        <v>2000</v>
      </c>
      <c r="K728" s="5" t="str">
        <f t="shared" si="11"/>
        <v>within budget</v>
      </c>
    </row>
    <row r="729" spans="1:11" x14ac:dyDescent="0.3">
      <c r="A729" s="6">
        <v>45556</v>
      </c>
      <c r="B729" s="5" t="s">
        <v>38</v>
      </c>
      <c r="C729" s="5" t="s">
        <v>7</v>
      </c>
      <c r="D729" s="5" t="s">
        <v>14</v>
      </c>
      <c r="E729" s="5" t="s">
        <v>15</v>
      </c>
      <c r="F729" s="5">
        <v>4477</v>
      </c>
      <c r="G729" s="5" t="str">
        <f>VLOOKUP(C729,Sheet2!$C$3:$D$12,2,0)</f>
        <v>Fixed</v>
      </c>
      <c r="H729" s="5" t="str">
        <f>IFERROR(VLOOKUP(E729,Sheet2!$G$3:$H$8,2,0),"unkwon")</f>
        <v>online</v>
      </c>
      <c r="I729" s="5">
        <f>VLOOKUP(B729,Sheet2!$J$4:$K$15,2,0)</f>
        <v>9</v>
      </c>
      <c r="J729" s="5">
        <f>IFERROR(VLOOKUP(C729,Sheet2!$M$4:$N$12,2,0),0)</f>
        <v>2000</v>
      </c>
      <c r="K729" s="5" t="str">
        <f t="shared" si="11"/>
        <v>over budget</v>
      </c>
    </row>
    <row r="730" spans="1:11" x14ac:dyDescent="0.3">
      <c r="A730" s="6">
        <v>45168</v>
      </c>
      <c r="B730" s="5" t="s">
        <v>25</v>
      </c>
      <c r="C730" s="5" t="s">
        <v>13</v>
      </c>
      <c r="D730" s="5" t="s">
        <v>34</v>
      </c>
      <c r="E730" s="5" t="s">
        <v>9</v>
      </c>
      <c r="F730" s="5">
        <v>2612</v>
      </c>
      <c r="G730" s="5" t="str">
        <f>VLOOKUP(C730,Sheet2!$C$3:$D$12,2,0)</f>
        <v>Variable</v>
      </c>
      <c r="H730" s="5" t="str">
        <f>IFERROR(VLOOKUP(E730,Sheet2!$G$3:$H$8,2,0),"unkwon")</f>
        <v>online</v>
      </c>
      <c r="I730" s="5">
        <f>VLOOKUP(B730,Sheet2!$J$4:$K$15,2,0)</f>
        <v>8</v>
      </c>
      <c r="J730" s="5">
        <f>IFERROR(VLOOKUP(C730,Sheet2!$M$4:$N$12,2,0),0)</f>
        <v>5000</v>
      </c>
      <c r="K730" s="5" t="str">
        <f t="shared" si="11"/>
        <v>within budget</v>
      </c>
    </row>
    <row r="731" spans="1:11" x14ac:dyDescent="0.3">
      <c r="A731" s="6">
        <v>45266</v>
      </c>
      <c r="B731" s="5" t="s">
        <v>16</v>
      </c>
      <c r="C731" s="5" t="s">
        <v>27</v>
      </c>
      <c r="D731" s="5" t="s">
        <v>31</v>
      </c>
      <c r="E731" s="5" t="s">
        <v>15</v>
      </c>
      <c r="F731" s="5">
        <v>3815</v>
      </c>
      <c r="G731" s="5" t="str">
        <f>VLOOKUP(C731,Sheet2!$C$3:$D$12,2,0)</f>
        <v>Variable</v>
      </c>
      <c r="H731" s="5" t="str">
        <f>IFERROR(VLOOKUP(E731,Sheet2!$G$3:$H$8,2,0),"unkwon")</f>
        <v>online</v>
      </c>
      <c r="I731" s="5">
        <f>VLOOKUP(B731,Sheet2!$J$4:$K$15,2,0)</f>
        <v>12</v>
      </c>
      <c r="J731" s="5">
        <f>IFERROR(VLOOKUP(C731,Sheet2!$M$4:$N$12,2,0),0)</f>
        <v>4000</v>
      </c>
      <c r="K731" s="5" t="str">
        <f t="shared" si="11"/>
        <v>within budget</v>
      </c>
    </row>
    <row r="732" spans="1:11" x14ac:dyDescent="0.3">
      <c r="A732" s="6">
        <v>45034</v>
      </c>
      <c r="B732" s="5" t="s">
        <v>29</v>
      </c>
      <c r="C732" s="5" t="s">
        <v>27</v>
      </c>
      <c r="D732" s="5" t="s">
        <v>18</v>
      </c>
      <c r="E732" s="5" t="s">
        <v>9</v>
      </c>
      <c r="F732" s="5">
        <v>309</v>
      </c>
      <c r="G732" s="5" t="str">
        <f>VLOOKUP(C732,Sheet2!$C$3:$D$12,2,0)</f>
        <v>Variable</v>
      </c>
      <c r="H732" s="5" t="str">
        <f>IFERROR(VLOOKUP(E732,Sheet2!$G$3:$H$8,2,0),"unkwon")</f>
        <v>online</v>
      </c>
      <c r="I732" s="5">
        <f>VLOOKUP(B732,Sheet2!$J$4:$K$15,2,0)</f>
        <v>4</v>
      </c>
      <c r="J732" s="5">
        <f>IFERROR(VLOOKUP(C732,Sheet2!$M$4:$N$12,2,0),0)</f>
        <v>4000</v>
      </c>
      <c r="K732" s="5" t="str">
        <f t="shared" si="11"/>
        <v>within budget</v>
      </c>
    </row>
    <row r="733" spans="1:11" x14ac:dyDescent="0.3">
      <c r="A733" s="6">
        <v>45635</v>
      </c>
      <c r="B733" s="5" t="s">
        <v>16</v>
      </c>
      <c r="C733" s="5" t="s">
        <v>27</v>
      </c>
      <c r="D733" s="5" t="s">
        <v>14</v>
      </c>
      <c r="E733" s="5" t="s">
        <v>32</v>
      </c>
      <c r="F733" s="5">
        <v>722</v>
      </c>
      <c r="G733" s="5" t="str">
        <f>VLOOKUP(C733,Sheet2!$C$3:$D$12,2,0)</f>
        <v>Variable</v>
      </c>
      <c r="H733" s="5" t="str">
        <f>IFERROR(VLOOKUP(E733,Sheet2!$G$3:$H$8,2,0),"unkwon")</f>
        <v>offline</v>
      </c>
      <c r="I733" s="5">
        <f>VLOOKUP(B733,Sheet2!$J$4:$K$15,2,0)</f>
        <v>12</v>
      </c>
      <c r="J733" s="5">
        <f>IFERROR(VLOOKUP(C733,Sheet2!$M$4:$N$12,2,0),0)</f>
        <v>4000</v>
      </c>
      <c r="K733" s="5" t="str">
        <f t="shared" si="11"/>
        <v>within budget</v>
      </c>
    </row>
    <row r="734" spans="1:11" x14ac:dyDescent="0.3">
      <c r="A734" s="6">
        <v>45001</v>
      </c>
      <c r="B734" s="5" t="s">
        <v>19</v>
      </c>
      <c r="C734" s="5" t="s">
        <v>27</v>
      </c>
      <c r="D734" s="5" t="s">
        <v>31</v>
      </c>
      <c r="E734" s="5" t="s">
        <v>32</v>
      </c>
      <c r="F734" s="5">
        <v>2586</v>
      </c>
      <c r="G734" s="5" t="str">
        <f>VLOOKUP(C734,Sheet2!$C$3:$D$12,2,0)</f>
        <v>Variable</v>
      </c>
      <c r="H734" s="5" t="str">
        <f>IFERROR(VLOOKUP(E734,Sheet2!$G$3:$H$8,2,0),"unkwon")</f>
        <v>offline</v>
      </c>
      <c r="I734" s="5">
        <f>VLOOKUP(B734,Sheet2!$J$4:$K$15,2,0)</f>
        <v>3</v>
      </c>
      <c r="J734" s="5">
        <f>IFERROR(VLOOKUP(C734,Sheet2!$M$4:$N$12,2,0),0)</f>
        <v>4000</v>
      </c>
      <c r="K734" s="5" t="str">
        <f t="shared" si="11"/>
        <v>within budget</v>
      </c>
    </row>
    <row r="735" spans="1:11" x14ac:dyDescent="0.3">
      <c r="A735" s="6">
        <v>44943</v>
      </c>
      <c r="B735" s="5" t="s">
        <v>37</v>
      </c>
      <c r="C735" s="5" t="s">
        <v>27</v>
      </c>
      <c r="D735" s="5" t="s">
        <v>31</v>
      </c>
      <c r="E735" s="5" t="s">
        <v>32</v>
      </c>
      <c r="F735" s="5">
        <v>3638</v>
      </c>
      <c r="G735" s="5" t="str">
        <f>VLOOKUP(C735,Sheet2!$C$3:$D$12,2,0)</f>
        <v>Variable</v>
      </c>
      <c r="H735" s="5" t="str">
        <f>IFERROR(VLOOKUP(E735,Sheet2!$G$3:$H$8,2,0),"unkwon")</f>
        <v>offline</v>
      </c>
      <c r="I735" s="5">
        <f>VLOOKUP(B735,Sheet2!$J$4:$K$15,2,0)</f>
        <v>1</v>
      </c>
      <c r="J735" s="5">
        <f>IFERROR(VLOOKUP(C735,Sheet2!$M$4:$N$12,2,0),0)</f>
        <v>4000</v>
      </c>
      <c r="K735" s="5" t="str">
        <f t="shared" si="11"/>
        <v>within budget</v>
      </c>
    </row>
    <row r="736" spans="1:11" x14ac:dyDescent="0.3">
      <c r="A736" s="6">
        <v>45567</v>
      </c>
      <c r="B736" s="5" t="s">
        <v>6</v>
      </c>
      <c r="C736" s="5" t="s">
        <v>30</v>
      </c>
      <c r="D736" s="5" t="s">
        <v>23</v>
      </c>
      <c r="E736" s="5" t="s">
        <v>12</v>
      </c>
      <c r="F736" s="5">
        <v>3932</v>
      </c>
      <c r="G736" s="5" t="str">
        <f>VLOOKUP(C736,Sheet2!$C$3:$D$12,2,0)</f>
        <v>Fixed</v>
      </c>
      <c r="H736" s="5" t="str">
        <f>IFERROR(VLOOKUP(E736,Sheet2!$G$3:$H$8,2,0),"unkwon")</f>
        <v>online</v>
      </c>
      <c r="I736" s="5">
        <f>VLOOKUP(B736,Sheet2!$J$4:$K$15,2,0)</f>
        <v>10</v>
      </c>
      <c r="J736" s="5">
        <f>IFERROR(VLOOKUP(C736,Sheet2!$M$4:$N$12,2,0),0)</f>
        <v>3000</v>
      </c>
      <c r="K736" s="5" t="str">
        <f t="shared" si="11"/>
        <v>over budget</v>
      </c>
    </row>
    <row r="737" spans="1:11" x14ac:dyDescent="0.3">
      <c r="A737" s="6">
        <v>45172</v>
      </c>
      <c r="B737" s="5" t="s">
        <v>38</v>
      </c>
      <c r="C737" s="5" t="s">
        <v>35</v>
      </c>
      <c r="D737" s="5" t="s">
        <v>20</v>
      </c>
      <c r="E737" s="5" t="s">
        <v>15</v>
      </c>
      <c r="F737" s="5">
        <v>2708</v>
      </c>
      <c r="G737" s="5" t="str">
        <f>VLOOKUP(C737,Sheet2!$C$3:$D$12,2,0)</f>
        <v>Fixed</v>
      </c>
      <c r="H737" s="5" t="str">
        <f>IFERROR(VLOOKUP(E737,Sheet2!$G$3:$H$8,2,0),"unkwon")</f>
        <v>online</v>
      </c>
      <c r="I737" s="5">
        <f>VLOOKUP(B737,Sheet2!$J$4:$K$15,2,0)</f>
        <v>9</v>
      </c>
      <c r="J737" s="5">
        <f>IFERROR(VLOOKUP(C737,Sheet2!$M$4:$N$12,2,0),0)</f>
        <v>5500</v>
      </c>
      <c r="K737" s="5" t="str">
        <f t="shared" si="11"/>
        <v>within budget</v>
      </c>
    </row>
    <row r="738" spans="1:11" x14ac:dyDescent="0.3">
      <c r="A738" s="6">
        <v>45264</v>
      </c>
      <c r="B738" s="5" t="s">
        <v>16</v>
      </c>
      <c r="C738" s="5" t="s">
        <v>7</v>
      </c>
      <c r="D738" s="5" t="s">
        <v>14</v>
      </c>
      <c r="E738" s="5" t="s">
        <v>9</v>
      </c>
      <c r="F738" s="5">
        <v>2519</v>
      </c>
      <c r="G738" s="5" t="str">
        <f>VLOOKUP(C738,Sheet2!$C$3:$D$12,2,0)</f>
        <v>Fixed</v>
      </c>
      <c r="H738" s="5" t="str">
        <f>IFERROR(VLOOKUP(E738,Sheet2!$G$3:$H$8,2,0),"unkwon")</f>
        <v>online</v>
      </c>
      <c r="I738" s="5">
        <f>VLOOKUP(B738,Sheet2!$J$4:$K$15,2,0)</f>
        <v>12</v>
      </c>
      <c r="J738" s="5">
        <f>IFERROR(VLOOKUP(C738,Sheet2!$M$4:$N$12,2,0),0)</f>
        <v>2000</v>
      </c>
      <c r="K738" s="5" t="str">
        <f t="shared" si="11"/>
        <v>over budget</v>
      </c>
    </row>
    <row r="739" spans="1:11" x14ac:dyDescent="0.3">
      <c r="A739" s="6">
        <v>45641</v>
      </c>
      <c r="B739" s="5" t="s">
        <v>16</v>
      </c>
      <c r="C739" s="5" t="s">
        <v>27</v>
      </c>
      <c r="D739" s="5" t="s">
        <v>34</v>
      </c>
      <c r="E739" s="5" t="s">
        <v>9</v>
      </c>
      <c r="F739" s="5">
        <v>215</v>
      </c>
      <c r="G739" s="5" t="str">
        <f>VLOOKUP(C739,Sheet2!$C$3:$D$12,2,0)</f>
        <v>Variable</v>
      </c>
      <c r="H739" s="5" t="str">
        <f>IFERROR(VLOOKUP(E739,Sheet2!$G$3:$H$8,2,0),"unkwon")</f>
        <v>online</v>
      </c>
      <c r="I739" s="5">
        <f>VLOOKUP(B739,Sheet2!$J$4:$K$15,2,0)</f>
        <v>12</v>
      </c>
      <c r="J739" s="5">
        <f>IFERROR(VLOOKUP(C739,Sheet2!$M$4:$N$12,2,0),0)</f>
        <v>4000</v>
      </c>
      <c r="K739" s="5" t="str">
        <f t="shared" si="11"/>
        <v>within budget</v>
      </c>
    </row>
    <row r="740" spans="1:11" x14ac:dyDescent="0.3">
      <c r="A740" s="6">
        <v>45447</v>
      </c>
      <c r="B740" s="5" t="s">
        <v>39</v>
      </c>
      <c r="C740" s="5" t="s">
        <v>41</v>
      </c>
      <c r="D740" s="5" t="s">
        <v>8</v>
      </c>
      <c r="E740" s="5" t="s">
        <v>17</v>
      </c>
      <c r="F740" s="5">
        <v>3741</v>
      </c>
      <c r="G740" s="5" t="str">
        <f>VLOOKUP(C740,Sheet2!$C$3:$D$12,2,0)</f>
        <v>Variable</v>
      </c>
      <c r="H740" s="5" t="str">
        <f>IFERROR(VLOOKUP(E740,Sheet2!$G$3:$H$8,2,0),"unkwon")</f>
        <v>online</v>
      </c>
      <c r="I740" s="5">
        <f>VLOOKUP(B740,Sheet2!$J$4:$K$15,2,0)</f>
        <v>6</v>
      </c>
      <c r="J740" s="5">
        <f>IFERROR(VLOOKUP(C740,Sheet2!$M$4:$N$12,2,0),0)</f>
        <v>7000</v>
      </c>
      <c r="K740" s="5" t="str">
        <f t="shared" si="11"/>
        <v>within budget</v>
      </c>
    </row>
    <row r="741" spans="1:11" x14ac:dyDescent="0.3">
      <c r="A741" s="6">
        <v>45539</v>
      </c>
      <c r="B741" s="5" t="s">
        <v>38</v>
      </c>
      <c r="C741" s="5" t="s">
        <v>36</v>
      </c>
      <c r="D741" s="5" t="s">
        <v>31</v>
      </c>
      <c r="E741" s="5" t="s">
        <v>12</v>
      </c>
      <c r="F741" s="5">
        <v>551</v>
      </c>
      <c r="G741" s="5" t="str">
        <f>VLOOKUP(C741,Sheet2!$C$3:$D$12,2,0)</f>
        <v>Variable</v>
      </c>
      <c r="H741" s="5" t="str">
        <f>IFERROR(VLOOKUP(E741,Sheet2!$G$3:$H$8,2,0),"unkwon")</f>
        <v>online</v>
      </c>
      <c r="I741" s="5">
        <f>VLOOKUP(B741,Sheet2!$J$4:$K$15,2,0)</f>
        <v>9</v>
      </c>
      <c r="J741" s="5">
        <f>IFERROR(VLOOKUP(C741,Sheet2!$M$4:$N$12,2,0),0)</f>
        <v>10000</v>
      </c>
      <c r="K741" s="5" t="str">
        <f t="shared" si="11"/>
        <v>within budget</v>
      </c>
    </row>
    <row r="742" spans="1:11" x14ac:dyDescent="0.3">
      <c r="A742" s="6">
        <v>44943</v>
      </c>
      <c r="B742" s="5" t="s">
        <v>37</v>
      </c>
      <c r="C742" s="5" t="s">
        <v>27</v>
      </c>
      <c r="D742" s="5" t="s">
        <v>31</v>
      </c>
      <c r="E742" s="5" t="s">
        <v>32</v>
      </c>
      <c r="F742" s="5">
        <v>2516</v>
      </c>
      <c r="G742" s="5" t="str">
        <f>VLOOKUP(C742,Sheet2!$C$3:$D$12,2,0)</f>
        <v>Variable</v>
      </c>
      <c r="H742" s="5" t="str">
        <f>IFERROR(VLOOKUP(E742,Sheet2!$G$3:$H$8,2,0),"unkwon")</f>
        <v>offline</v>
      </c>
      <c r="I742" s="5">
        <f>VLOOKUP(B742,Sheet2!$J$4:$K$15,2,0)</f>
        <v>1</v>
      </c>
      <c r="J742" s="5">
        <f>IFERROR(VLOOKUP(C742,Sheet2!$M$4:$N$12,2,0),0)</f>
        <v>4000</v>
      </c>
      <c r="K742" s="5" t="str">
        <f t="shared" si="11"/>
        <v>within budget</v>
      </c>
    </row>
    <row r="743" spans="1:11" x14ac:dyDescent="0.3">
      <c r="A743" s="6">
        <v>44975</v>
      </c>
      <c r="B743" s="5" t="s">
        <v>33</v>
      </c>
      <c r="C743" s="5" t="s">
        <v>36</v>
      </c>
      <c r="D743" s="5" t="s">
        <v>20</v>
      </c>
      <c r="E743" s="5" t="s">
        <v>17</v>
      </c>
      <c r="F743" s="5">
        <v>2042</v>
      </c>
      <c r="G743" s="5" t="str">
        <f>VLOOKUP(C743,Sheet2!$C$3:$D$12,2,0)</f>
        <v>Variable</v>
      </c>
      <c r="H743" s="5" t="str">
        <f>IFERROR(VLOOKUP(E743,Sheet2!$G$3:$H$8,2,0),"unkwon")</f>
        <v>online</v>
      </c>
      <c r="I743" s="5">
        <f>VLOOKUP(B743,Sheet2!$J$4:$K$15,2,0)</f>
        <v>2</v>
      </c>
      <c r="J743" s="5">
        <f>IFERROR(VLOOKUP(C743,Sheet2!$M$4:$N$12,2,0),0)</f>
        <v>10000</v>
      </c>
      <c r="K743" s="5" t="str">
        <f t="shared" si="11"/>
        <v>within budget</v>
      </c>
    </row>
    <row r="744" spans="1:11" x14ac:dyDescent="0.3">
      <c r="A744" s="6">
        <v>45581</v>
      </c>
      <c r="B744" s="5" t="s">
        <v>6</v>
      </c>
      <c r="C744" s="5" t="s">
        <v>27</v>
      </c>
      <c r="D744" s="5" t="s">
        <v>34</v>
      </c>
      <c r="E744" s="5" t="s">
        <v>17</v>
      </c>
      <c r="F744" s="5">
        <v>4075</v>
      </c>
      <c r="G744" s="5" t="str">
        <f>VLOOKUP(C744,Sheet2!$C$3:$D$12,2,0)</f>
        <v>Variable</v>
      </c>
      <c r="H744" s="5" t="str">
        <f>IFERROR(VLOOKUP(E744,Sheet2!$G$3:$H$8,2,0),"unkwon")</f>
        <v>online</v>
      </c>
      <c r="I744" s="5">
        <f>VLOOKUP(B744,Sheet2!$J$4:$K$15,2,0)</f>
        <v>10</v>
      </c>
      <c r="J744" s="5">
        <f>IFERROR(VLOOKUP(C744,Sheet2!$M$4:$N$12,2,0),0)</f>
        <v>4000</v>
      </c>
      <c r="K744" s="5" t="str">
        <f t="shared" si="11"/>
        <v>over budget</v>
      </c>
    </row>
    <row r="745" spans="1:11" x14ac:dyDescent="0.3">
      <c r="A745" s="6">
        <v>45495</v>
      </c>
      <c r="B745" s="5" t="s">
        <v>21</v>
      </c>
      <c r="C745" s="5" t="s">
        <v>30</v>
      </c>
      <c r="D745" s="5" t="s">
        <v>18</v>
      </c>
      <c r="E745" s="5" t="s">
        <v>15</v>
      </c>
      <c r="F745" s="5">
        <v>2671</v>
      </c>
      <c r="G745" s="5" t="str">
        <f>VLOOKUP(C745,Sheet2!$C$3:$D$12,2,0)</f>
        <v>Fixed</v>
      </c>
      <c r="H745" s="5" t="str">
        <f>IFERROR(VLOOKUP(E745,Sheet2!$G$3:$H$8,2,0),"unkwon")</f>
        <v>online</v>
      </c>
      <c r="I745" s="5">
        <f>VLOOKUP(B745,Sheet2!$J$4:$K$15,2,0)</f>
        <v>7</v>
      </c>
      <c r="J745" s="5">
        <f>IFERROR(VLOOKUP(C745,Sheet2!$M$4:$N$12,2,0),0)</f>
        <v>3000</v>
      </c>
      <c r="K745" s="5" t="str">
        <f t="shared" si="11"/>
        <v>within budget</v>
      </c>
    </row>
    <row r="746" spans="1:11" x14ac:dyDescent="0.3">
      <c r="A746" s="6">
        <v>45179</v>
      </c>
      <c r="B746" s="5" t="s">
        <v>38</v>
      </c>
      <c r="C746" s="5" t="s">
        <v>13</v>
      </c>
      <c r="D746" s="5" t="s">
        <v>34</v>
      </c>
      <c r="E746" s="5" t="s">
        <v>32</v>
      </c>
      <c r="F746" s="5">
        <v>4315</v>
      </c>
      <c r="G746" s="5" t="str">
        <f>VLOOKUP(C746,Sheet2!$C$3:$D$12,2,0)</f>
        <v>Variable</v>
      </c>
      <c r="H746" s="5" t="str">
        <f>IFERROR(VLOOKUP(E746,Sheet2!$G$3:$H$8,2,0),"unkwon")</f>
        <v>offline</v>
      </c>
      <c r="I746" s="5">
        <f>VLOOKUP(B746,Sheet2!$J$4:$K$15,2,0)</f>
        <v>9</v>
      </c>
      <c r="J746" s="5">
        <f>IFERROR(VLOOKUP(C746,Sheet2!$M$4:$N$12,2,0),0)</f>
        <v>5000</v>
      </c>
      <c r="K746" s="5" t="str">
        <f t="shared" si="11"/>
        <v>within budget</v>
      </c>
    </row>
    <row r="747" spans="1:11" x14ac:dyDescent="0.3">
      <c r="A747" s="6">
        <v>45588</v>
      </c>
      <c r="B747" s="5" t="s">
        <v>6</v>
      </c>
      <c r="C747" s="5" t="s">
        <v>10</v>
      </c>
      <c r="D747" s="5" t="s">
        <v>11</v>
      </c>
      <c r="E747" s="5" t="s">
        <v>9</v>
      </c>
      <c r="F747" s="5">
        <v>4603</v>
      </c>
      <c r="G747" s="5" t="str">
        <f>VLOOKUP(C747,Sheet2!$C$3:$D$12,2,0)</f>
        <v>Variable</v>
      </c>
      <c r="H747" s="5" t="str">
        <f>IFERROR(VLOOKUP(E747,Sheet2!$G$3:$H$8,2,0),"unkwon")</f>
        <v>online</v>
      </c>
      <c r="I747" s="5">
        <f>VLOOKUP(B747,Sheet2!$J$4:$K$15,2,0)</f>
        <v>10</v>
      </c>
      <c r="J747" s="5">
        <f>IFERROR(VLOOKUP(C747,Sheet2!$M$4:$N$12,2,0),0)</f>
        <v>5000</v>
      </c>
      <c r="K747" s="5" t="str">
        <f t="shared" si="11"/>
        <v>within budget</v>
      </c>
    </row>
    <row r="748" spans="1:11" x14ac:dyDescent="0.3">
      <c r="A748" s="6">
        <v>45648</v>
      </c>
      <c r="B748" s="5" t="s">
        <v>16</v>
      </c>
      <c r="C748" s="5" t="s">
        <v>27</v>
      </c>
      <c r="D748" s="5" t="s">
        <v>11</v>
      </c>
      <c r="E748" s="5" t="s">
        <v>12</v>
      </c>
      <c r="F748" s="5">
        <v>1180</v>
      </c>
      <c r="G748" s="5" t="str">
        <f>VLOOKUP(C748,Sheet2!$C$3:$D$12,2,0)</f>
        <v>Variable</v>
      </c>
      <c r="H748" s="5" t="str">
        <f>IFERROR(VLOOKUP(E748,Sheet2!$G$3:$H$8,2,0),"unkwon")</f>
        <v>online</v>
      </c>
      <c r="I748" s="5">
        <f>VLOOKUP(B748,Sheet2!$J$4:$K$15,2,0)</f>
        <v>12</v>
      </c>
      <c r="J748" s="5">
        <f>IFERROR(VLOOKUP(C748,Sheet2!$M$4:$N$12,2,0),0)</f>
        <v>4000</v>
      </c>
      <c r="K748" s="5" t="str">
        <f t="shared" si="11"/>
        <v>within budget</v>
      </c>
    </row>
    <row r="749" spans="1:11" x14ac:dyDescent="0.3">
      <c r="A749" s="6">
        <v>45568</v>
      </c>
      <c r="B749" s="5" t="s">
        <v>6</v>
      </c>
      <c r="C749" s="5" t="s">
        <v>27</v>
      </c>
      <c r="D749" s="5" t="s">
        <v>31</v>
      </c>
      <c r="E749" s="5" t="s">
        <v>9</v>
      </c>
      <c r="F749" s="5">
        <v>274</v>
      </c>
      <c r="G749" s="5" t="str">
        <f>VLOOKUP(C749,Sheet2!$C$3:$D$12,2,0)</f>
        <v>Variable</v>
      </c>
      <c r="H749" s="5" t="str">
        <f>IFERROR(VLOOKUP(E749,Sheet2!$G$3:$H$8,2,0),"unkwon")</f>
        <v>online</v>
      </c>
      <c r="I749" s="5">
        <f>VLOOKUP(B749,Sheet2!$J$4:$K$15,2,0)</f>
        <v>10</v>
      </c>
      <c r="J749" s="5">
        <f>IFERROR(VLOOKUP(C749,Sheet2!$M$4:$N$12,2,0),0)</f>
        <v>4000</v>
      </c>
      <c r="K749" s="5" t="str">
        <f t="shared" si="11"/>
        <v>within budget</v>
      </c>
    </row>
    <row r="750" spans="1:11" x14ac:dyDescent="0.3">
      <c r="A750" s="6">
        <v>45067</v>
      </c>
      <c r="B750" s="5" t="s">
        <v>28</v>
      </c>
      <c r="C750" s="5" t="s">
        <v>27</v>
      </c>
      <c r="D750" s="5" t="s">
        <v>34</v>
      </c>
      <c r="E750" s="5" t="s">
        <v>9</v>
      </c>
      <c r="F750" s="5">
        <v>1923</v>
      </c>
      <c r="G750" s="5" t="str">
        <f>VLOOKUP(C750,Sheet2!$C$3:$D$12,2,0)</f>
        <v>Variable</v>
      </c>
      <c r="H750" s="5" t="str">
        <f>IFERROR(VLOOKUP(E750,Sheet2!$G$3:$H$8,2,0),"unkwon")</f>
        <v>online</v>
      </c>
      <c r="I750" s="5">
        <f>VLOOKUP(B750,Sheet2!$J$4:$K$15,2,0)</f>
        <v>5</v>
      </c>
      <c r="J750" s="5">
        <f>IFERROR(VLOOKUP(C750,Sheet2!$M$4:$N$12,2,0),0)</f>
        <v>4000</v>
      </c>
      <c r="K750" s="5" t="str">
        <f t="shared" si="11"/>
        <v>within budget</v>
      </c>
    </row>
    <row r="751" spans="1:11" x14ac:dyDescent="0.3">
      <c r="A751" s="6">
        <v>45554</v>
      </c>
      <c r="B751" s="5" t="s">
        <v>38</v>
      </c>
      <c r="C751" s="5" t="s">
        <v>36</v>
      </c>
      <c r="D751" s="5" t="s">
        <v>8</v>
      </c>
      <c r="E751" s="5" t="s">
        <v>17</v>
      </c>
      <c r="F751" s="5">
        <v>4161</v>
      </c>
      <c r="G751" s="5" t="str">
        <f>VLOOKUP(C751,Sheet2!$C$3:$D$12,2,0)</f>
        <v>Variable</v>
      </c>
      <c r="H751" s="5" t="str">
        <f>IFERROR(VLOOKUP(E751,Sheet2!$G$3:$H$8,2,0),"unkwon")</f>
        <v>online</v>
      </c>
      <c r="I751" s="5">
        <f>VLOOKUP(B751,Sheet2!$J$4:$K$15,2,0)</f>
        <v>9</v>
      </c>
      <c r="J751" s="5">
        <f>IFERROR(VLOOKUP(C751,Sheet2!$M$4:$N$12,2,0),0)</f>
        <v>10000</v>
      </c>
      <c r="K751" s="5" t="str">
        <f t="shared" si="11"/>
        <v>within budget</v>
      </c>
    </row>
    <row r="752" spans="1:11" x14ac:dyDescent="0.3">
      <c r="A752" s="6">
        <v>44969</v>
      </c>
      <c r="B752" s="5" t="s">
        <v>33</v>
      </c>
      <c r="C752" s="5" t="s">
        <v>35</v>
      </c>
      <c r="D752" s="5" t="s">
        <v>18</v>
      </c>
      <c r="E752" s="5" t="s">
        <v>17</v>
      </c>
      <c r="F752" s="5">
        <v>2828</v>
      </c>
      <c r="G752" s="5" t="str">
        <f>VLOOKUP(C752,Sheet2!$C$3:$D$12,2,0)</f>
        <v>Fixed</v>
      </c>
      <c r="H752" s="5" t="str">
        <f>IFERROR(VLOOKUP(E752,Sheet2!$G$3:$H$8,2,0),"unkwon")</f>
        <v>online</v>
      </c>
      <c r="I752" s="5">
        <f>VLOOKUP(B752,Sheet2!$J$4:$K$15,2,0)</f>
        <v>2</v>
      </c>
      <c r="J752" s="5">
        <f>IFERROR(VLOOKUP(C752,Sheet2!$M$4:$N$12,2,0),0)</f>
        <v>5500</v>
      </c>
      <c r="K752" s="5" t="str">
        <f t="shared" si="11"/>
        <v>within budget</v>
      </c>
    </row>
    <row r="753" spans="1:11" x14ac:dyDescent="0.3">
      <c r="A753" s="6">
        <v>44943</v>
      </c>
      <c r="B753" s="5" t="s">
        <v>37</v>
      </c>
      <c r="C753" s="5" t="s">
        <v>13</v>
      </c>
      <c r="D753" s="5" t="s">
        <v>18</v>
      </c>
      <c r="E753" s="5" t="s">
        <v>9</v>
      </c>
      <c r="F753" s="5">
        <v>1045</v>
      </c>
      <c r="G753" s="5" t="str">
        <f>VLOOKUP(C753,Sheet2!$C$3:$D$12,2,0)</f>
        <v>Variable</v>
      </c>
      <c r="H753" s="5" t="str">
        <f>IFERROR(VLOOKUP(E753,Sheet2!$G$3:$H$8,2,0),"unkwon")</f>
        <v>online</v>
      </c>
      <c r="I753" s="5">
        <f>VLOOKUP(B753,Sheet2!$J$4:$K$15,2,0)</f>
        <v>1</v>
      </c>
      <c r="J753" s="5">
        <f>IFERROR(VLOOKUP(C753,Sheet2!$M$4:$N$12,2,0),0)</f>
        <v>5000</v>
      </c>
      <c r="K753" s="5" t="str">
        <f t="shared" si="11"/>
        <v>within budget</v>
      </c>
    </row>
    <row r="754" spans="1:11" x14ac:dyDescent="0.3">
      <c r="A754" s="6">
        <v>45079</v>
      </c>
      <c r="B754" s="5" t="s">
        <v>39</v>
      </c>
      <c r="C754" s="5" t="s">
        <v>36</v>
      </c>
      <c r="D754" s="5" t="s">
        <v>23</v>
      </c>
      <c r="E754" s="5" t="s">
        <v>32</v>
      </c>
      <c r="F754" s="5">
        <v>2236</v>
      </c>
      <c r="G754" s="5" t="str">
        <f>VLOOKUP(C754,Sheet2!$C$3:$D$12,2,0)</f>
        <v>Variable</v>
      </c>
      <c r="H754" s="5" t="str">
        <f>IFERROR(VLOOKUP(E754,Sheet2!$G$3:$H$8,2,0),"unkwon")</f>
        <v>offline</v>
      </c>
      <c r="I754" s="5">
        <f>VLOOKUP(B754,Sheet2!$J$4:$K$15,2,0)</f>
        <v>6</v>
      </c>
      <c r="J754" s="5">
        <f>IFERROR(VLOOKUP(C754,Sheet2!$M$4:$N$12,2,0),0)</f>
        <v>10000</v>
      </c>
      <c r="K754" s="5" t="str">
        <f t="shared" si="11"/>
        <v>within budget</v>
      </c>
    </row>
    <row r="755" spans="1:11" x14ac:dyDescent="0.3">
      <c r="A755" s="6">
        <v>45380</v>
      </c>
      <c r="B755" s="5" t="s">
        <v>19</v>
      </c>
      <c r="C755" s="5" t="s">
        <v>10</v>
      </c>
      <c r="D755" s="5" t="s">
        <v>18</v>
      </c>
      <c r="E755" s="5" t="s">
        <v>32</v>
      </c>
      <c r="F755" s="5">
        <v>3653</v>
      </c>
      <c r="G755" s="5" t="str">
        <f>VLOOKUP(C755,Sheet2!$C$3:$D$12,2,0)</f>
        <v>Variable</v>
      </c>
      <c r="H755" s="5" t="str">
        <f>IFERROR(VLOOKUP(E755,Sheet2!$G$3:$H$8,2,0),"unkwon")</f>
        <v>offline</v>
      </c>
      <c r="I755" s="5">
        <f>VLOOKUP(B755,Sheet2!$J$4:$K$15,2,0)</f>
        <v>3</v>
      </c>
      <c r="J755" s="5">
        <f>IFERROR(VLOOKUP(C755,Sheet2!$M$4:$N$12,2,0),0)</f>
        <v>5000</v>
      </c>
      <c r="K755" s="5" t="str">
        <f t="shared" si="11"/>
        <v>within budget</v>
      </c>
    </row>
    <row r="756" spans="1:11" x14ac:dyDescent="0.3">
      <c r="A756" s="6">
        <v>45240</v>
      </c>
      <c r="B756" s="5" t="s">
        <v>40</v>
      </c>
      <c r="C756" s="5" t="s">
        <v>7</v>
      </c>
      <c r="D756" s="5" t="s">
        <v>26</v>
      </c>
      <c r="E756" s="5" t="s">
        <v>9</v>
      </c>
      <c r="F756" s="5">
        <v>2164</v>
      </c>
      <c r="G756" s="5" t="str">
        <f>VLOOKUP(C756,Sheet2!$C$3:$D$12,2,0)</f>
        <v>Fixed</v>
      </c>
      <c r="H756" s="5" t="str">
        <f>IFERROR(VLOOKUP(E756,Sheet2!$G$3:$H$8,2,0),"unkwon")</f>
        <v>online</v>
      </c>
      <c r="I756" s="5">
        <f>VLOOKUP(B756,Sheet2!$J$4:$K$15,2,0)</f>
        <v>11</v>
      </c>
      <c r="J756" s="5">
        <f>IFERROR(VLOOKUP(C756,Sheet2!$M$4:$N$12,2,0),0)</f>
        <v>2000</v>
      </c>
      <c r="K756" s="5" t="str">
        <f t="shared" si="11"/>
        <v>over budget</v>
      </c>
    </row>
    <row r="757" spans="1:11" x14ac:dyDescent="0.3">
      <c r="A757" s="6">
        <v>45452</v>
      </c>
      <c r="B757" s="5" t="s">
        <v>39</v>
      </c>
      <c r="C757" s="5" t="s">
        <v>41</v>
      </c>
      <c r="D757" s="5" t="s">
        <v>26</v>
      </c>
      <c r="E757" s="5" t="s">
        <v>32</v>
      </c>
      <c r="F757" s="5">
        <v>2582</v>
      </c>
      <c r="G757" s="5" t="str">
        <f>VLOOKUP(C757,Sheet2!$C$3:$D$12,2,0)</f>
        <v>Variable</v>
      </c>
      <c r="H757" s="5" t="str">
        <f>IFERROR(VLOOKUP(E757,Sheet2!$G$3:$H$8,2,0),"unkwon")</f>
        <v>offline</v>
      </c>
      <c r="I757" s="5">
        <f>VLOOKUP(B757,Sheet2!$J$4:$K$15,2,0)</f>
        <v>6</v>
      </c>
      <c r="J757" s="5">
        <f>IFERROR(VLOOKUP(C757,Sheet2!$M$4:$N$12,2,0),0)</f>
        <v>7000</v>
      </c>
      <c r="K757" s="5" t="str">
        <f t="shared" si="11"/>
        <v>within budget</v>
      </c>
    </row>
    <row r="758" spans="1:11" x14ac:dyDescent="0.3">
      <c r="A758" s="6">
        <v>45193</v>
      </c>
      <c r="B758" s="5" t="s">
        <v>38</v>
      </c>
      <c r="C758" s="5" t="s">
        <v>13</v>
      </c>
      <c r="D758" s="5" t="s">
        <v>24</v>
      </c>
      <c r="E758" s="5" t="s">
        <v>15</v>
      </c>
      <c r="F758" s="5">
        <v>3252</v>
      </c>
      <c r="G758" s="5" t="str">
        <f>VLOOKUP(C758,Sheet2!$C$3:$D$12,2,0)</f>
        <v>Variable</v>
      </c>
      <c r="H758" s="5" t="str">
        <f>IFERROR(VLOOKUP(E758,Sheet2!$G$3:$H$8,2,0),"unkwon")</f>
        <v>online</v>
      </c>
      <c r="I758" s="5">
        <f>VLOOKUP(B758,Sheet2!$J$4:$K$15,2,0)</f>
        <v>9</v>
      </c>
      <c r="J758" s="5">
        <f>IFERROR(VLOOKUP(C758,Sheet2!$M$4:$N$12,2,0),0)</f>
        <v>5000</v>
      </c>
      <c r="K758" s="5" t="str">
        <f t="shared" si="11"/>
        <v>within budget</v>
      </c>
    </row>
    <row r="759" spans="1:11" x14ac:dyDescent="0.3">
      <c r="A759" s="6">
        <v>45642</v>
      </c>
      <c r="B759" s="5" t="s">
        <v>16</v>
      </c>
      <c r="C759" s="5" t="s">
        <v>7</v>
      </c>
      <c r="D759" s="5" t="s">
        <v>20</v>
      </c>
      <c r="E759" s="5" t="s">
        <v>15</v>
      </c>
      <c r="F759" s="5">
        <v>461</v>
      </c>
      <c r="G759" s="5" t="str">
        <f>VLOOKUP(C759,Sheet2!$C$3:$D$12,2,0)</f>
        <v>Fixed</v>
      </c>
      <c r="H759" s="5" t="str">
        <f>IFERROR(VLOOKUP(E759,Sheet2!$G$3:$H$8,2,0),"unkwon")</f>
        <v>online</v>
      </c>
      <c r="I759" s="5">
        <f>VLOOKUP(B759,Sheet2!$J$4:$K$15,2,0)</f>
        <v>12</v>
      </c>
      <c r="J759" s="5">
        <f>IFERROR(VLOOKUP(C759,Sheet2!$M$4:$N$12,2,0),0)</f>
        <v>2000</v>
      </c>
      <c r="K759" s="5" t="str">
        <f t="shared" si="11"/>
        <v>within budget</v>
      </c>
    </row>
    <row r="760" spans="1:11" x14ac:dyDescent="0.3">
      <c r="A760" s="6">
        <v>45073</v>
      </c>
      <c r="B760" s="5" t="s">
        <v>28</v>
      </c>
      <c r="C760" s="5" t="s">
        <v>13</v>
      </c>
      <c r="D760" s="5" t="s">
        <v>14</v>
      </c>
      <c r="E760" s="5" t="s">
        <v>17</v>
      </c>
      <c r="F760" s="5">
        <v>4306</v>
      </c>
      <c r="G760" s="5" t="str">
        <f>VLOOKUP(C760,Sheet2!$C$3:$D$12,2,0)</f>
        <v>Variable</v>
      </c>
      <c r="H760" s="5" t="str">
        <f>IFERROR(VLOOKUP(E760,Sheet2!$G$3:$H$8,2,0),"unkwon")</f>
        <v>online</v>
      </c>
      <c r="I760" s="5">
        <f>VLOOKUP(B760,Sheet2!$J$4:$K$15,2,0)</f>
        <v>5</v>
      </c>
      <c r="J760" s="5">
        <f>IFERROR(VLOOKUP(C760,Sheet2!$M$4:$N$12,2,0),0)</f>
        <v>5000</v>
      </c>
      <c r="K760" s="5" t="str">
        <f t="shared" si="11"/>
        <v>within budget</v>
      </c>
    </row>
    <row r="761" spans="1:11" x14ac:dyDescent="0.3">
      <c r="A761" s="6">
        <v>45468</v>
      </c>
      <c r="B761" s="5" t="s">
        <v>39</v>
      </c>
      <c r="C761" s="5" t="s">
        <v>22</v>
      </c>
      <c r="D761" s="5" t="s">
        <v>31</v>
      </c>
      <c r="E761" s="5" t="s">
        <v>9</v>
      </c>
      <c r="F761" s="5">
        <v>3107</v>
      </c>
      <c r="G761" s="5" t="str">
        <f>VLOOKUP(C761,Sheet2!$C$3:$D$12,2,0)</f>
        <v>Variable</v>
      </c>
      <c r="H761" s="5" t="str">
        <f>IFERROR(VLOOKUP(E761,Sheet2!$G$3:$H$8,2,0),"unkwon")</f>
        <v>online</v>
      </c>
      <c r="I761" s="5">
        <f>VLOOKUP(B761,Sheet2!$J$4:$K$15,2,0)</f>
        <v>6</v>
      </c>
      <c r="J761" s="5">
        <f>IFERROR(VLOOKUP(C761,Sheet2!$M$4:$N$12,2,0),0)</f>
        <v>1000</v>
      </c>
      <c r="K761" s="5" t="str">
        <f t="shared" si="11"/>
        <v>over budget</v>
      </c>
    </row>
    <row r="762" spans="1:11" x14ac:dyDescent="0.3">
      <c r="A762" s="6">
        <v>45168</v>
      </c>
      <c r="B762" s="5" t="s">
        <v>25</v>
      </c>
      <c r="C762" s="5" t="s">
        <v>41</v>
      </c>
      <c r="D762" s="5" t="s">
        <v>34</v>
      </c>
      <c r="E762" s="5" t="s">
        <v>9</v>
      </c>
      <c r="F762" s="5">
        <v>1688</v>
      </c>
      <c r="G762" s="5" t="str">
        <f>VLOOKUP(C762,Sheet2!$C$3:$D$12,2,0)</f>
        <v>Variable</v>
      </c>
      <c r="H762" s="5" t="str">
        <f>IFERROR(VLOOKUP(E762,Sheet2!$G$3:$H$8,2,0),"unkwon")</f>
        <v>online</v>
      </c>
      <c r="I762" s="5">
        <f>VLOOKUP(B762,Sheet2!$J$4:$K$15,2,0)</f>
        <v>8</v>
      </c>
      <c r="J762" s="5">
        <f>IFERROR(VLOOKUP(C762,Sheet2!$M$4:$N$12,2,0),0)</f>
        <v>7000</v>
      </c>
      <c r="K762" s="5" t="str">
        <f t="shared" si="11"/>
        <v>within budget</v>
      </c>
    </row>
    <row r="763" spans="1:11" x14ac:dyDescent="0.3">
      <c r="A763" s="6">
        <v>45298</v>
      </c>
      <c r="B763" s="5" t="s">
        <v>37</v>
      </c>
      <c r="C763" s="5" t="s">
        <v>7</v>
      </c>
      <c r="D763" s="5" t="s">
        <v>23</v>
      </c>
      <c r="E763" s="5" t="s">
        <v>15</v>
      </c>
      <c r="F763" s="5">
        <v>2474</v>
      </c>
      <c r="G763" s="5" t="str">
        <f>VLOOKUP(C763,Sheet2!$C$3:$D$12,2,0)</f>
        <v>Fixed</v>
      </c>
      <c r="H763" s="5" t="str">
        <f>IFERROR(VLOOKUP(E763,Sheet2!$G$3:$H$8,2,0),"unkwon")</f>
        <v>online</v>
      </c>
      <c r="I763" s="5">
        <f>VLOOKUP(B763,Sheet2!$J$4:$K$15,2,0)</f>
        <v>1</v>
      </c>
      <c r="J763" s="5">
        <f>IFERROR(VLOOKUP(C763,Sheet2!$M$4:$N$12,2,0),0)</f>
        <v>2000</v>
      </c>
      <c r="K763" s="5" t="str">
        <f t="shared" si="11"/>
        <v>over budget</v>
      </c>
    </row>
    <row r="764" spans="1:11" x14ac:dyDescent="0.3">
      <c r="A764" s="6">
        <v>45279</v>
      </c>
      <c r="B764" s="5" t="s">
        <v>16</v>
      </c>
      <c r="C764" s="5" t="s">
        <v>30</v>
      </c>
      <c r="D764" s="5" t="s">
        <v>18</v>
      </c>
      <c r="E764" s="5" t="s">
        <v>15</v>
      </c>
      <c r="F764" s="5">
        <v>455</v>
      </c>
      <c r="G764" s="5" t="str">
        <f>VLOOKUP(C764,Sheet2!$C$3:$D$12,2,0)</f>
        <v>Fixed</v>
      </c>
      <c r="H764" s="5" t="str">
        <f>IFERROR(VLOOKUP(E764,Sheet2!$G$3:$H$8,2,0),"unkwon")</f>
        <v>online</v>
      </c>
      <c r="I764" s="5">
        <f>VLOOKUP(B764,Sheet2!$J$4:$K$15,2,0)</f>
        <v>12</v>
      </c>
      <c r="J764" s="5">
        <f>IFERROR(VLOOKUP(C764,Sheet2!$M$4:$N$12,2,0),0)</f>
        <v>3000</v>
      </c>
      <c r="K764" s="5" t="str">
        <f t="shared" si="11"/>
        <v>within budget</v>
      </c>
    </row>
    <row r="765" spans="1:11" x14ac:dyDescent="0.3">
      <c r="A765" s="6">
        <v>45501</v>
      </c>
      <c r="B765" s="5" t="s">
        <v>21</v>
      </c>
      <c r="C765" s="5" t="s">
        <v>41</v>
      </c>
      <c r="D765" s="5" t="s">
        <v>14</v>
      </c>
      <c r="E765" s="5" t="s">
        <v>17</v>
      </c>
      <c r="F765" s="5">
        <v>1514</v>
      </c>
      <c r="G765" s="5" t="str">
        <f>VLOOKUP(C765,Sheet2!$C$3:$D$12,2,0)</f>
        <v>Variable</v>
      </c>
      <c r="H765" s="5" t="str">
        <f>IFERROR(VLOOKUP(E765,Sheet2!$G$3:$H$8,2,0),"unkwon")</f>
        <v>online</v>
      </c>
      <c r="I765" s="5">
        <f>VLOOKUP(B765,Sheet2!$J$4:$K$15,2,0)</f>
        <v>7</v>
      </c>
      <c r="J765" s="5">
        <f>IFERROR(VLOOKUP(C765,Sheet2!$M$4:$N$12,2,0),0)</f>
        <v>7000</v>
      </c>
      <c r="K765" s="5" t="str">
        <f t="shared" si="11"/>
        <v>within budget</v>
      </c>
    </row>
    <row r="766" spans="1:11" x14ac:dyDescent="0.3">
      <c r="A766" s="6">
        <v>45085</v>
      </c>
      <c r="B766" s="5" t="s">
        <v>39</v>
      </c>
      <c r="C766" s="5" t="s">
        <v>35</v>
      </c>
      <c r="D766" s="5" t="s">
        <v>18</v>
      </c>
      <c r="E766" s="5" t="s">
        <v>17</v>
      </c>
      <c r="F766" s="5">
        <v>3976</v>
      </c>
      <c r="G766" s="5" t="str">
        <f>VLOOKUP(C766,Sheet2!$C$3:$D$12,2,0)</f>
        <v>Fixed</v>
      </c>
      <c r="H766" s="5" t="str">
        <f>IFERROR(VLOOKUP(E766,Sheet2!$G$3:$H$8,2,0),"unkwon")</f>
        <v>online</v>
      </c>
      <c r="I766" s="5">
        <f>VLOOKUP(B766,Sheet2!$J$4:$K$15,2,0)</f>
        <v>6</v>
      </c>
      <c r="J766" s="5">
        <f>IFERROR(VLOOKUP(C766,Sheet2!$M$4:$N$12,2,0),0)</f>
        <v>5500</v>
      </c>
      <c r="K766" s="5" t="str">
        <f t="shared" si="11"/>
        <v>within budget</v>
      </c>
    </row>
    <row r="767" spans="1:11" x14ac:dyDescent="0.3">
      <c r="A767" s="6">
        <v>45501</v>
      </c>
      <c r="B767" s="5" t="s">
        <v>21</v>
      </c>
      <c r="C767" s="5" t="s">
        <v>7</v>
      </c>
      <c r="D767" s="5" t="s">
        <v>26</v>
      </c>
      <c r="E767" s="5" t="s">
        <v>12</v>
      </c>
      <c r="F767" s="5">
        <v>3959</v>
      </c>
      <c r="G767" s="5" t="str">
        <f>VLOOKUP(C767,Sheet2!$C$3:$D$12,2,0)</f>
        <v>Fixed</v>
      </c>
      <c r="H767" s="5" t="str">
        <f>IFERROR(VLOOKUP(E767,Sheet2!$G$3:$H$8,2,0),"unkwon")</f>
        <v>online</v>
      </c>
      <c r="I767" s="5">
        <f>VLOOKUP(B767,Sheet2!$J$4:$K$15,2,0)</f>
        <v>7</v>
      </c>
      <c r="J767" s="5">
        <f>IFERROR(VLOOKUP(C767,Sheet2!$M$4:$N$12,2,0),0)</f>
        <v>2000</v>
      </c>
      <c r="K767" s="5" t="str">
        <f t="shared" si="11"/>
        <v>over budget</v>
      </c>
    </row>
    <row r="768" spans="1:11" x14ac:dyDescent="0.3">
      <c r="A768" s="6">
        <v>45232</v>
      </c>
      <c r="B768" s="5" t="s">
        <v>40</v>
      </c>
      <c r="C768" s="5" t="s">
        <v>27</v>
      </c>
      <c r="D768" s="5" t="s">
        <v>18</v>
      </c>
      <c r="E768" s="5" t="s">
        <v>17</v>
      </c>
      <c r="F768" s="5">
        <v>4083</v>
      </c>
      <c r="G768" s="5" t="str">
        <f>VLOOKUP(C768,Sheet2!$C$3:$D$12,2,0)</f>
        <v>Variable</v>
      </c>
      <c r="H768" s="5" t="str">
        <f>IFERROR(VLOOKUP(E768,Sheet2!$G$3:$H$8,2,0),"unkwon")</f>
        <v>online</v>
      </c>
      <c r="I768" s="5">
        <f>VLOOKUP(B768,Sheet2!$J$4:$K$15,2,0)</f>
        <v>11</v>
      </c>
      <c r="J768" s="5">
        <f>IFERROR(VLOOKUP(C768,Sheet2!$M$4:$N$12,2,0),0)</f>
        <v>4000</v>
      </c>
      <c r="K768" s="5" t="str">
        <f t="shared" si="11"/>
        <v>over budget</v>
      </c>
    </row>
    <row r="769" spans="1:11" x14ac:dyDescent="0.3">
      <c r="A769" s="6">
        <v>45395</v>
      </c>
      <c r="B769" s="5" t="s">
        <v>29</v>
      </c>
      <c r="C769" s="5" t="s">
        <v>35</v>
      </c>
      <c r="D769" s="5" t="s">
        <v>23</v>
      </c>
      <c r="E769" s="5" t="s">
        <v>15</v>
      </c>
      <c r="F769" s="5">
        <v>1111</v>
      </c>
      <c r="G769" s="5" t="str">
        <f>VLOOKUP(C769,Sheet2!$C$3:$D$12,2,0)</f>
        <v>Fixed</v>
      </c>
      <c r="H769" s="5" t="str">
        <f>IFERROR(VLOOKUP(E769,Sheet2!$G$3:$H$8,2,0),"unkwon")</f>
        <v>online</v>
      </c>
      <c r="I769" s="5">
        <f>VLOOKUP(B769,Sheet2!$J$4:$K$15,2,0)</f>
        <v>4</v>
      </c>
      <c r="J769" s="5">
        <f>IFERROR(VLOOKUP(C769,Sheet2!$M$4:$N$12,2,0),0)</f>
        <v>5500</v>
      </c>
      <c r="K769" s="5" t="str">
        <f t="shared" si="11"/>
        <v>within budget</v>
      </c>
    </row>
    <row r="770" spans="1:11" x14ac:dyDescent="0.3">
      <c r="A770" s="6">
        <v>45392</v>
      </c>
      <c r="B770" s="5" t="s">
        <v>29</v>
      </c>
      <c r="C770" s="5" t="s">
        <v>13</v>
      </c>
      <c r="D770" s="5" t="s">
        <v>8</v>
      </c>
      <c r="E770" s="5" t="s">
        <v>17</v>
      </c>
      <c r="F770" s="5">
        <v>2781</v>
      </c>
      <c r="G770" s="5" t="str">
        <f>VLOOKUP(C770,Sheet2!$C$3:$D$12,2,0)</f>
        <v>Variable</v>
      </c>
      <c r="H770" s="5" t="str">
        <f>IFERROR(VLOOKUP(E770,Sheet2!$G$3:$H$8,2,0),"unkwon")</f>
        <v>online</v>
      </c>
      <c r="I770" s="5">
        <f>VLOOKUP(B770,Sheet2!$J$4:$K$15,2,0)</f>
        <v>4</v>
      </c>
      <c r="J770" s="5">
        <f>IFERROR(VLOOKUP(C770,Sheet2!$M$4:$N$12,2,0),0)</f>
        <v>5000</v>
      </c>
      <c r="K770" s="5" t="str">
        <f t="shared" si="11"/>
        <v>within budget</v>
      </c>
    </row>
    <row r="771" spans="1:11" x14ac:dyDescent="0.3">
      <c r="A771" s="6">
        <v>45038</v>
      </c>
      <c r="B771" s="5" t="s">
        <v>29</v>
      </c>
      <c r="C771" s="5" t="s">
        <v>30</v>
      </c>
      <c r="D771" s="5" t="s">
        <v>11</v>
      </c>
      <c r="E771" s="5" t="s">
        <v>15</v>
      </c>
      <c r="F771" s="5">
        <v>2273</v>
      </c>
      <c r="G771" s="5" t="str">
        <f>VLOOKUP(C771,Sheet2!$C$3:$D$12,2,0)</f>
        <v>Fixed</v>
      </c>
      <c r="H771" s="5" t="str">
        <f>IFERROR(VLOOKUP(E771,Sheet2!$G$3:$H$8,2,0),"unkwon")</f>
        <v>online</v>
      </c>
      <c r="I771" s="5">
        <f>VLOOKUP(B771,Sheet2!$J$4:$K$15,2,0)</f>
        <v>4</v>
      </c>
      <c r="J771" s="5">
        <f>IFERROR(VLOOKUP(C771,Sheet2!$M$4:$N$12,2,0),0)</f>
        <v>3000</v>
      </c>
      <c r="K771" s="5" t="str">
        <f t="shared" ref="K771:K834" si="12">IF(F771&gt;J771,"over budget","within budget")</f>
        <v>within budget</v>
      </c>
    </row>
    <row r="772" spans="1:11" x14ac:dyDescent="0.3">
      <c r="A772" s="6">
        <v>45331</v>
      </c>
      <c r="B772" s="5" t="s">
        <v>33</v>
      </c>
      <c r="C772" s="5" t="s">
        <v>22</v>
      </c>
      <c r="D772" s="5" t="s">
        <v>34</v>
      </c>
      <c r="E772" s="5" t="s">
        <v>32</v>
      </c>
      <c r="F772" s="5">
        <v>2239</v>
      </c>
      <c r="G772" s="5" t="str">
        <f>VLOOKUP(C772,Sheet2!$C$3:$D$12,2,0)</f>
        <v>Variable</v>
      </c>
      <c r="H772" s="5" t="str">
        <f>IFERROR(VLOOKUP(E772,Sheet2!$G$3:$H$8,2,0),"unkwon")</f>
        <v>offline</v>
      </c>
      <c r="I772" s="5">
        <f>VLOOKUP(B772,Sheet2!$J$4:$K$15,2,0)</f>
        <v>2</v>
      </c>
      <c r="J772" s="5">
        <f>IFERROR(VLOOKUP(C772,Sheet2!$M$4:$N$12,2,0),0)</f>
        <v>1000</v>
      </c>
      <c r="K772" s="5" t="str">
        <f t="shared" si="12"/>
        <v>over budget</v>
      </c>
    </row>
    <row r="773" spans="1:11" x14ac:dyDescent="0.3">
      <c r="A773" s="6">
        <v>45443</v>
      </c>
      <c r="B773" s="5" t="s">
        <v>28</v>
      </c>
      <c r="C773" s="5" t="s">
        <v>7</v>
      </c>
      <c r="D773" s="5" t="s">
        <v>26</v>
      </c>
      <c r="E773" s="5" t="s">
        <v>9</v>
      </c>
      <c r="F773" s="5">
        <v>2285</v>
      </c>
      <c r="G773" s="5" t="str">
        <f>VLOOKUP(C773,Sheet2!$C$3:$D$12,2,0)</f>
        <v>Fixed</v>
      </c>
      <c r="H773" s="5" t="str">
        <f>IFERROR(VLOOKUP(E773,Sheet2!$G$3:$H$8,2,0),"unkwon")</f>
        <v>online</v>
      </c>
      <c r="I773" s="5">
        <f>VLOOKUP(B773,Sheet2!$J$4:$K$15,2,0)</f>
        <v>5</v>
      </c>
      <c r="J773" s="5">
        <f>IFERROR(VLOOKUP(C773,Sheet2!$M$4:$N$12,2,0),0)</f>
        <v>2000</v>
      </c>
      <c r="K773" s="5" t="str">
        <f t="shared" si="12"/>
        <v>over budget</v>
      </c>
    </row>
    <row r="774" spans="1:11" x14ac:dyDescent="0.3">
      <c r="A774" s="6">
        <v>45541</v>
      </c>
      <c r="B774" s="5" t="s">
        <v>38</v>
      </c>
      <c r="C774" s="5" t="s">
        <v>7</v>
      </c>
      <c r="D774" s="5" t="s">
        <v>23</v>
      </c>
      <c r="E774" s="5" t="s">
        <v>17</v>
      </c>
      <c r="F774" s="5">
        <v>4171</v>
      </c>
      <c r="G774" s="5" t="str">
        <f>VLOOKUP(C774,Sheet2!$C$3:$D$12,2,0)</f>
        <v>Fixed</v>
      </c>
      <c r="H774" s="5" t="str">
        <f>IFERROR(VLOOKUP(E774,Sheet2!$G$3:$H$8,2,0),"unkwon")</f>
        <v>online</v>
      </c>
      <c r="I774" s="5">
        <f>VLOOKUP(B774,Sheet2!$J$4:$K$15,2,0)</f>
        <v>9</v>
      </c>
      <c r="J774" s="5">
        <f>IFERROR(VLOOKUP(C774,Sheet2!$M$4:$N$12,2,0),0)</f>
        <v>2000</v>
      </c>
      <c r="K774" s="5" t="str">
        <f t="shared" si="12"/>
        <v>over budget</v>
      </c>
    </row>
    <row r="775" spans="1:11" x14ac:dyDescent="0.3">
      <c r="A775" s="6">
        <v>45411</v>
      </c>
      <c r="B775" s="5" t="s">
        <v>29</v>
      </c>
      <c r="C775" s="5" t="s">
        <v>13</v>
      </c>
      <c r="D775" s="5" t="s">
        <v>24</v>
      </c>
      <c r="E775" s="5" t="s">
        <v>15</v>
      </c>
      <c r="F775" s="5">
        <v>4761</v>
      </c>
      <c r="G775" s="5" t="str">
        <f>VLOOKUP(C775,Sheet2!$C$3:$D$12,2,0)</f>
        <v>Variable</v>
      </c>
      <c r="H775" s="5" t="str">
        <f>IFERROR(VLOOKUP(E775,Sheet2!$G$3:$H$8,2,0),"unkwon")</f>
        <v>online</v>
      </c>
      <c r="I775" s="5">
        <f>VLOOKUP(B775,Sheet2!$J$4:$K$15,2,0)</f>
        <v>4</v>
      </c>
      <c r="J775" s="5">
        <f>IFERROR(VLOOKUP(C775,Sheet2!$M$4:$N$12,2,0),0)</f>
        <v>5000</v>
      </c>
      <c r="K775" s="5" t="str">
        <f t="shared" si="12"/>
        <v>within budget</v>
      </c>
    </row>
    <row r="776" spans="1:11" x14ac:dyDescent="0.3">
      <c r="A776" s="6">
        <v>45219</v>
      </c>
      <c r="B776" s="5" t="s">
        <v>6</v>
      </c>
      <c r="C776" s="5" t="s">
        <v>30</v>
      </c>
      <c r="D776" s="5" t="s">
        <v>8</v>
      </c>
      <c r="E776" s="5" t="s">
        <v>15</v>
      </c>
      <c r="F776" s="5">
        <v>1996</v>
      </c>
      <c r="G776" s="5" t="str">
        <f>VLOOKUP(C776,Sheet2!$C$3:$D$12,2,0)</f>
        <v>Fixed</v>
      </c>
      <c r="H776" s="5" t="str">
        <f>IFERROR(VLOOKUP(E776,Sheet2!$G$3:$H$8,2,0),"unkwon")</f>
        <v>online</v>
      </c>
      <c r="I776" s="5">
        <f>VLOOKUP(B776,Sheet2!$J$4:$K$15,2,0)</f>
        <v>10</v>
      </c>
      <c r="J776" s="5">
        <f>IFERROR(VLOOKUP(C776,Sheet2!$M$4:$N$12,2,0),0)</f>
        <v>3000</v>
      </c>
      <c r="K776" s="5" t="str">
        <f t="shared" si="12"/>
        <v>within budget</v>
      </c>
    </row>
    <row r="777" spans="1:11" x14ac:dyDescent="0.3">
      <c r="A777" s="6">
        <v>45493</v>
      </c>
      <c r="B777" s="5" t="s">
        <v>21</v>
      </c>
      <c r="C777" s="5" t="s">
        <v>36</v>
      </c>
      <c r="D777" s="5" t="s">
        <v>26</v>
      </c>
      <c r="E777" s="5" t="s">
        <v>32</v>
      </c>
      <c r="F777" s="5">
        <v>792</v>
      </c>
      <c r="G777" s="5" t="str">
        <f>VLOOKUP(C777,Sheet2!$C$3:$D$12,2,0)</f>
        <v>Variable</v>
      </c>
      <c r="H777" s="5" t="str">
        <f>IFERROR(VLOOKUP(E777,Sheet2!$G$3:$H$8,2,0),"unkwon")</f>
        <v>offline</v>
      </c>
      <c r="I777" s="5">
        <f>VLOOKUP(B777,Sheet2!$J$4:$K$15,2,0)</f>
        <v>7</v>
      </c>
      <c r="J777" s="5">
        <f>IFERROR(VLOOKUP(C777,Sheet2!$M$4:$N$12,2,0),0)</f>
        <v>10000</v>
      </c>
      <c r="K777" s="5" t="str">
        <f t="shared" si="12"/>
        <v>within budget</v>
      </c>
    </row>
    <row r="778" spans="1:11" x14ac:dyDescent="0.3">
      <c r="A778" s="6">
        <v>45324</v>
      </c>
      <c r="B778" s="5" t="s">
        <v>33</v>
      </c>
      <c r="C778" s="5" t="s">
        <v>35</v>
      </c>
      <c r="D778" s="5" t="s">
        <v>18</v>
      </c>
      <c r="E778" s="5" t="s">
        <v>12</v>
      </c>
      <c r="F778" s="5">
        <v>3369</v>
      </c>
      <c r="G778" s="5" t="str">
        <f>VLOOKUP(C778,Sheet2!$C$3:$D$12,2,0)</f>
        <v>Fixed</v>
      </c>
      <c r="H778" s="5" t="str">
        <f>IFERROR(VLOOKUP(E778,Sheet2!$G$3:$H$8,2,0),"unkwon")</f>
        <v>online</v>
      </c>
      <c r="I778" s="5">
        <f>VLOOKUP(B778,Sheet2!$J$4:$K$15,2,0)</f>
        <v>2</v>
      </c>
      <c r="J778" s="5">
        <f>IFERROR(VLOOKUP(C778,Sheet2!$M$4:$N$12,2,0),0)</f>
        <v>5500</v>
      </c>
      <c r="K778" s="5" t="str">
        <f t="shared" si="12"/>
        <v>within budget</v>
      </c>
    </row>
    <row r="779" spans="1:11" x14ac:dyDescent="0.3">
      <c r="A779" s="6">
        <v>45047</v>
      </c>
      <c r="B779" s="5" t="s">
        <v>28</v>
      </c>
      <c r="C779" s="5" t="s">
        <v>22</v>
      </c>
      <c r="D779" s="5" t="s">
        <v>34</v>
      </c>
      <c r="E779" s="5" t="s">
        <v>17</v>
      </c>
      <c r="F779" s="5">
        <v>2688</v>
      </c>
      <c r="G779" s="5" t="str">
        <f>VLOOKUP(C779,Sheet2!$C$3:$D$12,2,0)</f>
        <v>Variable</v>
      </c>
      <c r="H779" s="5" t="str">
        <f>IFERROR(VLOOKUP(E779,Sheet2!$G$3:$H$8,2,0),"unkwon")</f>
        <v>online</v>
      </c>
      <c r="I779" s="5">
        <f>VLOOKUP(B779,Sheet2!$J$4:$K$15,2,0)</f>
        <v>5</v>
      </c>
      <c r="J779" s="5">
        <f>IFERROR(VLOOKUP(C779,Sheet2!$M$4:$N$12,2,0),0)</f>
        <v>1000</v>
      </c>
      <c r="K779" s="5" t="str">
        <f t="shared" si="12"/>
        <v>over budget</v>
      </c>
    </row>
    <row r="780" spans="1:11" x14ac:dyDescent="0.3">
      <c r="A780" s="6">
        <v>45421</v>
      </c>
      <c r="B780" s="5" t="s">
        <v>28</v>
      </c>
      <c r="C780" s="5" t="s">
        <v>22</v>
      </c>
      <c r="D780" s="5" t="s">
        <v>8</v>
      </c>
      <c r="E780" s="5" t="s">
        <v>32</v>
      </c>
      <c r="F780" s="5">
        <v>856</v>
      </c>
      <c r="G780" s="5" t="str">
        <f>VLOOKUP(C780,Sheet2!$C$3:$D$12,2,0)</f>
        <v>Variable</v>
      </c>
      <c r="H780" s="5" t="str">
        <f>IFERROR(VLOOKUP(E780,Sheet2!$G$3:$H$8,2,0),"unkwon")</f>
        <v>offline</v>
      </c>
      <c r="I780" s="5">
        <f>VLOOKUP(B780,Sheet2!$J$4:$K$15,2,0)</f>
        <v>5</v>
      </c>
      <c r="J780" s="5">
        <f>IFERROR(VLOOKUP(C780,Sheet2!$M$4:$N$12,2,0),0)</f>
        <v>1000</v>
      </c>
      <c r="K780" s="5" t="str">
        <f t="shared" si="12"/>
        <v>within budget</v>
      </c>
    </row>
    <row r="781" spans="1:11" x14ac:dyDescent="0.3">
      <c r="A781" s="6">
        <v>45090</v>
      </c>
      <c r="B781" s="5" t="s">
        <v>39</v>
      </c>
      <c r="C781" s="5" t="s">
        <v>7</v>
      </c>
      <c r="D781" s="5" t="s">
        <v>23</v>
      </c>
      <c r="E781" s="5" t="s">
        <v>9</v>
      </c>
      <c r="F781" s="5">
        <v>687</v>
      </c>
      <c r="G781" s="5" t="str">
        <f>VLOOKUP(C781,Sheet2!$C$3:$D$12,2,0)</f>
        <v>Fixed</v>
      </c>
      <c r="H781" s="5" t="str">
        <f>IFERROR(VLOOKUP(E781,Sheet2!$G$3:$H$8,2,0),"unkwon")</f>
        <v>online</v>
      </c>
      <c r="I781" s="5">
        <f>VLOOKUP(B781,Sheet2!$J$4:$K$15,2,0)</f>
        <v>6</v>
      </c>
      <c r="J781" s="5">
        <f>IFERROR(VLOOKUP(C781,Sheet2!$M$4:$N$12,2,0),0)</f>
        <v>2000</v>
      </c>
      <c r="K781" s="5" t="str">
        <f t="shared" si="12"/>
        <v>within budget</v>
      </c>
    </row>
    <row r="782" spans="1:11" x14ac:dyDescent="0.3">
      <c r="A782" s="6">
        <v>45441</v>
      </c>
      <c r="B782" s="5" t="s">
        <v>28</v>
      </c>
      <c r="C782" s="5" t="s">
        <v>13</v>
      </c>
      <c r="D782" s="5" t="s">
        <v>34</v>
      </c>
      <c r="E782" s="5" t="s">
        <v>12</v>
      </c>
      <c r="F782" s="5">
        <v>4681</v>
      </c>
      <c r="G782" s="5" t="str">
        <f>VLOOKUP(C782,Sheet2!$C$3:$D$12,2,0)</f>
        <v>Variable</v>
      </c>
      <c r="H782" s="5" t="str">
        <f>IFERROR(VLOOKUP(E782,Sheet2!$G$3:$H$8,2,0),"unkwon")</f>
        <v>online</v>
      </c>
      <c r="I782" s="5">
        <f>VLOOKUP(B782,Sheet2!$J$4:$K$15,2,0)</f>
        <v>5</v>
      </c>
      <c r="J782" s="5">
        <f>IFERROR(VLOOKUP(C782,Sheet2!$M$4:$N$12,2,0),0)</f>
        <v>5000</v>
      </c>
      <c r="K782" s="5" t="str">
        <f t="shared" si="12"/>
        <v>within budget</v>
      </c>
    </row>
    <row r="783" spans="1:11" x14ac:dyDescent="0.3">
      <c r="A783" s="6">
        <v>45133</v>
      </c>
      <c r="B783" s="5" t="s">
        <v>21</v>
      </c>
      <c r="C783" s="5" t="s">
        <v>35</v>
      </c>
      <c r="D783" s="5" t="s">
        <v>14</v>
      </c>
      <c r="E783" s="5" t="s">
        <v>9</v>
      </c>
      <c r="F783" s="5">
        <v>688</v>
      </c>
      <c r="G783" s="5" t="str">
        <f>VLOOKUP(C783,Sheet2!$C$3:$D$12,2,0)</f>
        <v>Fixed</v>
      </c>
      <c r="H783" s="5" t="str">
        <f>IFERROR(VLOOKUP(E783,Sheet2!$G$3:$H$8,2,0),"unkwon")</f>
        <v>online</v>
      </c>
      <c r="I783" s="5">
        <f>VLOOKUP(B783,Sheet2!$J$4:$K$15,2,0)</f>
        <v>7</v>
      </c>
      <c r="J783" s="5">
        <f>IFERROR(VLOOKUP(C783,Sheet2!$M$4:$N$12,2,0),0)</f>
        <v>5500</v>
      </c>
      <c r="K783" s="5" t="str">
        <f t="shared" si="12"/>
        <v>within budget</v>
      </c>
    </row>
    <row r="784" spans="1:11" x14ac:dyDescent="0.3">
      <c r="A784" s="6">
        <v>45387</v>
      </c>
      <c r="B784" s="5" t="s">
        <v>29</v>
      </c>
      <c r="C784" s="5" t="s">
        <v>13</v>
      </c>
      <c r="D784" s="5" t="s">
        <v>26</v>
      </c>
      <c r="E784" s="5" t="s">
        <v>32</v>
      </c>
      <c r="F784" s="5">
        <v>1997</v>
      </c>
      <c r="G784" s="5" t="str">
        <f>VLOOKUP(C784,Sheet2!$C$3:$D$12,2,0)</f>
        <v>Variable</v>
      </c>
      <c r="H784" s="5" t="str">
        <f>IFERROR(VLOOKUP(E784,Sheet2!$G$3:$H$8,2,0),"unkwon")</f>
        <v>offline</v>
      </c>
      <c r="I784" s="5">
        <f>VLOOKUP(B784,Sheet2!$J$4:$K$15,2,0)</f>
        <v>4</v>
      </c>
      <c r="J784" s="5">
        <f>IFERROR(VLOOKUP(C784,Sheet2!$M$4:$N$12,2,0),0)</f>
        <v>5000</v>
      </c>
      <c r="K784" s="5" t="str">
        <f t="shared" si="12"/>
        <v>within budget</v>
      </c>
    </row>
    <row r="785" spans="1:11" x14ac:dyDescent="0.3">
      <c r="A785" s="6">
        <v>45115</v>
      </c>
      <c r="B785" s="5" t="s">
        <v>21</v>
      </c>
      <c r="C785" s="5" t="s">
        <v>22</v>
      </c>
      <c r="D785" s="5" t="s">
        <v>26</v>
      </c>
      <c r="E785" s="5" t="s">
        <v>17</v>
      </c>
      <c r="F785" s="5">
        <v>1558</v>
      </c>
      <c r="G785" s="5" t="str">
        <f>VLOOKUP(C785,Sheet2!$C$3:$D$12,2,0)</f>
        <v>Variable</v>
      </c>
      <c r="H785" s="5" t="str">
        <f>IFERROR(VLOOKUP(E785,Sheet2!$G$3:$H$8,2,0),"unkwon")</f>
        <v>online</v>
      </c>
      <c r="I785" s="5">
        <f>VLOOKUP(B785,Sheet2!$J$4:$K$15,2,0)</f>
        <v>7</v>
      </c>
      <c r="J785" s="5">
        <f>IFERROR(VLOOKUP(C785,Sheet2!$M$4:$N$12,2,0),0)</f>
        <v>1000</v>
      </c>
      <c r="K785" s="5" t="str">
        <f t="shared" si="12"/>
        <v>over budget</v>
      </c>
    </row>
    <row r="786" spans="1:11" x14ac:dyDescent="0.3">
      <c r="A786" s="6">
        <v>45546</v>
      </c>
      <c r="B786" s="5" t="s">
        <v>38</v>
      </c>
      <c r="C786" s="5" t="s">
        <v>7</v>
      </c>
      <c r="D786" s="5" t="s">
        <v>14</v>
      </c>
      <c r="E786" s="5" t="s">
        <v>15</v>
      </c>
      <c r="F786" s="5">
        <v>4244</v>
      </c>
      <c r="G786" s="5" t="str">
        <f>VLOOKUP(C786,Sheet2!$C$3:$D$12,2,0)</f>
        <v>Fixed</v>
      </c>
      <c r="H786" s="5" t="str">
        <f>IFERROR(VLOOKUP(E786,Sheet2!$G$3:$H$8,2,0),"unkwon")</f>
        <v>online</v>
      </c>
      <c r="I786" s="5">
        <f>VLOOKUP(B786,Sheet2!$J$4:$K$15,2,0)</f>
        <v>9</v>
      </c>
      <c r="J786" s="5">
        <f>IFERROR(VLOOKUP(C786,Sheet2!$M$4:$N$12,2,0),0)</f>
        <v>2000</v>
      </c>
      <c r="K786" s="5" t="str">
        <f t="shared" si="12"/>
        <v>over budget</v>
      </c>
    </row>
    <row r="787" spans="1:11" x14ac:dyDescent="0.3">
      <c r="A787" s="6">
        <v>45574</v>
      </c>
      <c r="B787" s="5" t="s">
        <v>6</v>
      </c>
      <c r="C787" s="5" t="s">
        <v>7</v>
      </c>
      <c r="D787" s="5" t="s">
        <v>31</v>
      </c>
      <c r="E787" s="5" t="s">
        <v>15</v>
      </c>
      <c r="F787" s="5">
        <v>3503</v>
      </c>
      <c r="G787" s="5" t="str">
        <f>VLOOKUP(C787,Sheet2!$C$3:$D$12,2,0)</f>
        <v>Fixed</v>
      </c>
      <c r="H787" s="5" t="str">
        <f>IFERROR(VLOOKUP(E787,Sheet2!$G$3:$H$8,2,0),"unkwon")</f>
        <v>online</v>
      </c>
      <c r="I787" s="5">
        <f>VLOOKUP(B787,Sheet2!$J$4:$K$15,2,0)</f>
        <v>10</v>
      </c>
      <c r="J787" s="5">
        <f>IFERROR(VLOOKUP(C787,Sheet2!$M$4:$N$12,2,0),0)</f>
        <v>2000</v>
      </c>
      <c r="K787" s="5" t="str">
        <f t="shared" si="12"/>
        <v>over budget</v>
      </c>
    </row>
    <row r="788" spans="1:11" x14ac:dyDescent="0.3">
      <c r="A788" s="6">
        <v>45129</v>
      </c>
      <c r="B788" s="5" t="s">
        <v>21</v>
      </c>
      <c r="C788" s="5" t="s">
        <v>13</v>
      </c>
      <c r="D788" s="5" t="s">
        <v>34</v>
      </c>
      <c r="E788" s="5" t="s">
        <v>12</v>
      </c>
      <c r="F788" s="5">
        <v>1410</v>
      </c>
      <c r="G788" s="5" t="str">
        <f>VLOOKUP(C788,Sheet2!$C$3:$D$12,2,0)</f>
        <v>Variable</v>
      </c>
      <c r="H788" s="5" t="str">
        <f>IFERROR(VLOOKUP(E788,Sheet2!$G$3:$H$8,2,0),"unkwon")</f>
        <v>online</v>
      </c>
      <c r="I788" s="5">
        <f>VLOOKUP(B788,Sheet2!$J$4:$K$15,2,0)</f>
        <v>7</v>
      </c>
      <c r="J788" s="5">
        <f>IFERROR(VLOOKUP(C788,Sheet2!$M$4:$N$12,2,0),0)</f>
        <v>5000</v>
      </c>
      <c r="K788" s="5" t="str">
        <f t="shared" si="12"/>
        <v>within budget</v>
      </c>
    </row>
    <row r="789" spans="1:11" x14ac:dyDescent="0.3">
      <c r="A789" s="6">
        <v>45409</v>
      </c>
      <c r="B789" s="5" t="s">
        <v>29</v>
      </c>
      <c r="C789" s="5" t="s">
        <v>10</v>
      </c>
      <c r="D789" s="5" t="s">
        <v>31</v>
      </c>
      <c r="E789" s="5" t="s">
        <v>12</v>
      </c>
      <c r="F789" s="5">
        <v>564</v>
      </c>
      <c r="G789" s="5" t="str">
        <f>VLOOKUP(C789,Sheet2!$C$3:$D$12,2,0)</f>
        <v>Variable</v>
      </c>
      <c r="H789" s="5" t="str">
        <f>IFERROR(VLOOKUP(E789,Sheet2!$G$3:$H$8,2,0),"unkwon")</f>
        <v>online</v>
      </c>
      <c r="I789" s="5">
        <f>VLOOKUP(B789,Sheet2!$J$4:$K$15,2,0)</f>
        <v>4</v>
      </c>
      <c r="J789" s="5">
        <f>IFERROR(VLOOKUP(C789,Sheet2!$M$4:$N$12,2,0),0)</f>
        <v>5000</v>
      </c>
      <c r="K789" s="5" t="str">
        <f t="shared" si="12"/>
        <v>within budget</v>
      </c>
    </row>
    <row r="790" spans="1:11" x14ac:dyDescent="0.3">
      <c r="A790" s="6">
        <v>45284</v>
      </c>
      <c r="B790" s="5" t="s">
        <v>16</v>
      </c>
      <c r="C790" s="5" t="s">
        <v>7</v>
      </c>
      <c r="D790" s="5" t="s">
        <v>23</v>
      </c>
      <c r="E790" s="5" t="s">
        <v>12</v>
      </c>
      <c r="F790" s="5">
        <v>719</v>
      </c>
      <c r="G790" s="5" t="str">
        <f>VLOOKUP(C790,Sheet2!$C$3:$D$12,2,0)</f>
        <v>Fixed</v>
      </c>
      <c r="H790" s="5" t="str">
        <f>IFERROR(VLOOKUP(E790,Sheet2!$G$3:$H$8,2,0),"unkwon")</f>
        <v>online</v>
      </c>
      <c r="I790" s="5">
        <f>VLOOKUP(B790,Sheet2!$J$4:$K$15,2,0)</f>
        <v>12</v>
      </c>
      <c r="J790" s="5">
        <f>IFERROR(VLOOKUP(C790,Sheet2!$M$4:$N$12,2,0),0)</f>
        <v>2000</v>
      </c>
      <c r="K790" s="5" t="str">
        <f t="shared" si="12"/>
        <v>within budget</v>
      </c>
    </row>
    <row r="791" spans="1:11" x14ac:dyDescent="0.3">
      <c r="A791" s="6">
        <v>44986</v>
      </c>
      <c r="B791" s="5" t="s">
        <v>19</v>
      </c>
      <c r="C791" s="5" t="s">
        <v>30</v>
      </c>
      <c r="D791" s="5" t="s">
        <v>11</v>
      </c>
      <c r="E791" s="5" t="s">
        <v>12</v>
      </c>
      <c r="F791" s="5">
        <v>164</v>
      </c>
      <c r="G791" s="5" t="str">
        <f>VLOOKUP(C791,Sheet2!$C$3:$D$12,2,0)</f>
        <v>Fixed</v>
      </c>
      <c r="H791" s="5" t="str">
        <f>IFERROR(VLOOKUP(E791,Sheet2!$G$3:$H$8,2,0),"unkwon")</f>
        <v>online</v>
      </c>
      <c r="I791" s="5">
        <f>VLOOKUP(B791,Sheet2!$J$4:$K$15,2,0)</f>
        <v>3</v>
      </c>
      <c r="J791" s="5">
        <f>IFERROR(VLOOKUP(C791,Sheet2!$M$4:$N$12,2,0),0)</f>
        <v>3000</v>
      </c>
      <c r="K791" s="5" t="str">
        <f t="shared" si="12"/>
        <v>within budget</v>
      </c>
    </row>
    <row r="792" spans="1:11" x14ac:dyDescent="0.3">
      <c r="A792" s="6">
        <v>44952</v>
      </c>
      <c r="B792" s="5" t="s">
        <v>37</v>
      </c>
      <c r="C792" s="5" t="s">
        <v>27</v>
      </c>
      <c r="D792" s="5" t="s">
        <v>34</v>
      </c>
      <c r="E792" s="5" t="s">
        <v>17</v>
      </c>
      <c r="F792" s="5">
        <v>2292</v>
      </c>
      <c r="G792" s="5" t="str">
        <f>VLOOKUP(C792,Sheet2!$C$3:$D$12,2,0)</f>
        <v>Variable</v>
      </c>
      <c r="H792" s="5" t="str">
        <f>IFERROR(VLOOKUP(E792,Sheet2!$G$3:$H$8,2,0),"unkwon")</f>
        <v>online</v>
      </c>
      <c r="I792" s="5">
        <f>VLOOKUP(B792,Sheet2!$J$4:$K$15,2,0)</f>
        <v>1</v>
      </c>
      <c r="J792" s="5">
        <f>IFERROR(VLOOKUP(C792,Sheet2!$M$4:$N$12,2,0),0)</f>
        <v>4000</v>
      </c>
      <c r="K792" s="5" t="str">
        <f t="shared" si="12"/>
        <v>within budget</v>
      </c>
    </row>
    <row r="793" spans="1:11" x14ac:dyDescent="0.3">
      <c r="A793" s="6">
        <v>45542</v>
      </c>
      <c r="B793" s="5" t="s">
        <v>38</v>
      </c>
      <c r="C793" s="5" t="s">
        <v>35</v>
      </c>
      <c r="D793" s="5" t="s">
        <v>8</v>
      </c>
      <c r="E793" s="5" t="s">
        <v>9</v>
      </c>
      <c r="F793" s="5">
        <v>2081</v>
      </c>
      <c r="G793" s="5" t="str">
        <f>VLOOKUP(C793,Sheet2!$C$3:$D$12,2,0)</f>
        <v>Fixed</v>
      </c>
      <c r="H793" s="5" t="str">
        <f>IFERROR(VLOOKUP(E793,Sheet2!$G$3:$H$8,2,0),"unkwon")</f>
        <v>online</v>
      </c>
      <c r="I793" s="5">
        <f>VLOOKUP(B793,Sheet2!$J$4:$K$15,2,0)</f>
        <v>9</v>
      </c>
      <c r="J793" s="5">
        <f>IFERROR(VLOOKUP(C793,Sheet2!$M$4:$N$12,2,0),0)</f>
        <v>5500</v>
      </c>
      <c r="K793" s="5" t="str">
        <f t="shared" si="12"/>
        <v>within budget</v>
      </c>
    </row>
    <row r="794" spans="1:11" x14ac:dyDescent="0.3">
      <c r="A794" s="6">
        <v>45459</v>
      </c>
      <c r="B794" s="5" t="s">
        <v>39</v>
      </c>
      <c r="C794" s="5" t="s">
        <v>10</v>
      </c>
      <c r="D794" s="5" t="s">
        <v>11</v>
      </c>
      <c r="E794" s="5" t="s">
        <v>17</v>
      </c>
      <c r="F794" s="5">
        <v>4951</v>
      </c>
      <c r="G794" s="5" t="str">
        <f>VLOOKUP(C794,Sheet2!$C$3:$D$12,2,0)</f>
        <v>Variable</v>
      </c>
      <c r="H794" s="5" t="str">
        <f>IFERROR(VLOOKUP(E794,Sheet2!$G$3:$H$8,2,0),"unkwon")</f>
        <v>online</v>
      </c>
      <c r="I794" s="5">
        <f>VLOOKUP(B794,Sheet2!$J$4:$K$15,2,0)</f>
        <v>6</v>
      </c>
      <c r="J794" s="5">
        <f>IFERROR(VLOOKUP(C794,Sheet2!$M$4:$N$12,2,0),0)</f>
        <v>5000</v>
      </c>
      <c r="K794" s="5" t="str">
        <f t="shared" si="12"/>
        <v>within budget</v>
      </c>
    </row>
    <row r="795" spans="1:11" x14ac:dyDescent="0.3">
      <c r="A795" s="6">
        <v>45048</v>
      </c>
      <c r="B795" s="5" t="s">
        <v>28</v>
      </c>
      <c r="C795" s="5" t="s">
        <v>27</v>
      </c>
      <c r="D795" s="5" t="s">
        <v>18</v>
      </c>
      <c r="E795" s="5" t="s">
        <v>15</v>
      </c>
      <c r="F795" s="5">
        <v>2294</v>
      </c>
      <c r="G795" s="5" t="str">
        <f>VLOOKUP(C795,Sheet2!$C$3:$D$12,2,0)</f>
        <v>Variable</v>
      </c>
      <c r="H795" s="5" t="str">
        <f>IFERROR(VLOOKUP(E795,Sheet2!$G$3:$H$8,2,0),"unkwon")</f>
        <v>online</v>
      </c>
      <c r="I795" s="5">
        <f>VLOOKUP(B795,Sheet2!$J$4:$K$15,2,0)</f>
        <v>5</v>
      </c>
      <c r="J795" s="5">
        <f>IFERROR(VLOOKUP(C795,Sheet2!$M$4:$N$12,2,0),0)</f>
        <v>4000</v>
      </c>
      <c r="K795" s="5" t="str">
        <f t="shared" si="12"/>
        <v>within budget</v>
      </c>
    </row>
    <row r="796" spans="1:11" x14ac:dyDescent="0.3">
      <c r="A796" s="6">
        <v>45236</v>
      </c>
      <c r="B796" s="5" t="s">
        <v>40</v>
      </c>
      <c r="C796" s="5" t="s">
        <v>22</v>
      </c>
      <c r="D796" s="5" t="s">
        <v>14</v>
      </c>
      <c r="E796" s="5" t="s">
        <v>15</v>
      </c>
      <c r="F796" s="5">
        <v>371</v>
      </c>
      <c r="G796" s="5" t="str">
        <f>VLOOKUP(C796,Sheet2!$C$3:$D$12,2,0)</f>
        <v>Variable</v>
      </c>
      <c r="H796" s="5" t="str">
        <f>IFERROR(VLOOKUP(E796,Sheet2!$G$3:$H$8,2,0),"unkwon")</f>
        <v>online</v>
      </c>
      <c r="I796" s="5">
        <f>VLOOKUP(B796,Sheet2!$J$4:$K$15,2,0)</f>
        <v>11</v>
      </c>
      <c r="J796" s="5">
        <f>IFERROR(VLOOKUP(C796,Sheet2!$M$4:$N$12,2,0),0)</f>
        <v>1000</v>
      </c>
      <c r="K796" s="5" t="str">
        <f t="shared" si="12"/>
        <v>within budget</v>
      </c>
    </row>
    <row r="797" spans="1:11" x14ac:dyDescent="0.3">
      <c r="A797" s="6">
        <v>45217</v>
      </c>
      <c r="B797" s="5" t="s">
        <v>6</v>
      </c>
      <c r="C797" s="5" t="s">
        <v>35</v>
      </c>
      <c r="D797" s="5" t="s">
        <v>8</v>
      </c>
      <c r="E797" s="5" t="s">
        <v>17</v>
      </c>
      <c r="F797" s="5">
        <v>752</v>
      </c>
      <c r="G797" s="5" t="str">
        <f>VLOOKUP(C797,Sheet2!$C$3:$D$12,2,0)</f>
        <v>Fixed</v>
      </c>
      <c r="H797" s="5" t="str">
        <f>IFERROR(VLOOKUP(E797,Sheet2!$G$3:$H$8,2,0),"unkwon")</f>
        <v>online</v>
      </c>
      <c r="I797" s="5">
        <f>VLOOKUP(B797,Sheet2!$J$4:$K$15,2,0)</f>
        <v>10</v>
      </c>
      <c r="J797" s="5">
        <f>IFERROR(VLOOKUP(C797,Sheet2!$M$4:$N$12,2,0),0)</f>
        <v>5500</v>
      </c>
      <c r="K797" s="5" t="str">
        <f t="shared" si="12"/>
        <v>within budget</v>
      </c>
    </row>
    <row r="798" spans="1:11" x14ac:dyDescent="0.3">
      <c r="A798" s="6">
        <v>45033</v>
      </c>
      <c r="B798" s="5" t="s">
        <v>29</v>
      </c>
      <c r="C798" s="5" t="s">
        <v>30</v>
      </c>
      <c r="D798" s="5" t="s">
        <v>34</v>
      </c>
      <c r="E798" s="5" t="s">
        <v>17</v>
      </c>
      <c r="F798" s="5">
        <v>2519</v>
      </c>
      <c r="G798" s="5" t="str">
        <f>VLOOKUP(C798,Sheet2!$C$3:$D$12,2,0)</f>
        <v>Fixed</v>
      </c>
      <c r="H798" s="5" t="str">
        <f>IFERROR(VLOOKUP(E798,Sheet2!$G$3:$H$8,2,0),"unkwon")</f>
        <v>online</v>
      </c>
      <c r="I798" s="5">
        <f>VLOOKUP(B798,Sheet2!$J$4:$K$15,2,0)</f>
        <v>4</v>
      </c>
      <c r="J798" s="5">
        <f>IFERROR(VLOOKUP(C798,Sheet2!$M$4:$N$12,2,0),0)</f>
        <v>3000</v>
      </c>
      <c r="K798" s="5" t="str">
        <f t="shared" si="12"/>
        <v>within budget</v>
      </c>
    </row>
    <row r="799" spans="1:11" x14ac:dyDescent="0.3">
      <c r="A799" s="6">
        <v>45043</v>
      </c>
      <c r="B799" s="5" t="s">
        <v>29</v>
      </c>
      <c r="C799" s="5" t="s">
        <v>41</v>
      </c>
      <c r="D799" s="5" t="s">
        <v>34</v>
      </c>
      <c r="E799" s="5" t="s">
        <v>9</v>
      </c>
      <c r="F799" s="5">
        <v>3088</v>
      </c>
      <c r="G799" s="5" t="str">
        <f>VLOOKUP(C799,Sheet2!$C$3:$D$12,2,0)</f>
        <v>Variable</v>
      </c>
      <c r="H799" s="5" t="str">
        <f>IFERROR(VLOOKUP(E799,Sheet2!$G$3:$H$8,2,0),"unkwon")</f>
        <v>online</v>
      </c>
      <c r="I799" s="5">
        <f>VLOOKUP(B799,Sheet2!$J$4:$K$15,2,0)</f>
        <v>4</v>
      </c>
      <c r="J799" s="5">
        <f>IFERROR(VLOOKUP(C799,Sheet2!$M$4:$N$12,2,0),0)</f>
        <v>7000</v>
      </c>
      <c r="K799" s="5" t="str">
        <f t="shared" si="12"/>
        <v>within budget</v>
      </c>
    </row>
    <row r="800" spans="1:11" x14ac:dyDescent="0.3">
      <c r="A800" s="6">
        <v>44948</v>
      </c>
      <c r="B800" s="5" t="s">
        <v>37</v>
      </c>
      <c r="C800" s="5" t="s">
        <v>13</v>
      </c>
      <c r="D800" s="5" t="s">
        <v>31</v>
      </c>
      <c r="E800" s="5" t="s">
        <v>17</v>
      </c>
      <c r="F800" s="5">
        <v>4274</v>
      </c>
      <c r="G800" s="5" t="str">
        <f>VLOOKUP(C800,Sheet2!$C$3:$D$12,2,0)</f>
        <v>Variable</v>
      </c>
      <c r="H800" s="5" t="str">
        <f>IFERROR(VLOOKUP(E800,Sheet2!$G$3:$H$8,2,0),"unkwon")</f>
        <v>online</v>
      </c>
      <c r="I800" s="5">
        <f>VLOOKUP(B800,Sheet2!$J$4:$K$15,2,0)</f>
        <v>1</v>
      </c>
      <c r="J800" s="5">
        <f>IFERROR(VLOOKUP(C800,Sheet2!$M$4:$N$12,2,0),0)</f>
        <v>5000</v>
      </c>
      <c r="K800" s="5" t="str">
        <f t="shared" si="12"/>
        <v>within budget</v>
      </c>
    </row>
    <row r="801" spans="1:11" x14ac:dyDescent="0.3">
      <c r="A801" s="6">
        <v>45132</v>
      </c>
      <c r="B801" s="5" t="s">
        <v>21</v>
      </c>
      <c r="C801" s="5" t="s">
        <v>7</v>
      </c>
      <c r="D801" s="5" t="s">
        <v>14</v>
      </c>
      <c r="E801" s="5" t="s">
        <v>15</v>
      </c>
      <c r="F801" s="5">
        <v>4735</v>
      </c>
      <c r="G801" s="5" t="str">
        <f>VLOOKUP(C801,Sheet2!$C$3:$D$12,2,0)</f>
        <v>Fixed</v>
      </c>
      <c r="H801" s="5" t="str">
        <f>IFERROR(VLOOKUP(E801,Sheet2!$G$3:$H$8,2,0),"unkwon")</f>
        <v>online</v>
      </c>
      <c r="I801" s="5">
        <f>VLOOKUP(B801,Sheet2!$J$4:$K$15,2,0)</f>
        <v>7</v>
      </c>
      <c r="J801" s="5">
        <f>IFERROR(VLOOKUP(C801,Sheet2!$M$4:$N$12,2,0),0)</f>
        <v>2000</v>
      </c>
      <c r="K801" s="5" t="str">
        <f t="shared" si="12"/>
        <v>over budget</v>
      </c>
    </row>
    <row r="802" spans="1:11" x14ac:dyDescent="0.3">
      <c r="A802" s="6">
        <v>45127</v>
      </c>
      <c r="B802" s="5" t="s">
        <v>21</v>
      </c>
      <c r="C802" s="5" t="s">
        <v>22</v>
      </c>
      <c r="D802" s="5" t="s">
        <v>26</v>
      </c>
      <c r="E802" s="5" t="s">
        <v>12</v>
      </c>
      <c r="F802" s="5">
        <v>1870</v>
      </c>
      <c r="G802" s="5" t="str">
        <f>VLOOKUP(C802,Sheet2!$C$3:$D$12,2,0)</f>
        <v>Variable</v>
      </c>
      <c r="H802" s="5" t="str">
        <f>IFERROR(VLOOKUP(E802,Sheet2!$G$3:$H$8,2,0),"unkwon")</f>
        <v>online</v>
      </c>
      <c r="I802" s="5">
        <f>VLOOKUP(B802,Sheet2!$J$4:$K$15,2,0)</f>
        <v>7</v>
      </c>
      <c r="J802" s="5">
        <f>IFERROR(VLOOKUP(C802,Sheet2!$M$4:$N$12,2,0),0)</f>
        <v>1000</v>
      </c>
      <c r="K802" s="5" t="str">
        <f t="shared" si="12"/>
        <v>over budget</v>
      </c>
    </row>
    <row r="803" spans="1:11" x14ac:dyDescent="0.3">
      <c r="A803" s="6">
        <v>45065</v>
      </c>
      <c r="B803" s="5" t="s">
        <v>28</v>
      </c>
      <c r="C803" s="5" t="s">
        <v>10</v>
      </c>
      <c r="D803" s="5" t="s">
        <v>34</v>
      </c>
      <c r="E803" s="5" t="s">
        <v>12</v>
      </c>
      <c r="F803" s="5">
        <v>950</v>
      </c>
      <c r="G803" s="5" t="str">
        <f>VLOOKUP(C803,Sheet2!$C$3:$D$12,2,0)</f>
        <v>Variable</v>
      </c>
      <c r="H803" s="5" t="str">
        <f>IFERROR(VLOOKUP(E803,Sheet2!$G$3:$H$8,2,0),"unkwon")</f>
        <v>online</v>
      </c>
      <c r="I803" s="5">
        <f>VLOOKUP(B803,Sheet2!$J$4:$K$15,2,0)</f>
        <v>5</v>
      </c>
      <c r="J803" s="5">
        <f>IFERROR(VLOOKUP(C803,Sheet2!$M$4:$N$12,2,0),0)</f>
        <v>5000</v>
      </c>
      <c r="K803" s="5" t="str">
        <f t="shared" si="12"/>
        <v>within budget</v>
      </c>
    </row>
    <row r="804" spans="1:11" x14ac:dyDescent="0.3">
      <c r="A804" s="6">
        <v>45217</v>
      </c>
      <c r="B804" s="5" t="s">
        <v>6</v>
      </c>
      <c r="C804" s="5" t="s">
        <v>30</v>
      </c>
      <c r="D804" s="5" t="s">
        <v>11</v>
      </c>
      <c r="E804" s="5" t="s">
        <v>17</v>
      </c>
      <c r="F804" s="5">
        <v>4418</v>
      </c>
      <c r="G804" s="5" t="str">
        <f>VLOOKUP(C804,Sheet2!$C$3:$D$12,2,0)</f>
        <v>Fixed</v>
      </c>
      <c r="H804" s="5" t="str">
        <f>IFERROR(VLOOKUP(E804,Sheet2!$G$3:$H$8,2,0),"unkwon")</f>
        <v>online</v>
      </c>
      <c r="I804" s="5">
        <f>VLOOKUP(B804,Sheet2!$J$4:$K$15,2,0)</f>
        <v>10</v>
      </c>
      <c r="J804" s="5">
        <f>IFERROR(VLOOKUP(C804,Sheet2!$M$4:$N$12,2,0),0)</f>
        <v>3000</v>
      </c>
      <c r="K804" s="5" t="str">
        <f t="shared" si="12"/>
        <v>over budget</v>
      </c>
    </row>
    <row r="805" spans="1:11" x14ac:dyDescent="0.3">
      <c r="A805" s="6">
        <v>45423</v>
      </c>
      <c r="B805" s="5" t="s">
        <v>28</v>
      </c>
      <c r="C805" s="5" t="s">
        <v>35</v>
      </c>
      <c r="D805" s="5" t="s">
        <v>11</v>
      </c>
      <c r="E805" s="5" t="s">
        <v>32</v>
      </c>
      <c r="F805" s="5">
        <v>2704</v>
      </c>
      <c r="G805" s="5" t="str">
        <f>VLOOKUP(C805,Sheet2!$C$3:$D$12,2,0)</f>
        <v>Fixed</v>
      </c>
      <c r="H805" s="5" t="str">
        <f>IFERROR(VLOOKUP(E805,Sheet2!$G$3:$H$8,2,0),"unkwon")</f>
        <v>offline</v>
      </c>
      <c r="I805" s="5">
        <f>VLOOKUP(B805,Sheet2!$J$4:$K$15,2,0)</f>
        <v>5</v>
      </c>
      <c r="J805" s="5">
        <f>IFERROR(VLOOKUP(C805,Sheet2!$M$4:$N$12,2,0),0)</f>
        <v>5500</v>
      </c>
      <c r="K805" s="5" t="str">
        <f t="shared" si="12"/>
        <v>within budget</v>
      </c>
    </row>
    <row r="806" spans="1:11" x14ac:dyDescent="0.3">
      <c r="A806" s="6">
        <v>45048</v>
      </c>
      <c r="B806" s="5" t="s">
        <v>28</v>
      </c>
      <c r="C806" s="5" t="s">
        <v>30</v>
      </c>
      <c r="D806" s="5" t="s">
        <v>34</v>
      </c>
      <c r="E806" s="5" t="s">
        <v>17</v>
      </c>
      <c r="F806" s="5">
        <v>4413</v>
      </c>
      <c r="G806" s="5" t="str">
        <f>VLOOKUP(C806,Sheet2!$C$3:$D$12,2,0)</f>
        <v>Fixed</v>
      </c>
      <c r="H806" s="5" t="str">
        <f>IFERROR(VLOOKUP(E806,Sheet2!$G$3:$H$8,2,0),"unkwon")</f>
        <v>online</v>
      </c>
      <c r="I806" s="5">
        <f>VLOOKUP(B806,Sheet2!$J$4:$K$15,2,0)</f>
        <v>5</v>
      </c>
      <c r="J806" s="5">
        <f>IFERROR(VLOOKUP(C806,Sheet2!$M$4:$N$12,2,0),0)</f>
        <v>3000</v>
      </c>
      <c r="K806" s="5" t="str">
        <f t="shared" si="12"/>
        <v>over budget</v>
      </c>
    </row>
    <row r="807" spans="1:11" x14ac:dyDescent="0.3">
      <c r="A807" s="6">
        <v>44948</v>
      </c>
      <c r="B807" s="5" t="s">
        <v>37</v>
      </c>
      <c r="C807" s="5" t="s">
        <v>41</v>
      </c>
      <c r="D807" s="5" t="s">
        <v>24</v>
      </c>
      <c r="E807" s="5" t="s">
        <v>15</v>
      </c>
      <c r="F807" s="5">
        <v>108</v>
      </c>
      <c r="G807" s="5" t="str">
        <f>VLOOKUP(C807,Sheet2!$C$3:$D$12,2,0)</f>
        <v>Variable</v>
      </c>
      <c r="H807" s="5" t="str">
        <f>IFERROR(VLOOKUP(E807,Sheet2!$G$3:$H$8,2,0),"unkwon")</f>
        <v>online</v>
      </c>
      <c r="I807" s="5">
        <f>VLOOKUP(B807,Sheet2!$J$4:$K$15,2,0)</f>
        <v>1</v>
      </c>
      <c r="J807" s="5">
        <f>IFERROR(VLOOKUP(C807,Sheet2!$M$4:$N$12,2,0),0)</f>
        <v>7000</v>
      </c>
      <c r="K807" s="5" t="str">
        <f t="shared" si="12"/>
        <v>within budget</v>
      </c>
    </row>
    <row r="808" spans="1:11" x14ac:dyDescent="0.3">
      <c r="A808" s="6">
        <v>44934</v>
      </c>
      <c r="B808" s="5" t="s">
        <v>37</v>
      </c>
      <c r="C808" s="5" t="s">
        <v>36</v>
      </c>
      <c r="D808" s="5" t="s">
        <v>31</v>
      </c>
      <c r="E808" s="5" t="s">
        <v>9</v>
      </c>
      <c r="F808" s="5">
        <v>1673</v>
      </c>
      <c r="G808" s="5" t="str">
        <f>VLOOKUP(C808,Sheet2!$C$3:$D$12,2,0)</f>
        <v>Variable</v>
      </c>
      <c r="H808" s="5" t="str">
        <f>IFERROR(VLOOKUP(E808,Sheet2!$G$3:$H$8,2,0),"unkwon")</f>
        <v>online</v>
      </c>
      <c r="I808" s="5">
        <f>VLOOKUP(B808,Sheet2!$J$4:$K$15,2,0)</f>
        <v>1</v>
      </c>
      <c r="J808" s="5">
        <f>IFERROR(VLOOKUP(C808,Sheet2!$M$4:$N$12,2,0),0)</f>
        <v>10000</v>
      </c>
      <c r="K808" s="5" t="str">
        <f t="shared" si="12"/>
        <v>within budget</v>
      </c>
    </row>
    <row r="809" spans="1:11" x14ac:dyDescent="0.3">
      <c r="A809" s="6">
        <v>45249</v>
      </c>
      <c r="B809" s="5" t="s">
        <v>40</v>
      </c>
      <c r="C809" s="5" t="s">
        <v>7</v>
      </c>
      <c r="D809" s="5" t="s">
        <v>18</v>
      </c>
      <c r="E809" s="5" t="s">
        <v>9</v>
      </c>
      <c r="F809" s="5">
        <v>2249</v>
      </c>
      <c r="G809" s="5" t="str">
        <f>VLOOKUP(C809,Sheet2!$C$3:$D$12,2,0)</f>
        <v>Fixed</v>
      </c>
      <c r="H809" s="5" t="str">
        <f>IFERROR(VLOOKUP(E809,Sheet2!$G$3:$H$8,2,0),"unkwon")</f>
        <v>online</v>
      </c>
      <c r="I809" s="5">
        <f>VLOOKUP(B809,Sheet2!$J$4:$K$15,2,0)</f>
        <v>11</v>
      </c>
      <c r="J809" s="5">
        <f>IFERROR(VLOOKUP(C809,Sheet2!$M$4:$N$12,2,0),0)</f>
        <v>2000</v>
      </c>
      <c r="K809" s="5" t="str">
        <f t="shared" si="12"/>
        <v>over budget</v>
      </c>
    </row>
    <row r="810" spans="1:11" x14ac:dyDescent="0.3">
      <c r="A810" s="6">
        <v>45221</v>
      </c>
      <c r="B810" s="5" t="s">
        <v>6</v>
      </c>
      <c r="C810" s="5" t="s">
        <v>7</v>
      </c>
      <c r="D810" s="5" t="s">
        <v>18</v>
      </c>
      <c r="E810" s="5" t="s">
        <v>32</v>
      </c>
      <c r="F810" s="5">
        <v>4182</v>
      </c>
      <c r="G810" s="5" t="str">
        <f>VLOOKUP(C810,Sheet2!$C$3:$D$12,2,0)</f>
        <v>Fixed</v>
      </c>
      <c r="H810" s="5" t="str">
        <f>IFERROR(VLOOKUP(E810,Sheet2!$G$3:$H$8,2,0),"unkwon")</f>
        <v>offline</v>
      </c>
      <c r="I810" s="5">
        <f>VLOOKUP(B810,Sheet2!$J$4:$K$15,2,0)</f>
        <v>10</v>
      </c>
      <c r="J810" s="5">
        <f>IFERROR(VLOOKUP(C810,Sheet2!$M$4:$N$12,2,0),0)</f>
        <v>2000</v>
      </c>
      <c r="K810" s="5" t="str">
        <f t="shared" si="12"/>
        <v>over budget</v>
      </c>
    </row>
    <row r="811" spans="1:11" x14ac:dyDescent="0.3">
      <c r="A811" s="6">
        <v>45530</v>
      </c>
      <c r="B811" s="5" t="s">
        <v>25</v>
      </c>
      <c r="C811" s="5" t="s">
        <v>27</v>
      </c>
      <c r="D811" s="5" t="s">
        <v>8</v>
      </c>
      <c r="E811" s="5" t="s">
        <v>15</v>
      </c>
      <c r="F811" s="5">
        <v>1874</v>
      </c>
      <c r="G811" s="5" t="str">
        <f>VLOOKUP(C811,Sheet2!$C$3:$D$12,2,0)</f>
        <v>Variable</v>
      </c>
      <c r="H811" s="5" t="str">
        <f>IFERROR(VLOOKUP(E811,Sheet2!$G$3:$H$8,2,0),"unkwon")</f>
        <v>online</v>
      </c>
      <c r="I811" s="5">
        <f>VLOOKUP(B811,Sheet2!$J$4:$K$15,2,0)</f>
        <v>8</v>
      </c>
      <c r="J811" s="5">
        <f>IFERROR(VLOOKUP(C811,Sheet2!$M$4:$N$12,2,0),0)</f>
        <v>4000</v>
      </c>
      <c r="K811" s="5" t="str">
        <f t="shared" si="12"/>
        <v>within budget</v>
      </c>
    </row>
    <row r="812" spans="1:11" x14ac:dyDescent="0.3">
      <c r="A812" s="6">
        <v>44993</v>
      </c>
      <c r="B812" s="5" t="s">
        <v>19</v>
      </c>
      <c r="C812" s="5" t="s">
        <v>10</v>
      </c>
      <c r="D812" s="5" t="s">
        <v>34</v>
      </c>
      <c r="E812" s="5" t="s">
        <v>12</v>
      </c>
      <c r="F812" s="5">
        <v>2509</v>
      </c>
      <c r="G812" s="5" t="str">
        <f>VLOOKUP(C812,Sheet2!$C$3:$D$12,2,0)</f>
        <v>Variable</v>
      </c>
      <c r="H812" s="5" t="str">
        <f>IFERROR(VLOOKUP(E812,Sheet2!$G$3:$H$8,2,0),"unkwon")</f>
        <v>online</v>
      </c>
      <c r="I812" s="5">
        <f>VLOOKUP(B812,Sheet2!$J$4:$K$15,2,0)</f>
        <v>3</v>
      </c>
      <c r="J812" s="5">
        <f>IFERROR(VLOOKUP(C812,Sheet2!$M$4:$N$12,2,0),0)</f>
        <v>5000</v>
      </c>
      <c r="K812" s="5" t="str">
        <f t="shared" si="12"/>
        <v>within budget</v>
      </c>
    </row>
    <row r="813" spans="1:11" x14ac:dyDescent="0.3">
      <c r="A813" s="6">
        <v>45309</v>
      </c>
      <c r="B813" s="5" t="s">
        <v>37</v>
      </c>
      <c r="C813" s="5" t="s">
        <v>30</v>
      </c>
      <c r="D813" s="5" t="s">
        <v>20</v>
      </c>
      <c r="E813" s="5" t="s">
        <v>32</v>
      </c>
      <c r="F813" s="5">
        <v>1885</v>
      </c>
      <c r="G813" s="5" t="str">
        <f>VLOOKUP(C813,Sheet2!$C$3:$D$12,2,0)</f>
        <v>Fixed</v>
      </c>
      <c r="H813" s="5" t="str">
        <f>IFERROR(VLOOKUP(E813,Sheet2!$G$3:$H$8,2,0),"unkwon")</f>
        <v>offline</v>
      </c>
      <c r="I813" s="5">
        <f>VLOOKUP(B813,Sheet2!$J$4:$K$15,2,0)</f>
        <v>1</v>
      </c>
      <c r="J813" s="5">
        <f>IFERROR(VLOOKUP(C813,Sheet2!$M$4:$N$12,2,0),0)</f>
        <v>3000</v>
      </c>
      <c r="K813" s="5" t="str">
        <f t="shared" si="12"/>
        <v>within budget</v>
      </c>
    </row>
    <row r="814" spans="1:11" x14ac:dyDescent="0.3">
      <c r="A814" s="6">
        <v>45538</v>
      </c>
      <c r="B814" s="5" t="s">
        <v>38</v>
      </c>
      <c r="C814" s="5" t="s">
        <v>13</v>
      </c>
      <c r="D814" s="5" t="s">
        <v>31</v>
      </c>
      <c r="E814" s="5" t="s">
        <v>32</v>
      </c>
      <c r="F814" s="5">
        <v>3955</v>
      </c>
      <c r="G814" s="5" t="str">
        <f>VLOOKUP(C814,Sheet2!$C$3:$D$12,2,0)</f>
        <v>Variable</v>
      </c>
      <c r="H814" s="5" t="str">
        <f>IFERROR(VLOOKUP(E814,Sheet2!$G$3:$H$8,2,0),"unkwon")</f>
        <v>offline</v>
      </c>
      <c r="I814" s="5">
        <f>VLOOKUP(B814,Sheet2!$J$4:$K$15,2,0)</f>
        <v>9</v>
      </c>
      <c r="J814" s="5">
        <f>IFERROR(VLOOKUP(C814,Sheet2!$M$4:$N$12,2,0),0)</f>
        <v>5000</v>
      </c>
      <c r="K814" s="5" t="str">
        <f t="shared" si="12"/>
        <v>within budget</v>
      </c>
    </row>
    <row r="815" spans="1:11" x14ac:dyDescent="0.3">
      <c r="A815" s="6">
        <v>45219</v>
      </c>
      <c r="B815" s="5" t="s">
        <v>6</v>
      </c>
      <c r="C815" s="5" t="s">
        <v>35</v>
      </c>
      <c r="D815" s="5" t="s">
        <v>14</v>
      </c>
      <c r="E815" s="5" t="s">
        <v>12</v>
      </c>
      <c r="F815" s="5">
        <v>2710</v>
      </c>
      <c r="G815" s="5" t="str">
        <f>VLOOKUP(C815,Sheet2!$C$3:$D$12,2,0)</f>
        <v>Fixed</v>
      </c>
      <c r="H815" s="5" t="str">
        <f>IFERROR(VLOOKUP(E815,Sheet2!$G$3:$H$8,2,0),"unkwon")</f>
        <v>online</v>
      </c>
      <c r="I815" s="5">
        <f>VLOOKUP(B815,Sheet2!$J$4:$K$15,2,0)</f>
        <v>10</v>
      </c>
      <c r="J815" s="5">
        <f>IFERROR(VLOOKUP(C815,Sheet2!$M$4:$N$12,2,0),0)</f>
        <v>5500</v>
      </c>
      <c r="K815" s="5" t="str">
        <f t="shared" si="12"/>
        <v>within budget</v>
      </c>
    </row>
    <row r="816" spans="1:11" x14ac:dyDescent="0.3">
      <c r="A816" s="6">
        <v>45107</v>
      </c>
      <c r="B816" s="5" t="s">
        <v>39</v>
      </c>
      <c r="C816" s="5" t="s">
        <v>22</v>
      </c>
      <c r="D816" s="5" t="s">
        <v>8</v>
      </c>
      <c r="E816" s="5" t="s">
        <v>12</v>
      </c>
      <c r="F816" s="5">
        <v>1431</v>
      </c>
      <c r="G816" s="5" t="str">
        <f>VLOOKUP(C816,Sheet2!$C$3:$D$12,2,0)</f>
        <v>Variable</v>
      </c>
      <c r="H816" s="5" t="str">
        <f>IFERROR(VLOOKUP(E816,Sheet2!$G$3:$H$8,2,0),"unkwon")</f>
        <v>online</v>
      </c>
      <c r="I816" s="5">
        <f>VLOOKUP(B816,Sheet2!$J$4:$K$15,2,0)</f>
        <v>6</v>
      </c>
      <c r="J816" s="5">
        <f>IFERROR(VLOOKUP(C816,Sheet2!$M$4:$N$12,2,0),0)</f>
        <v>1000</v>
      </c>
      <c r="K816" s="5" t="str">
        <f t="shared" si="12"/>
        <v>over budget</v>
      </c>
    </row>
    <row r="817" spans="1:11" x14ac:dyDescent="0.3">
      <c r="A817" s="6">
        <v>45521</v>
      </c>
      <c r="B817" s="5" t="s">
        <v>25</v>
      </c>
      <c r="C817" s="5" t="s">
        <v>13</v>
      </c>
      <c r="D817" s="5" t="s">
        <v>20</v>
      </c>
      <c r="E817" s="5" t="s">
        <v>17</v>
      </c>
      <c r="F817" s="5">
        <v>203</v>
      </c>
      <c r="G817" s="5" t="str">
        <f>VLOOKUP(C817,Sheet2!$C$3:$D$12,2,0)</f>
        <v>Variable</v>
      </c>
      <c r="H817" s="5" t="str">
        <f>IFERROR(VLOOKUP(E817,Sheet2!$G$3:$H$8,2,0),"unkwon")</f>
        <v>online</v>
      </c>
      <c r="I817" s="5">
        <f>VLOOKUP(B817,Sheet2!$J$4:$K$15,2,0)</f>
        <v>8</v>
      </c>
      <c r="J817" s="5">
        <f>IFERROR(VLOOKUP(C817,Sheet2!$M$4:$N$12,2,0),0)</f>
        <v>5000</v>
      </c>
      <c r="K817" s="5" t="str">
        <f t="shared" si="12"/>
        <v>within budget</v>
      </c>
    </row>
    <row r="818" spans="1:11" x14ac:dyDescent="0.3">
      <c r="A818" s="6">
        <v>45186</v>
      </c>
      <c r="B818" s="5" t="s">
        <v>38</v>
      </c>
      <c r="C818" s="5" t="s">
        <v>27</v>
      </c>
      <c r="D818" s="5" t="s">
        <v>23</v>
      </c>
      <c r="E818" s="5" t="s">
        <v>12</v>
      </c>
      <c r="F818" s="5">
        <v>1656</v>
      </c>
      <c r="G818" s="5" t="str">
        <f>VLOOKUP(C818,Sheet2!$C$3:$D$12,2,0)</f>
        <v>Variable</v>
      </c>
      <c r="H818" s="5" t="str">
        <f>IFERROR(VLOOKUP(E818,Sheet2!$G$3:$H$8,2,0),"unkwon")</f>
        <v>online</v>
      </c>
      <c r="I818" s="5">
        <f>VLOOKUP(B818,Sheet2!$J$4:$K$15,2,0)</f>
        <v>9</v>
      </c>
      <c r="J818" s="5">
        <f>IFERROR(VLOOKUP(C818,Sheet2!$M$4:$N$12,2,0),0)</f>
        <v>4000</v>
      </c>
      <c r="K818" s="5" t="str">
        <f t="shared" si="12"/>
        <v>within budget</v>
      </c>
    </row>
    <row r="819" spans="1:11" x14ac:dyDescent="0.3">
      <c r="A819" s="6">
        <v>45488</v>
      </c>
      <c r="B819" s="5" t="s">
        <v>21</v>
      </c>
      <c r="C819" s="5" t="s">
        <v>36</v>
      </c>
      <c r="D819" s="5" t="s">
        <v>18</v>
      </c>
      <c r="E819" s="5" t="s">
        <v>15</v>
      </c>
      <c r="F819" s="5">
        <v>3714</v>
      </c>
      <c r="G819" s="5" t="str">
        <f>VLOOKUP(C819,Sheet2!$C$3:$D$12,2,0)</f>
        <v>Variable</v>
      </c>
      <c r="H819" s="5" t="str">
        <f>IFERROR(VLOOKUP(E819,Sheet2!$G$3:$H$8,2,0),"unkwon")</f>
        <v>online</v>
      </c>
      <c r="I819" s="5">
        <f>VLOOKUP(B819,Sheet2!$J$4:$K$15,2,0)</f>
        <v>7</v>
      </c>
      <c r="J819" s="5">
        <f>IFERROR(VLOOKUP(C819,Sheet2!$M$4:$N$12,2,0),0)</f>
        <v>10000</v>
      </c>
      <c r="K819" s="5" t="str">
        <f t="shared" si="12"/>
        <v>within budget</v>
      </c>
    </row>
    <row r="820" spans="1:11" x14ac:dyDescent="0.3">
      <c r="A820" s="6">
        <v>45194</v>
      </c>
      <c r="B820" s="5" t="s">
        <v>38</v>
      </c>
      <c r="C820" s="5" t="s">
        <v>35</v>
      </c>
      <c r="D820" s="5" t="s">
        <v>18</v>
      </c>
      <c r="E820" s="5" t="s">
        <v>12</v>
      </c>
      <c r="F820" s="5">
        <v>679</v>
      </c>
      <c r="G820" s="5" t="str">
        <f>VLOOKUP(C820,Sheet2!$C$3:$D$12,2,0)</f>
        <v>Fixed</v>
      </c>
      <c r="H820" s="5" t="str">
        <f>IFERROR(VLOOKUP(E820,Sheet2!$G$3:$H$8,2,0),"unkwon")</f>
        <v>online</v>
      </c>
      <c r="I820" s="5">
        <f>VLOOKUP(B820,Sheet2!$J$4:$K$15,2,0)</f>
        <v>9</v>
      </c>
      <c r="J820" s="5">
        <f>IFERROR(VLOOKUP(C820,Sheet2!$M$4:$N$12,2,0),0)</f>
        <v>5500</v>
      </c>
      <c r="K820" s="5" t="str">
        <f t="shared" si="12"/>
        <v>within budget</v>
      </c>
    </row>
    <row r="821" spans="1:11" x14ac:dyDescent="0.3">
      <c r="A821" s="6">
        <v>45591</v>
      </c>
      <c r="B821" s="5" t="s">
        <v>6</v>
      </c>
      <c r="C821" s="5" t="s">
        <v>7</v>
      </c>
      <c r="D821" s="5" t="s">
        <v>31</v>
      </c>
      <c r="E821" s="5" t="s">
        <v>17</v>
      </c>
      <c r="F821" s="5">
        <v>704</v>
      </c>
      <c r="G821" s="5" t="str">
        <f>VLOOKUP(C821,Sheet2!$C$3:$D$12,2,0)</f>
        <v>Fixed</v>
      </c>
      <c r="H821" s="5" t="str">
        <f>IFERROR(VLOOKUP(E821,Sheet2!$G$3:$H$8,2,0),"unkwon")</f>
        <v>online</v>
      </c>
      <c r="I821" s="5">
        <f>VLOOKUP(B821,Sheet2!$J$4:$K$15,2,0)</f>
        <v>10</v>
      </c>
      <c r="J821" s="5">
        <f>IFERROR(VLOOKUP(C821,Sheet2!$M$4:$N$12,2,0),0)</f>
        <v>2000</v>
      </c>
      <c r="K821" s="5" t="str">
        <f t="shared" si="12"/>
        <v>within budget</v>
      </c>
    </row>
    <row r="822" spans="1:11" x14ac:dyDescent="0.3">
      <c r="A822" s="6">
        <v>45426</v>
      </c>
      <c r="B822" s="5" t="s">
        <v>28</v>
      </c>
      <c r="C822" s="5" t="s">
        <v>27</v>
      </c>
      <c r="D822" s="5" t="s">
        <v>20</v>
      </c>
      <c r="E822" s="5" t="s">
        <v>17</v>
      </c>
      <c r="F822" s="5">
        <v>1777</v>
      </c>
      <c r="G822" s="5" t="str">
        <f>VLOOKUP(C822,Sheet2!$C$3:$D$12,2,0)</f>
        <v>Variable</v>
      </c>
      <c r="H822" s="5" t="str">
        <f>IFERROR(VLOOKUP(E822,Sheet2!$G$3:$H$8,2,0),"unkwon")</f>
        <v>online</v>
      </c>
      <c r="I822" s="5">
        <f>VLOOKUP(B822,Sheet2!$J$4:$K$15,2,0)</f>
        <v>5</v>
      </c>
      <c r="J822" s="5">
        <f>IFERROR(VLOOKUP(C822,Sheet2!$M$4:$N$12,2,0),0)</f>
        <v>4000</v>
      </c>
      <c r="K822" s="5" t="str">
        <f t="shared" si="12"/>
        <v>within budget</v>
      </c>
    </row>
    <row r="823" spans="1:11" x14ac:dyDescent="0.3">
      <c r="A823" s="6">
        <v>45153</v>
      </c>
      <c r="B823" s="5" t="s">
        <v>25</v>
      </c>
      <c r="C823" s="5" t="s">
        <v>35</v>
      </c>
      <c r="D823" s="5" t="s">
        <v>34</v>
      </c>
      <c r="E823" s="5" t="s">
        <v>32</v>
      </c>
      <c r="F823" s="5">
        <v>4410</v>
      </c>
      <c r="G823" s="5" t="str">
        <f>VLOOKUP(C823,Sheet2!$C$3:$D$12,2,0)</f>
        <v>Fixed</v>
      </c>
      <c r="H823" s="5" t="str">
        <f>IFERROR(VLOOKUP(E823,Sheet2!$G$3:$H$8,2,0),"unkwon")</f>
        <v>offline</v>
      </c>
      <c r="I823" s="5">
        <f>VLOOKUP(B823,Sheet2!$J$4:$K$15,2,0)</f>
        <v>8</v>
      </c>
      <c r="J823" s="5">
        <f>IFERROR(VLOOKUP(C823,Sheet2!$M$4:$N$12,2,0),0)</f>
        <v>5500</v>
      </c>
      <c r="K823" s="5" t="str">
        <f t="shared" si="12"/>
        <v>within budget</v>
      </c>
    </row>
    <row r="824" spans="1:11" x14ac:dyDescent="0.3">
      <c r="A824" s="6">
        <v>45398</v>
      </c>
      <c r="B824" s="5" t="s">
        <v>29</v>
      </c>
      <c r="C824" s="5" t="s">
        <v>7</v>
      </c>
      <c r="D824" s="5" t="s">
        <v>11</v>
      </c>
      <c r="E824" s="5" t="s">
        <v>17</v>
      </c>
      <c r="F824" s="5">
        <v>4197</v>
      </c>
      <c r="G824" s="5" t="str">
        <f>VLOOKUP(C824,Sheet2!$C$3:$D$12,2,0)</f>
        <v>Fixed</v>
      </c>
      <c r="H824" s="5" t="str">
        <f>IFERROR(VLOOKUP(E824,Sheet2!$G$3:$H$8,2,0),"unkwon")</f>
        <v>online</v>
      </c>
      <c r="I824" s="5">
        <f>VLOOKUP(B824,Sheet2!$J$4:$K$15,2,0)</f>
        <v>4</v>
      </c>
      <c r="J824" s="5">
        <f>IFERROR(VLOOKUP(C824,Sheet2!$M$4:$N$12,2,0),0)</f>
        <v>2000</v>
      </c>
      <c r="K824" s="5" t="str">
        <f t="shared" si="12"/>
        <v>over budget</v>
      </c>
    </row>
    <row r="825" spans="1:11" x14ac:dyDescent="0.3">
      <c r="A825" s="6">
        <v>45075</v>
      </c>
      <c r="B825" s="5" t="s">
        <v>28</v>
      </c>
      <c r="C825" s="5" t="s">
        <v>10</v>
      </c>
      <c r="D825" s="5" t="s">
        <v>26</v>
      </c>
      <c r="E825" s="5" t="s">
        <v>17</v>
      </c>
      <c r="F825" s="5">
        <v>857</v>
      </c>
      <c r="G825" s="5" t="str">
        <f>VLOOKUP(C825,Sheet2!$C$3:$D$12,2,0)</f>
        <v>Variable</v>
      </c>
      <c r="H825" s="5" t="str">
        <f>IFERROR(VLOOKUP(E825,Sheet2!$G$3:$H$8,2,0),"unkwon")</f>
        <v>online</v>
      </c>
      <c r="I825" s="5">
        <f>VLOOKUP(B825,Sheet2!$J$4:$K$15,2,0)</f>
        <v>5</v>
      </c>
      <c r="J825" s="5">
        <f>IFERROR(VLOOKUP(C825,Sheet2!$M$4:$N$12,2,0),0)</f>
        <v>5000</v>
      </c>
      <c r="K825" s="5" t="str">
        <f t="shared" si="12"/>
        <v>within budget</v>
      </c>
    </row>
    <row r="826" spans="1:11" x14ac:dyDescent="0.3">
      <c r="A826" s="6">
        <v>45266</v>
      </c>
      <c r="B826" s="5" t="s">
        <v>16</v>
      </c>
      <c r="C826" s="5" t="s">
        <v>22</v>
      </c>
      <c r="D826" s="5" t="s">
        <v>11</v>
      </c>
      <c r="E826" s="5" t="s">
        <v>12</v>
      </c>
      <c r="F826" s="5">
        <v>2468</v>
      </c>
      <c r="G826" s="5" t="str">
        <f>VLOOKUP(C826,Sheet2!$C$3:$D$12,2,0)</f>
        <v>Variable</v>
      </c>
      <c r="H826" s="5" t="str">
        <f>IFERROR(VLOOKUP(E826,Sheet2!$G$3:$H$8,2,0),"unkwon")</f>
        <v>online</v>
      </c>
      <c r="I826" s="5">
        <f>VLOOKUP(B826,Sheet2!$J$4:$K$15,2,0)</f>
        <v>12</v>
      </c>
      <c r="J826" s="5">
        <f>IFERROR(VLOOKUP(C826,Sheet2!$M$4:$N$12,2,0),0)</f>
        <v>1000</v>
      </c>
      <c r="K826" s="5" t="str">
        <f t="shared" si="12"/>
        <v>over budget</v>
      </c>
    </row>
    <row r="827" spans="1:11" x14ac:dyDescent="0.3">
      <c r="A827" s="6">
        <v>45208</v>
      </c>
      <c r="B827" s="5" t="s">
        <v>6</v>
      </c>
      <c r="C827" s="5" t="s">
        <v>41</v>
      </c>
      <c r="D827" s="5" t="s">
        <v>26</v>
      </c>
      <c r="E827" s="5" t="s">
        <v>9</v>
      </c>
      <c r="F827" s="5">
        <v>2662</v>
      </c>
      <c r="G827" s="5" t="str">
        <f>VLOOKUP(C827,Sheet2!$C$3:$D$12,2,0)</f>
        <v>Variable</v>
      </c>
      <c r="H827" s="5" t="str">
        <f>IFERROR(VLOOKUP(E827,Sheet2!$G$3:$H$8,2,0),"unkwon")</f>
        <v>online</v>
      </c>
      <c r="I827" s="5">
        <f>VLOOKUP(B827,Sheet2!$J$4:$K$15,2,0)</f>
        <v>10</v>
      </c>
      <c r="J827" s="5">
        <f>IFERROR(VLOOKUP(C827,Sheet2!$M$4:$N$12,2,0),0)</f>
        <v>7000</v>
      </c>
      <c r="K827" s="5" t="str">
        <f t="shared" si="12"/>
        <v>within budget</v>
      </c>
    </row>
    <row r="828" spans="1:11" x14ac:dyDescent="0.3">
      <c r="A828" s="6">
        <v>45651</v>
      </c>
      <c r="B828" s="5" t="s">
        <v>16</v>
      </c>
      <c r="C828" s="5" t="s">
        <v>30</v>
      </c>
      <c r="D828" s="5" t="s">
        <v>8</v>
      </c>
      <c r="E828" s="5" t="s">
        <v>15</v>
      </c>
      <c r="F828" s="5">
        <v>952</v>
      </c>
      <c r="G828" s="5" t="str">
        <f>VLOOKUP(C828,Sheet2!$C$3:$D$12,2,0)</f>
        <v>Fixed</v>
      </c>
      <c r="H828" s="5" t="str">
        <f>IFERROR(VLOOKUP(E828,Sheet2!$G$3:$H$8,2,0),"unkwon")</f>
        <v>online</v>
      </c>
      <c r="I828" s="5">
        <f>VLOOKUP(B828,Sheet2!$J$4:$K$15,2,0)</f>
        <v>12</v>
      </c>
      <c r="J828" s="5">
        <f>IFERROR(VLOOKUP(C828,Sheet2!$M$4:$N$12,2,0),0)</f>
        <v>3000</v>
      </c>
      <c r="K828" s="5" t="str">
        <f t="shared" si="12"/>
        <v>within budget</v>
      </c>
    </row>
    <row r="829" spans="1:11" x14ac:dyDescent="0.3">
      <c r="A829" s="6">
        <v>45168</v>
      </c>
      <c r="B829" s="5" t="s">
        <v>25</v>
      </c>
      <c r="C829" s="5" t="s">
        <v>10</v>
      </c>
      <c r="D829" s="5" t="s">
        <v>23</v>
      </c>
      <c r="E829" s="5" t="s">
        <v>17</v>
      </c>
      <c r="F829" s="5">
        <v>1212</v>
      </c>
      <c r="G829" s="5" t="str">
        <f>VLOOKUP(C829,Sheet2!$C$3:$D$12,2,0)</f>
        <v>Variable</v>
      </c>
      <c r="H829" s="5" t="str">
        <f>IFERROR(VLOOKUP(E829,Sheet2!$G$3:$H$8,2,0),"unkwon")</f>
        <v>online</v>
      </c>
      <c r="I829" s="5">
        <f>VLOOKUP(B829,Sheet2!$J$4:$K$15,2,0)</f>
        <v>8</v>
      </c>
      <c r="J829" s="5">
        <f>IFERROR(VLOOKUP(C829,Sheet2!$M$4:$N$12,2,0),0)</f>
        <v>5000</v>
      </c>
      <c r="K829" s="5" t="str">
        <f t="shared" si="12"/>
        <v>within budget</v>
      </c>
    </row>
    <row r="830" spans="1:11" x14ac:dyDescent="0.3">
      <c r="A830" s="6">
        <v>45609</v>
      </c>
      <c r="B830" s="5" t="s">
        <v>40</v>
      </c>
      <c r="C830" s="5" t="s">
        <v>10</v>
      </c>
      <c r="D830" s="5" t="s">
        <v>18</v>
      </c>
      <c r="E830" s="5" t="s">
        <v>12</v>
      </c>
      <c r="F830" s="5">
        <v>835</v>
      </c>
      <c r="G830" s="5" t="str">
        <f>VLOOKUP(C830,Sheet2!$C$3:$D$12,2,0)</f>
        <v>Variable</v>
      </c>
      <c r="H830" s="5" t="str">
        <f>IFERROR(VLOOKUP(E830,Sheet2!$G$3:$H$8,2,0),"unkwon")</f>
        <v>online</v>
      </c>
      <c r="I830" s="5">
        <f>VLOOKUP(B830,Sheet2!$J$4:$K$15,2,0)</f>
        <v>11</v>
      </c>
      <c r="J830" s="5">
        <f>IFERROR(VLOOKUP(C830,Sheet2!$M$4:$N$12,2,0),0)</f>
        <v>5000</v>
      </c>
      <c r="K830" s="5" t="str">
        <f t="shared" si="12"/>
        <v>within budget</v>
      </c>
    </row>
    <row r="831" spans="1:11" x14ac:dyDescent="0.3">
      <c r="A831" s="6">
        <v>45541</v>
      </c>
      <c r="B831" s="5" t="s">
        <v>38</v>
      </c>
      <c r="C831" s="5" t="s">
        <v>13</v>
      </c>
      <c r="D831" s="5" t="s">
        <v>8</v>
      </c>
      <c r="E831" s="5" t="s">
        <v>15</v>
      </c>
      <c r="F831" s="5">
        <v>1715</v>
      </c>
      <c r="G831" s="5" t="str">
        <f>VLOOKUP(C831,Sheet2!$C$3:$D$12,2,0)</f>
        <v>Variable</v>
      </c>
      <c r="H831" s="5" t="str">
        <f>IFERROR(VLOOKUP(E831,Sheet2!$G$3:$H$8,2,0),"unkwon")</f>
        <v>online</v>
      </c>
      <c r="I831" s="5">
        <f>VLOOKUP(B831,Sheet2!$J$4:$K$15,2,0)</f>
        <v>9</v>
      </c>
      <c r="J831" s="5">
        <f>IFERROR(VLOOKUP(C831,Sheet2!$M$4:$N$12,2,0),0)</f>
        <v>5000</v>
      </c>
      <c r="K831" s="5" t="str">
        <f t="shared" si="12"/>
        <v>within budget</v>
      </c>
    </row>
    <row r="832" spans="1:11" x14ac:dyDescent="0.3">
      <c r="A832" s="6">
        <v>45487</v>
      </c>
      <c r="B832" s="5" t="s">
        <v>21</v>
      </c>
      <c r="C832" s="5" t="s">
        <v>30</v>
      </c>
      <c r="D832" s="5" t="s">
        <v>8</v>
      </c>
      <c r="E832" s="5" t="s">
        <v>17</v>
      </c>
      <c r="F832" s="5">
        <v>3589</v>
      </c>
      <c r="G832" s="5" t="str">
        <f>VLOOKUP(C832,Sheet2!$C$3:$D$12,2,0)</f>
        <v>Fixed</v>
      </c>
      <c r="H832" s="5" t="str">
        <f>IFERROR(VLOOKUP(E832,Sheet2!$G$3:$H$8,2,0),"unkwon")</f>
        <v>online</v>
      </c>
      <c r="I832" s="5">
        <f>VLOOKUP(B832,Sheet2!$J$4:$K$15,2,0)</f>
        <v>7</v>
      </c>
      <c r="J832" s="5">
        <f>IFERROR(VLOOKUP(C832,Sheet2!$M$4:$N$12,2,0),0)</f>
        <v>3000</v>
      </c>
      <c r="K832" s="5" t="str">
        <f t="shared" si="12"/>
        <v>over budget</v>
      </c>
    </row>
    <row r="833" spans="1:11" x14ac:dyDescent="0.3">
      <c r="A833" s="6">
        <v>45563</v>
      </c>
      <c r="B833" s="5" t="s">
        <v>38</v>
      </c>
      <c r="C833" s="5" t="s">
        <v>22</v>
      </c>
      <c r="D833" s="5" t="s">
        <v>11</v>
      </c>
      <c r="E833" s="5" t="s">
        <v>15</v>
      </c>
      <c r="F833" s="5">
        <v>4439</v>
      </c>
      <c r="G833" s="5" t="str">
        <f>VLOOKUP(C833,Sheet2!$C$3:$D$12,2,0)</f>
        <v>Variable</v>
      </c>
      <c r="H833" s="5" t="str">
        <f>IFERROR(VLOOKUP(E833,Sheet2!$G$3:$H$8,2,0),"unkwon")</f>
        <v>online</v>
      </c>
      <c r="I833" s="5">
        <f>VLOOKUP(B833,Sheet2!$J$4:$K$15,2,0)</f>
        <v>9</v>
      </c>
      <c r="J833" s="5">
        <f>IFERROR(VLOOKUP(C833,Sheet2!$M$4:$N$12,2,0),0)</f>
        <v>1000</v>
      </c>
      <c r="K833" s="5" t="str">
        <f t="shared" si="12"/>
        <v>over budget</v>
      </c>
    </row>
    <row r="834" spans="1:11" x14ac:dyDescent="0.3">
      <c r="A834" s="6">
        <v>45412</v>
      </c>
      <c r="B834" s="5" t="s">
        <v>29</v>
      </c>
      <c r="C834" s="5" t="s">
        <v>22</v>
      </c>
      <c r="D834" s="5" t="s">
        <v>18</v>
      </c>
      <c r="E834" s="5" t="s">
        <v>32</v>
      </c>
      <c r="F834" s="5">
        <v>334</v>
      </c>
      <c r="G834" s="5" t="str">
        <f>VLOOKUP(C834,Sheet2!$C$3:$D$12,2,0)</f>
        <v>Variable</v>
      </c>
      <c r="H834" s="5" t="str">
        <f>IFERROR(VLOOKUP(E834,Sheet2!$G$3:$H$8,2,0),"unkwon")</f>
        <v>offline</v>
      </c>
      <c r="I834" s="5">
        <f>VLOOKUP(B834,Sheet2!$J$4:$K$15,2,0)</f>
        <v>4</v>
      </c>
      <c r="J834" s="5">
        <f>IFERROR(VLOOKUP(C834,Sheet2!$M$4:$N$12,2,0),0)</f>
        <v>1000</v>
      </c>
      <c r="K834" s="5" t="str">
        <f t="shared" si="12"/>
        <v>within budget</v>
      </c>
    </row>
    <row r="835" spans="1:11" x14ac:dyDescent="0.3">
      <c r="A835" s="6">
        <v>45091</v>
      </c>
      <c r="B835" s="5" t="s">
        <v>39</v>
      </c>
      <c r="C835" s="5" t="s">
        <v>41</v>
      </c>
      <c r="D835" s="5" t="s">
        <v>18</v>
      </c>
      <c r="E835" s="5" t="s">
        <v>17</v>
      </c>
      <c r="F835" s="5">
        <v>2362</v>
      </c>
      <c r="G835" s="5" t="str">
        <f>VLOOKUP(C835,Sheet2!$C$3:$D$12,2,0)</f>
        <v>Variable</v>
      </c>
      <c r="H835" s="5" t="str">
        <f>IFERROR(VLOOKUP(E835,Sheet2!$G$3:$H$8,2,0),"unkwon")</f>
        <v>online</v>
      </c>
      <c r="I835" s="5">
        <f>VLOOKUP(B835,Sheet2!$J$4:$K$15,2,0)</f>
        <v>6</v>
      </c>
      <c r="J835" s="5">
        <f>IFERROR(VLOOKUP(C835,Sheet2!$M$4:$N$12,2,0),0)</f>
        <v>7000</v>
      </c>
      <c r="K835" s="5" t="str">
        <f t="shared" ref="K835:K898" si="13">IF(F835&gt;J835,"over budget","within budget")</f>
        <v>within budget</v>
      </c>
    </row>
    <row r="836" spans="1:11" x14ac:dyDescent="0.3">
      <c r="A836" s="6">
        <v>45150</v>
      </c>
      <c r="B836" s="5" t="s">
        <v>25</v>
      </c>
      <c r="C836" s="5" t="s">
        <v>27</v>
      </c>
      <c r="D836" s="5" t="s">
        <v>20</v>
      </c>
      <c r="E836" s="5" t="s">
        <v>15</v>
      </c>
      <c r="F836" s="5">
        <v>3035</v>
      </c>
      <c r="G836" s="5" t="str">
        <f>VLOOKUP(C836,Sheet2!$C$3:$D$12,2,0)</f>
        <v>Variable</v>
      </c>
      <c r="H836" s="5" t="str">
        <f>IFERROR(VLOOKUP(E836,Sheet2!$G$3:$H$8,2,0),"unkwon")</f>
        <v>online</v>
      </c>
      <c r="I836" s="5">
        <f>VLOOKUP(B836,Sheet2!$J$4:$K$15,2,0)</f>
        <v>8</v>
      </c>
      <c r="J836" s="5">
        <f>IFERROR(VLOOKUP(C836,Sheet2!$M$4:$N$12,2,0),0)</f>
        <v>4000</v>
      </c>
      <c r="K836" s="5" t="str">
        <f t="shared" si="13"/>
        <v>within budget</v>
      </c>
    </row>
    <row r="837" spans="1:11" x14ac:dyDescent="0.3">
      <c r="A837" s="6">
        <v>45514</v>
      </c>
      <c r="B837" s="5" t="s">
        <v>25</v>
      </c>
      <c r="C837" s="5" t="s">
        <v>27</v>
      </c>
      <c r="D837" s="5" t="s">
        <v>20</v>
      </c>
      <c r="E837" s="5" t="s">
        <v>17</v>
      </c>
      <c r="F837" s="5">
        <v>1903</v>
      </c>
      <c r="G837" s="5" t="str">
        <f>VLOOKUP(C837,Sheet2!$C$3:$D$12,2,0)</f>
        <v>Variable</v>
      </c>
      <c r="H837" s="5" t="str">
        <f>IFERROR(VLOOKUP(E837,Sheet2!$G$3:$H$8,2,0),"unkwon")</f>
        <v>online</v>
      </c>
      <c r="I837" s="5">
        <f>VLOOKUP(B837,Sheet2!$J$4:$K$15,2,0)</f>
        <v>8</v>
      </c>
      <c r="J837" s="5">
        <f>IFERROR(VLOOKUP(C837,Sheet2!$M$4:$N$12,2,0),0)</f>
        <v>4000</v>
      </c>
      <c r="K837" s="5" t="str">
        <f t="shared" si="13"/>
        <v>within budget</v>
      </c>
    </row>
    <row r="838" spans="1:11" x14ac:dyDescent="0.3">
      <c r="A838" s="6">
        <v>45188</v>
      </c>
      <c r="B838" s="5" t="s">
        <v>38</v>
      </c>
      <c r="C838" s="5" t="s">
        <v>41</v>
      </c>
      <c r="D838" s="5" t="s">
        <v>31</v>
      </c>
      <c r="E838" s="5" t="s">
        <v>15</v>
      </c>
      <c r="F838" s="5">
        <v>2775</v>
      </c>
      <c r="G838" s="5" t="str">
        <f>VLOOKUP(C838,Sheet2!$C$3:$D$12,2,0)</f>
        <v>Variable</v>
      </c>
      <c r="H838" s="5" t="str">
        <f>IFERROR(VLOOKUP(E838,Sheet2!$G$3:$H$8,2,0),"unkwon")</f>
        <v>online</v>
      </c>
      <c r="I838" s="5">
        <f>VLOOKUP(B838,Sheet2!$J$4:$K$15,2,0)</f>
        <v>9</v>
      </c>
      <c r="J838" s="5">
        <f>IFERROR(VLOOKUP(C838,Sheet2!$M$4:$N$12,2,0),0)</f>
        <v>7000</v>
      </c>
      <c r="K838" s="5" t="str">
        <f t="shared" si="13"/>
        <v>within budget</v>
      </c>
    </row>
    <row r="839" spans="1:11" x14ac:dyDescent="0.3">
      <c r="A839" s="6">
        <v>45207</v>
      </c>
      <c r="B839" s="5" t="s">
        <v>6</v>
      </c>
      <c r="C839" s="5" t="s">
        <v>13</v>
      </c>
      <c r="D839" s="5" t="s">
        <v>34</v>
      </c>
      <c r="E839" s="5" t="s">
        <v>15</v>
      </c>
      <c r="F839" s="5">
        <v>2503</v>
      </c>
      <c r="G839" s="5" t="str">
        <f>VLOOKUP(C839,Sheet2!$C$3:$D$12,2,0)</f>
        <v>Variable</v>
      </c>
      <c r="H839" s="5" t="str">
        <f>IFERROR(VLOOKUP(E839,Sheet2!$G$3:$H$8,2,0),"unkwon")</f>
        <v>online</v>
      </c>
      <c r="I839" s="5">
        <f>VLOOKUP(B839,Sheet2!$J$4:$K$15,2,0)</f>
        <v>10</v>
      </c>
      <c r="J839" s="5">
        <f>IFERROR(VLOOKUP(C839,Sheet2!$M$4:$N$12,2,0),0)</f>
        <v>5000</v>
      </c>
      <c r="K839" s="5" t="str">
        <f t="shared" si="13"/>
        <v>within budget</v>
      </c>
    </row>
    <row r="840" spans="1:11" x14ac:dyDescent="0.3">
      <c r="A840" s="6">
        <v>45369</v>
      </c>
      <c r="B840" s="5" t="s">
        <v>19</v>
      </c>
      <c r="C840" s="5" t="s">
        <v>35</v>
      </c>
      <c r="D840" s="5" t="s">
        <v>24</v>
      </c>
      <c r="E840" s="5" t="s">
        <v>32</v>
      </c>
      <c r="F840" s="5">
        <v>3940</v>
      </c>
      <c r="G840" s="5" t="str">
        <f>VLOOKUP(C840,Sheet2!$C$3:$D$12,2,0)</f>
        <v>Fixed</v>
      </c>
      <c r="H840" s="5" t="str">
        <f>IFERROR(VLOOKUP(E840,Sheet2!$G$3:$H$8,2,0),"unkwon")</f>
        <v>offline</v>
      </c>
      <c r="I840" s="5">
        <f>VLOOKUP(B840,Sheet2!$J$4:$K$15,2,0)</f>
        <v>3</v>
      </c>
      <c r="J840" s="5">
        <f>IFERROR(VLOOKUP(C840,Sheet2!$M$4:$N$12,2,0),0)</f>
        <v>5500</v>
      </c>
      <c r="K840" s="5" t="str">
        <f t="shared" si="13"/>
        <v>within budget</v>
      </c>
    </row>
    <row r="841" spans="1:11" x14ac:dyDescent="0.3">
      <c r="A841" s="6">
        <v>45352</v>
      </c>
      <c r="B841" s="5" t="s">
        <v>19</v>
      </c>
      <c r="C841" s="5" t="s">
        <v>22</v>
      </c>
      <c r="D841" s="5" t="s">
        <v>18</v>
      </c>
      <c r="E841" s="5" t="s">
        <v>9</v>
      </c>
      <c r="F841" s="5">
        <v>2820</v>
      </c>
      <c r="G841" s="5" t="str">
        <f>VLOOKUP(C841,Sheet2!$C$3:$D$12,2,0)</f>
        <v>Variable</v>
      </c>
      <c r="H841" s="5" t="str">
        <f>IFERROR(VLOOKUP(E841,Sheet2!$G$3:$H$8,2,0),"unkwon")</f>
        <v>online</v>
      </c>
      <c r="I841" s="5">
        <f>VLOOKUP(B841,Sheet2!$J$4:$K$15,2,0)</f>
        <v>3</v>
      </c>
      <c r="J841" s="5">
        <f>IFERROR(VLOOKUP(C841,Sheet2!$M$4:$N$12,2,0),0)</f>
        <v>1000</v>
      </c>
      <c r="K841" s="5" t="str">
        <f t="shared" si="13"/>
        <v>over budget</v>
      </c>
    </row>
    <row r="842" spans="1:11" x14ac:dyDescent="0.3">
      <c r="A842" s="6">
        <v>45011</v>
      </c>
      <c r="B842" s="5" t="s">
        <v>19</v>
      </c>
      <c r="C842" s="5" t="s">
        <v>35</v>
      </c>
      <c r="D842" s="5" t="s">
        <v>8</v>
      </c>
      <c r="E842" s="5" t="s">
        <v>15</v>
      </c>
      <c r="F842" s="5">
        <v>1777</v>
      </c>
      <c r="G842" s="5" t="str">
        <f>VLOOKUP(C842,Sheet2!$C$3:$D$12,2,0)</f>
        <v>Fixed</v>
      </c>
      <c r="H842" s="5" t="str">
        <f>IFERROR(VLOOKUP(E842,Sheet2!$G$3:$H$8,2,0),"unkwon")</f>
        <v>online</v>
      </c>
      <c r="I842" s="5">
        <f>VLOOKUP(B842,Sheet2!$J$4:$K$15,2,0)</f>
        <v>3</v>
      </c>
      <c r="J842" s="5">
        <f>IFERROR(VLOOKUP(C842,Sheet2!$M$4:$N$12,2,0),0)</f>
        <v>5500</v>
      </c>
      <c r="K842" s="5" t="str">
        <f t="shared" si="13"/>
        <v>within budget</v>
      </c>
    </row>
    <row r="843" spans="1:11" x14ac:dyDescent="0.3">
      <c r="A843" s="6">
        <v>45053</v>
      </c>
      <c r="B843" s="5" t="s">
        <v>28</v>
      </c>
      <c r="C843" s="5" t="s">
        <v>13</v>
      </c>
      <c r="D843" s="5" t="s">
        <v>31</v>
      </c>
      <c r="E843" s="5" t="s">
        <v>9</v>
      </c>
      <c r="F843" s="5">
        <v>2135</v>
      </c>
      <c r="G843" s="5" t="str">
        <f>VLOOKUP(C843,Sheet2!$C$3:$D$12,2,0)</f>
        <v>Variable</v>
      </c>
      <c r="H843" s="5" t="str">
        <f>IFERROR(VLOOKUP(E843,Sheet2!$G$3:$H$8,2,0),"unkwon")</f>
        <v>online</v>
      </c>
      <c r="I843" s="5">
        <f>VLOOKUP(B843,Sheet2!$J$4:$K$15,2,0)</f>
        <v>5</v>
      </c>
      <c r="J843" s="5">
        <f>IFERROR(VLOOKUP(C843,Sheet2!$M$4:$N$12,2,0),0)</f>
        <v>5000</v>
      </c>
      <c r="K843" s="5" t="str">
        <f t="shared" si="13"/>
        <v>within budget</v>
      </c>
    </row>
    <row r="844" spans="1:11" x14ac:dyDescent="0.3">
      <c r="A844" s="6">
        <v>45032</v>
      </c>
      <c r="B844" s="5" t="s">
        <v>29</v>
      </c>
      <c r="C844" s="5" t="s">
        <v>27</v>
      </c>
      <c r="D844" s="5" t="s">
        <v>23</v>
      </c>
      <c r="E844" s="5" t="s">
        <v>32</v>
      </c>
      <c r="F844" s="5">
        <v>2281</v>
      </c>
      <c r="G844" s="5" t="str">
        <f>VLOOKUP(C844,Sheet2!$C$3:$D$12,2,0)</f>
        <v>Variable</v>
      </c>
      <c r="H844" s="5" t="str">
        <f>IFERROR(VLOOKUP(E844,Sheet2!$G$3:$H$8,2,0),"unkwon")</f>
        <v>offline</v>
      </c>
      <c r="I844" s="5">
        <f>VLOOKUP(B844,Sheet2!$J$4:$K$15,2,0)</f>
        <v>4</v>
      </c>
      <c r="J844" s="5">
        <f>IFERROR(VLOOKUP(C844,Sheet2!$M$4:$N$12,2,0),0)</f>
        <v>4000</v>
      </c>
      <c r="K844" s="5" t="str">
        <f t="shared" si="13"/>
        <v>within budget</v>
      </c>
    </row>
    <row r="845" spans="1:11" x14ac:dyDescent="0.3">
      <c r="A845" s="6">
        <v>45097</v>
      </c>
      <c r="B845" s="5" t="s">
        <v>39</v>
      </c>
      <c r="C845" s="5" t="s">
        <v>10</v>
      </c>
      <c r="D845" s="5" t="s">
        <v>18</v>
      </c>
      <c r="E845" s="5" t="s">
        <v>12</v>
      </c>
      <c r="F845" s="5">
        <v>4567</v>
      </c>
      <c r="G845" s="5" t="str">
        <f>VLOOKUP(C845,Sheet2!$C$3:$D$12,2,0)</f>
        <v>Variable</v>
      </c>
      <c r="H845" s="5" t="str">
        <f>IFERROR(VLOOKUP(E845,Sheet2!$G$3:$H$8,2,0),"unkwon")</f>
        <v>online</v>
      </c>
      <c r="I845" s="5">
        <f>VLOOKUP(B845,Sheet2!$J$4:$K$15,2,0)</f>
        <v>6</v>
      </c>
      <c r="J845" s="5">
        <f>IFERROR(VLOOKUP(C845,Sheet2!$M$4:$N$12,2,0),0)</f>
        <v>5000</v>
      </c>
      <c r="K845" s="5" t="str">
        <f t="shared" si="13"/>
        <v>within budget</v>
      </c>
    </row>
    <row r="846" spans="1:11" x14ac:dyDescent="0.3">
      <c r="A846" s="6">
        <v>45390</v>
      </c>
      <c r="B846" s="5" t="s">
        <v>29</v>
      </c>
      <c r="C846" s="5" t="s">
        <v>41</v>
      </c>
      <c r="D846" s="5" t="s">
        <v>23</v>
      </c>
      <c r="E846" s="5" t="s">
        <v>32</v>
      </c>
      <c r="F846" s="5">
        <v>4135</v>
      </c>
      <c r="G846" s="5" t="str">
        <f>VLOOKUP(C846,Sheet2!$C$3:$D$12,2,0)</f>
        <v>Variable</v>
      </c>
      <c r="H846" s="5" t="str">
        <f>IFERROR(VLOOKUP(E846,Sheet2!$G$3:$H$8,2,0),"unkwon")</f>
        <v>offline</v>
      </c>
      <c r="I846" s="5">
        <f>VLOOKUP(B846,Sheet2!$J$4:$K$15,2,0)</f>
        <v>4</v>
      </c>
      <c r="J846" s="5">
        <f>IFERROR(VLOOKUP(C846,Sheet2!$M$4:$N$12,2,0),0)</f>
        <v>7000</v>
      </c>
      <c r="K846" s="5" t="str">
        <f t="shared" si="13"/>
        <v>within budget</v>
      </c>
    </row>
    <row r="847" spans="1:11" x14ac:dyDescent="0.3">
      <c r="A847" s="6">
        <v>45283</v>
      </c>
      <c r="B847" s="5" t="s">
        <v>16</v>
      </c>
      <c r="C847" s="5" t="s">
        <v>10</v>
      </c>
      <c r="D847" s="5" t="s">
        <v>8</v>
      </c>
      <c r="E847" s="5" t="s">
        <v>15</v>
      </c>
      <c r="F847" s="5">
        <v>240</v>
      </c>
      <c r="G847" s="5" t="str">
        <f>VLOOKUP(C847,Sheet2!$C$3:$D$12,2,0)</f>
        <v>Variable</v>
      </c>
      <c r="H847" s="5" t="str">
        <f>IFERROR(VLOOKUP(E847,Sheet2!$G$3:$H$8,2,0),"unkwon")</f>
        <v>online</v>
      </c>
      <c r="I847" s="5">
        <f>VLOOKUP(B847,Sheet2!$J$4:$K$15,2,0)</f>
        <v>12</v>
      </c>
      <c r="J847" s="5">
        <f>IFERROR(VLOOKUP(C847,Sheet2!$M$4:$N$12,2,0),0)</f>
        <v>5000</v>
      </c>
      <c r="K847" s="5" t="str">
        <f t="shared" si="13"/>
        <v>within budget</v>
      </c>
    </row>
    <row r="848" spans="1:11" x14ac:dyDescent="0.3">
      <c r="A848" s="6">
        <v>45489</v>
      </c>
      <c r="B848" s="5" t="s">
        <v>21</v>
      </c>
      <c r="C848" s="5" t="s">
        <v>13</v>
      </c>
      <c r="D848" s="5" t="s">
        <v>23</v>
      </c>
      <c r="E848" s="5" t="s">
        <v>15</v>
      </c>
      <c r="F848" s="5">
        <v>2693</v>
      </c>
      <c r="G848" s="5" t="str">
        <f>VLOOKUP(C848,Sheet2!$C$3:$D$12,2,0)</f>
        <v>Variable</v>
      </c>
      <c r="H848" s="5" t="str">
        <f>IFERROR(VLOOKUP(E848,Sheet2!$G$3:$H$8,2,0),"unkwon")</f>
        <v>online</v>
      </c>
      <c r="I848" s="5">
        <f>VLOOKUP(B848,Sheet2!$J$4:$K$15,2,0)</f>
        <v>7</v>
      </c>
      <c r="J848" s="5">
        <f>IFERROR(VLOOKUP(C848,Sheet2!$M$4:$N$12,2,0),0)</f>
        <v>5000</v>
      </c>
      <c r="K848" s="5" t="str">
        <f t="shared" si="13"/>
        <v>within budget</v>
      </c>
    </row>
    <row r="849" spans="1:11" x14ac:dyDescent="0.3">
      <c r="A849" s="6">
        <v>45251</v>
      </c>
      <c r="B849" s="5" t="s">
        <v>40</v>
      </c>
      <c r="C849" s="5" t="s">
        <v>36</v>
      </c>
      <c r="D849" s="5" t="s">
        <v>26</v>
      </c>
      <c r="E849" s="5" t="s">
        <v>9</v>
      </c>
      <c r="F849" s="5">
        <v>1093</v>
      </c>
      <c r="G849" s="5" t="str">
        <f>VLOOKUP(C849,Sheet2!$C$3:$D$12,2,0)</f>
        <v>Variable</v>
      </c>
      <c r="H849" s="5" t="str">
        <f>IFERROR(VLOOKUP(E849,Sheet2!$G$3:$H$8,2,0),"unkwon")</f>
        <v>online</v>
      </c>
      <c r="I849" s="5">
        <f>VLOOKUP(B849,Sheet2!$J$4:$K$15,2,0)</f>
        <v>11</v>
      </c>
      <c r="J849" s="5">
        <f>IFERROR(VLOOKUP(C849,Sheet2!$M$4:$N$12,2,0),0)</f>
        <v>10000</v>
      </c>
      <c r="K849" s="5" t="str">
        <f t="shared" si="13"/>
        <v>within budget</v>
      </c>
    </row>
    <row r="850" spans="1:11" x14ac:dyDescent="0.3">
      <c r="A850" s="6">
        <v>45484</v>
      </c>
      <c r="B850" s="5" t="s">
        <v>21</v>
      </c>
      <c r="C850" s="5" t="s">
        <v>30</v>
      </c>
      <c r="D850" s="5" t="s">
        <v>26</v>
      </c>
      <c r="E850" s="5" t="s">
        <v>9</v>
      </c>
      <c r="F850" s="5">
        <v>2780</v>
      </c>
      <c r="G850" s="5" t="str">
        <f>VLOOKUP(C850,Sheet2!$C$3:$D$12,2,0)</f>
        <v>Fixed</v>
      </c>
      <c r="H850" s="5" t="str">
        <f>IFERROR(VLOOKUP(E850,Sheet2!$G$3:$H$8,2,0),"unkwon")</f>
        <v>online</v>
      </c>
      <c r="I850" s="5">
        <f>VLOOKUP(B850,Sheet2!$J$4:$K$15,2,0)</f>
        <v>7</v>
      </c>
      <c r="J850" s="5">
        <f>IFERROR(VLOOKUP(C850,Sheet2!$M$4:$N$12,2,0),0)</f>
        <v>3000</v>
      </c>
      <c r="K850" s="5" t="str">
        <f t="shared" si="13"/>
        <v>within budget</v>
      </c>
    </row>
    <row r="851" spans="1:11" x14ac:dyDescent="0.3">
      <c r="A851" s="6">
        <v>45488</v>
      </c>
      <c r="B851" s="5" t="s">
        <v>21</v>
      </c>
      <c r="C851" s="5" t="s">
        <v>7</v>
      </c>
      <c r="D851" s="5" t="s">
        <v>14</v>
      </c>
      <c r="E851" s="5" t="s">
        <v>15</v>
      </c>
      <c r="F851" s="5">
        <v>2031</v>
      </c>
      <c r="G851" s="5" t="str">
        <f>VLOOKUP(C851,Sheet2!$C$3:$D$12,2,0)</f>
        <v>Fixed</v>
      </c>
      <c r="H851" s="5" t="str">
        <f>IFERROR(VLOOKUP(E851,Sheet2!$G$3:$H$8,2,0),"unkwon")</f>
        <v>online</v>
      </c>
      <c r="I851" s="5">
        <f>VLOOKUP(B851,Sheet2!$J$4:$K$15,2,0)</f>
        <v>7</v>
      </c>
      <c r="J851" s="5">
        <f>IFERROR(VLOOKUP(C851,Sheet2!$M$4:$N$12,2,0),0)</f>
        <v>2000</v>
      </c>
      <c r="K851" s="5" t="str">
        <f t="shared" si="13"/>
        <v>over budget</v>
      </c>
    </row>
    <row r="852" spans="1:11" x14ac:dyDescent="0.3">
      <c r="A852" s="6">
        <v>45452</v>
      </c>
      <c r="B852" s="5" t="s">
        <v>39</v>
      </c>
      <c r="C852" s="5" t="s">
        <v>35</v>
      </c>
      <c r="D852" s="5" t="s">
        <v>23</v>
      </c>
      <c r="E852" s="5" t="s">
        <v>9</v>
      </c>
      <c r="F852" s="5">
        <v>2867</v>
      </c>
      <c r="G852" s="5" t="str">
        <f>VLOOKUP(C852,Sheet2!$C$3:$D$12,2,0)</f>
        <v>Fixed</v>
      </c>
      <c r="H852" s="5" t="str">
        <f>IFERROR(VLOOKUP(E852,Sheet2!$G$3:$H$8,2,0),"unkwon")</f>
        <v>online</v>
      </c>
      <c r="I852" s="5">
        <f>VLOOKUP(B852,Sheet2!$J$4:$K$15,2,0)</f>
        <v>6</v>
      </c>
      <c r="J852" s="5">
        <f>IFERROR(VLOOKUP(C852,Sheet2!$M$4:$N$12,2,0),0)</f>
        <v>5500</v>
      </c>
      <c r="K852" s="5" t="str">
        <f t="shared" si="13"/>
        <v>within budget</v>
      </c>
    </row>
    <row r="853" spans="1:11" x14ac:dyDescent="0.3">
      <c r="A853" s="6">
        <v>45142</v>
      </c>
      <c r="B853" s="5" t="s">
        <v>25</v>
      </c>
      <c r="C853" s="5" t="s">
        <v>10</v>
      </c>
      <c r="D853" s="5" t="s">
        <v>26</v>
      </c>
      <c r="E853" s="5" t="s">
        <v>15</v>
      </c>
      <c r="F853" s="5">
        <v>1431</v>
      </c>
      <c r="G853" s="5" t="str">
        <f>VLOOKUP(C853,Sheet2!$C$3:$D$12,2,0)</f>
        <v>Variable</v>
      </c>
      <c r="H853" s="5" t="str">
        <f>IFERROR(VLOOKUP(E853,Sheet2!$G$3:$H$8,2,0),"unkwon")</f>
        <v>online</v>
      </c>
      <c r="I853" s="5">
        <f>VLOOKUP(B853,Sheet2!$J$4:$K$15,2,0)</f>
        <v>8</v>
      </c>
      <c r="J853" s="5">
        <f>IFERROR(VLOOKUP(C853,Sheet2!$M$4:$N$12,2,0),0)</f>
        <v>5000</v>
      </c>
      <c r="K853" s="5" t="str">
        <f t="shared" si="13"/>
        <v>within budget</v>
      </c>
    </row>
    <row r="854" spans="1:11" x14ac:dyDescent="0.3">
      <c r="A854" s="6">
        <v>45587</v>
      </c>
      <c r="B854" s="5" t="s">
        <v>6</v>
      </c>
      <c r="C854" s="5" t="s">
        <v>36</v>
      </c>
      <c r="D854" s="5" t="s">
        <v>26</v>
      </c>
      <c r="E854" s="5" t="s">
        <v>12</v>
      </c>
      <c r="F854" s="5">
        <v>789</v>
      </c>
      <c r="G854" s="5" t="str">
        <f>VLOOKUP(C854,Sheet2!$C$3:$D$12,2,0)</f>
        <v>Variable</v>
      </c>
      <c r="H854" s="5" t="str">
        <f>IFERROR(VLOOKUP(E854,Sheet2!$G$3:$H$8,2,0),"unkwon")</f>
        <v>online</v>
      </c>
      <c r="I854" s="5">
        <f>VLOOKUP(B854,Sheet2!$J$4:$K$15,2,0)</f>
        <v>10</v>
      </c>
      <c r="J854" s="5">
        <f>IFERROR(VLOOKUP(C854,Sheet2!$M$4:$N$12,2,0),0)</f>
        <v>10000</v>
      </c>
      <c r="K854" s="5" t="str">
        <f t="shared" si="13"/>
        <v>within budget</v>
      </c>
    </row>
    <row r="855" spans="1:11" x14ac:dyDescent="0.3">
      <c r="A855" s="6">
        <v>45151</v>
      </c>
      <c r="B855" s="5" t="s">
        <v>25</v>
      </c>
      <c r="C855" s="5" t="s">
        <v>22</v>
      </c>
      <c r="D855" s="5" t="s">
        <v>23</v>
      </c>
      <c r="E855" s="5" t="s">
        <v>12</v>
      </c>
      <c r="F855" s="5">
        <v>4598</v>
      </c>
      <c r="G855" s="5" t="str">
        <f>VLOOKUP(C855,Sheet2!$C$3:$D$12,2,0)</f>
        <v>Variable</v>
      </c>
      <c r="H855" s="5" t="str">
        <f>IFERROR(VLOOKUP(E855,Sheet2!$G$3:$H$8,2,0),"unkwon")</f>
        <v>online</v>
      </c>
      <c r="I855" s="5">
        <f>VLOOKUP(B855,Sheet2!$J$4:$K$15,2,0)</f>
        <v>8</v>
      </c>
      <c r="J855" s="5">
        <f>IFERROR(VLOOKUP(C855,Sheet2!$M$4:$N$12,2,0),0)</f>
        <v>1000</v>
      </c>
      <c r="K855" s="5" t="str">
        <f t="shared" si="13"/>
        <v>over budget</v>
      </c>
    </row>
    <row r="856" spans="1:11" x14ac:dyDescent="0.3">
      <c r="A856" s="6">
        <v>44996</v>
      </c>
      <c r="B856" s="5" t="s">
        <v>19</v>
      </c>
      <c r="C856" s="5" t="s">
        <v>27</v>
      </c>
      <c r="D856" s="5" t="s">
        <v>23</v>
      </c>
      <c r="E856" s="5" t="s">
        <v>9</v>
      </c>
      <c r="F856" s="5">
        <v>2100</v>
      </c>
      <c r="G856" s="5" t="str">
        <f>VLOOKUP(C856,Sheet2!$C$3:$D$12,2,0)</f>
        <v>Variable</v>
      </c>
      <c r="H856" s="5" t="str">
        <f>IFERROR(VLOOKUP(E856,Sheet2!$G$3:$H$8,2,0),"unkwon")</f>
        <v>online</v>
      </c>
      <c r="I856" s="5">
        <f>VLOOKUP(B856,Sheet2!$J$4:$K$15,2,0)</f>
        <v>3</v>
      </c>
      <c r="J856" s="5">
        <f>IFERROR(VLOOKUP(C856,Sheet2!$M$4:$N$12,2,0),0)</f>
        <v>4000</v>
      </c>
      <c r="K856" s="5" t="str">
        <f t="shared" si="13"/>
        <v>within budget</v>
      </c>
    </row>
    <row r="857" spans="1:11" x14ac:dyDescent="0.3">
      <c r="A857" s="6">
        <v>45308</v>
      </c>
      <c r="B857" s="5" t="s">
        <v>37</v>
      </c>
      <c r="C857" s="5" t="s">
        <v>7</v>
      </c>
      <c r="D857" s="5" t="s">
        <v>8</v>
      </c>
      <c r="E857" s="5" t="s">
        <v>17</v>
      </c>
      <c r="F857" s="5">
        <v>3411</v>
      </c>
      <c r="G857" s="5" t="str">
        <f>VLOOKUP(C857,Sheet2!$C$3:$D$12,2,0)</f>
        <v>Fixed</v>
      </c>
      <c r="H857" s="5" t="str">
        <f>IFERROR(VLOOKUP(E857,Sheet2!$G$3:$H$8,2,0),"unkwon")</f>
        <v>online</v>
      </c>
      <c r="I857" s="5">
        <f>VLOOKUP(B857,Sheet2!$J$4:$K$15,2,0)</f>
        <v>1</v>
      </c>
      <c r="J857" s="5">
        <f>IFERROR(VLOOKUP(C857,Sheet2!$M$4:$N$12,2,0),0)</f>
        <v>2000</v>
      </c>
      <c r="K857" s="5" t="str">
        <f t="shared" si="13"/>
        <v>over budget</v>
      </c>
    </row>
    <row r="858" spans="1:11" x14ac:dyDescent="0.3">
      <c r="A858" s="6">
        <v>45445</v>
      </c>
      <c r="B858" s="5" t="s">
        <v>39</v>
      </c>
      <c r="C858" s="5" t="s">
        <v>7</v>
      </c>
      <c r="D858" s="5" t="s">
        <v>18</v>
      </c>
      <c r="E858" s="5" t="s">
        <v>32</v>
      </c>
      <c r="F858" s="5">
        <v>2350</v>
      </c>
      <c r="G858" s="5" t="str">
        <f>VLOOKUP(C858,Sheet2!$C$3:$D$12,2,0)</f>
        <v>Fixed</v>
      </c>
      <c r="H858" s="5" t="str">
        <f>IFERROR(VLOOKUP(E858,Sheet2!$G$3:$H$8,2,0),"unkwon")</f>
        <v>offline</v>
      </c>
      <c r="I858" s="5">
        <f>VLOOKUP(B858,Sheet2!$J$4:$K$15,2,0)</f>
        <v>6</v>
      </c>
      <c r="J858" s="5">
        <f>IFERROR(VLOOKUP(C858,Sheet2!$M$4:$N$12,2,0),0)</f>
        <v>2000</v>
      </c>
      <c r="K858" s="5" t="str">
        <f t="shared" si="13"/>
        <v>over budget</v>
      </c>
    </row>
    <row r="859" spans="1:11" x14ac:dyDescent="0.3">
      <c r="A859" s="6">
        <v>45467</v>
      </c>
      <c r="B859" s="5" t="s">
        <v>39</v>
      </c>
      <c r="C859" s="5" t="s">
        <v>13</v>
      </c>
      <c r="D859" s="5" t="s">
        <v>18</v>
      </c>
      <c r="E859" s="5" t="s">
        <v>17</v>
      </c>
      <c r="F859" s="5">
        <v>3823</v>
      </c>
      <c r="G859" s="5" t="str">
        <f>VLOOKUP(C859,Sheet2!$C$3:$D$12,2,0)</f>
        <v>Variable</v>
      </c>
      <c r="H859" s="5" t="str">
        <f>IFERROR(VLOOKUP(E859,Sheet2!$G$3:$H$8,2,0),"unkwon")</f>
        <v>online</v>
      </c>
      <c r="I859" s="5">
        <f>VLOOKUP(B859,Sheet2!$J$4:$K$15,2,0)</f>
        <v>6</v>
      </c>
      <c r="J859" s="5">
        <f>IFERROR(VLOOKUP(C859,Sheet2!$M$4:$N$12,2,0),0)</f>
        <v>5000</v>
      </c>
      <c r="K859" s="5" t="str">
        <f t="shared" si="13"/>
        <v>within budget</v>
      </c>
    </row>
    <row r="860" spans="1:11" x14ac:dyDescent="0.3">
      <c r="A860" s="6">
        <v>45198</v>
      </c>
      <c r="B860" s="5" t="s">
        <v>38</v>
      </c>
      <c r="C860" s="5" t="s">
        <v>22</v>
      </c>
      <c r="D860" s="5" t="s">
        <v>20</v>
      </c>
      <c r="E860" s="5" t="s">
        <v>12</v>
      </c>
      <c r="F860" s="5">
        <v>4291</v>
      </c>
      <c r="G860" s="5" t="str">
        <f>VLOOKUP(C860,Sheet2!$C$3:$D$12,2,0)</f>
        <v>Variable</v>
      </c>
      <c r="H860" s="5" t="str">
        <f>IFERROR(VLOOKUP(E860,Sheet2!$G$3:$H$8,2,0),"unkwon")</f>
        <v>online</v>
      </c>
      <c r="I860" s="5">
        <f>VLOOKUP(B860,Sheet2!$J$4:$K$15,2,0)</f>
        <v>9</v>
      </c>
      <c r="J860" s="5">
        <f>IFERROR(VLOOKUP(C860,Sheet2!$M$4:$N$12,2,0),0)</f>
        <v>1000</v>
      </c>
      <c r="K860" s="5" t="str">
        <f t="shared" si="13"/>
        <v>over budget</v>
      </c>
    </row>
    <row r="861" spans="1:11" x14ac:dyDescent="0.3">
      <c r="A861" s="6">
        <v>45593</v>
      </c>
      <c r="B861" s="5" t="s">
        <v>6</v>
      </c>
      <c r="C861" s="5" t="s">
        <v>10</v>
      </c>
      <c r="D861" s="5" t="s">
        <v>34</v>
      </c>
      <c r="E861" s="5" t="s">
        <v>9</v>
      </c>
      <c r="F861" s="5">
        <v>4601</v>
      </c>
      <c r="G861" s="5" t="str">
        <f>VLOOKUP(C861,Sheet2!$C$3:$D$12,2,0)</f>
        <v>Variable</v>
      </c>
      <c r="H861" s="5" t="str">
        <f>IFERROR(VLOOKUP(E861,Sheet2!$G$3:$H$8,2,0),"unkwon")</f>
        <v>online</v>
      </c>
      <c r="I861" s="5">
        <f>VLOOKUP(B861,Sheet2!$J$4:$K$15,2,0)</f>
        <v>10</v>
      </c>
      <c r="J861" s="5">
        <f>IFERROR(VLOOKUP(C861,Sheet2!$M$4:$N$12,2,0),0)</f>
        <v>5000</v>
      </c>
      <c r="K861" s="5" t="str">
        <f t="shared" si="13"/>
        <v>within budget</v>
      </c>
    </row>
    <row r="862" spans="1:11" x14ac:dyDescent="0.3">
      <c r="A862" s="6">
        <v>45260</v>
      </c>
      <c r="B862" s="5" t="s">
        <v>40</v>
      </c>
      <c r="C862" s="5" t="s">
        <v>35</v>
      </c>
      <c r="D862" s="5" t="s">
        <v>26</v>
      </c>
      <c r="E862" s="5" t="s">
        <v>9</v>
      </c>
      <c r="F862" s="5">
        <v>4826</v>
      </c>
      <c r="G862" s="5" t="str">
        <f>VLOOKUP(C862,Sheet2!$C$3:$D$12,2,0)</f>
        <v>Fixed</v>
      </c>
      <c r="H862" s="5" t="str">
        <f>IFERROR(VLOOKUP(E862,Sheet2!$G$3:$H$8,2,0),"unkwon")</f>
        <v>online</v>
      </c>
      <c r="I862" s="5">
        <f>VLOOKUP(B862,Sheet2!$J$4:$K$15,2,0)</f>
        <v>11</v>
      </c>
      <c r="J862" s="5">
        <f>IFERROR(VLOOKUP(C862,Sheet2!$M$4:$N$12,2,0),0)</f>
        <v>5500</v>
      </c>
      <c r="K862" s="5" t="str">
        <f t="shared" si="13"/>
        <v>within budget</v>
      </c>
    </row>
    <row r="863" spans="1:11" x14ac:dyDescent="0.3">
      <c r="A863" s="6">
        <v>45380</v>
      </c>
      <c r="B863" s="5" t="s">
        <v>19</v>
      </c>
      <c r="C863" s="5" t="s">
        <v>27</v>
      </c>
      <c r="D863" s="5" t="s">
        <v>8</v>
      </c>
      <c r="E863" s="5" t="s">
        <v>17</v>
      </c>
      <c r="F863" s="5">
        <v>3344</v>
      </c>
      <c r="G863" s="5" t="str">
        <f>VLOOKUP(C863,Sheet2!$C$3:$D$12,2,0)</f>
        <v>Variable</v>
      </c>
      <c r="H863" s="5" t="str">
        <f>IFERROR(VLOOKUP(E863,Sheet2!$G$3:$H$8,2,0),"unkwon")</f>
        <v>online</v>
      </c>
      <c r="I863" s="5">
        <f>VLOOKUP(B863,Sheet2!$J$4:$K$15,2,0)</f>
        <v>3</v>
      </c>
      <c r="J863" s="5">
        <f>IFERROR(VLOOKUP(C863,Sheet2!$M$4:$N$12,2,0),0)</f>
        <v>4000</v>
      </c>
      <c r="K863" s="5" t="str">
        <f t="shared" si="13"/>
        <v>within budget</v>
      </c>
    </row>
    <row r="864" spans="1:11" x14ac:dyDescent="0.3">
      <c r="A864" s="6">
        <v>45476</v>
      </c>
      <c r="B864" s="5" t="s">
        <v>21</v>
      </c>
      <c r="C864" s="5" t="s">
        <v>13</v>
      </c>
      <c r="D864" s="5" t="s">
        <v>20</v>
      </c>
      <c r="E864" s="5" t="s">
        <v>32</v>
      </c>
      <c r="F864" s="5">
        <v>1186</v>
      </c>
      <c r="G864" s="5" t="str">
        <f>VLOOKUP(C864,Sheet2!$C$3:$D$12,2,0)</f>
        <v>Variable</v>
      </c>
      <c r="H864" s="5" t="str">
        <f>IFERROR(VLOOKUP(E864,Sheet2!$G$3:$H$8,2,0),"unkwon")</f>
        <v>offline</v>
      </c>
      <c r="I864" s="5">
        <f>VLOOKUP(B864,Sheet2!$J$4:$K$15,2,0)</f>
        <v>7</v>
      </c>
      <c r="J864" s="5">
        <f>IFERROR(VLOOKUP(C864,Sheet2!$M$4:$N$12,2,0),0)</f>
        <v>5000</v>
      </c>
      <c r="K864" s="5" t="str">
        <f t="shared" si="13"/>
        <v>within budget</v>
      </c>
    </row>
    <row r="865" spans="1:11" x14ac:dyDescent="0.3">
      <c r="A865" s="6">
        <v>45608</v>
      </c>
      <c r="B865" s="5" t="s">
        <v>40</v>
      </c>
      <c r="C865" s="5" t="s">
        <v>13</v>
      </c>
      <c r="D865" s="5" t="s">
        <v>31</v>
      </c>
      <c r="E865" s="5" t="s">
        <v>32</v>
      </c>
      <c r="F865" s="5">
        <v>3943</v>
      </c>
      <c r="G865" s="5" t="str">
        <f>VLOOKUP(C865,Sheet2!$C$3:$D$12,2,0)</f>
        <v>Variable</v>
      </c>
      <c r="H865" s="5" t="str">
        <f>IFERROR(VLOOKUP(E865,Sheet2!$G$3:$H$8,2,0),"unkwon")</f>
        <v>offline</v>
      </c>
      <c r="I865" s="5">
        <f>VLOOKUP(B865,Sheet2!$J$4:$K$15,2,0)</f>
        <v>11</v>
      </c>
      <c r="J865" s="5">
        <f>IFERROR(VLOOKUP(C865,Sheet2!$M$4:$N$12,2,0),0)</f>
        <v>5000</v>
      </c>
      <c r="K865" s="5" t="str">
        <f t="shared" si="13"/>
        <v>within budget</v>
      </c>
    </row>
    <row r="866" spans="1:11" x14ac:dyDescent="0.3">
      <c r="A866" s="6">
        <v>45160</v>
      </c>
      <c r="B866" s="5" t="s">
        <v>25</v>
      </c>
      <c r="C866" s="5" t="s">
        <v>10</v>
      </c>
      <c r="D866" s="5" t="s">
        <v>31</v>
      </c>
      <c r="E866" s="5" t="s">
        <v>32</v>
      </c>
      <c r="F866" s="5">
        <v>306</v>
      </c>
      <c r="G866" s="5" t="str">
        <f>VLOOKUP(C866,Sheet2!$C$3:$D$12,2,0)</f>
        <v>Variable</v>
      </c>
      <c r="H866" s="5" t="str">
        <f>IFERROR(VLOOKUP(E866,Sheet2!$G$3:$H$8,2,0),"unkwon")</f>
        <v>offline</v>
      </c>
      <c r="I866" s="5">
        <f>VLOOKUP(B866,Sheet2!$J$4:$K$15,2,0)</f>
        <v>8</v>
      </c>
      <c r="J866" s="5">
        <f>IFERROR(VLOOKUP(C866,Sheet2!$M$4:$N$12,2,0),0)</f>
        <v>5000</v>
      </c>
      <c r="K866" s="5" t="str">
        <f t="shared" si="13"/>
        <v>within budget</v>
      </c>
    </row>
    <row r="867" spans="1:11" x14ac:dyDescent="0.3">
      <c r="A867" s="6">
        <v>45231</v>
      </c>
      <c r="B867" s="5" t="s">
        <v>40</v>
      </c>
      <c r="C867" s="5" t="s">
        <v>36</v>
      </c>
      <c r="D867" s="5" t="s">
        <v>14</v>
      </c>
      <c r="E867" s="5" t="s">
        <v>9</v>
      </c>
      <c r="F867" s="5">
        <v>3947</v>
      </c>
      <c r="G867" s="5" t="str">
        <f>VLOOKUP(C867,Sheet2!$C$3:$D$12,2,0)</f>
        <v>Variable</v>
      </c>
      <c r="H867" s="5" t="str">
        <f>IFERROR(VLOOKUP(E867,Sheet2!$G$3:$H$8,2,0),"unkwon")</f>
        <v>online</v>
      </c>
      <c r="I867" s="5">
        <f>VLOOKUP(B867,Sheet2!$J$4:$K$15,2,0)</f>
        <v>11</v>
      </c>
      <c r="J867" s="5">
        <f>IFERROR(VLOOKUP(C867,Sheet2!$M$4:$N$12,2,0),0)</f>
        <v>10000</v>
      </c>
      <c r="K867" s="5" t="str">
        <f t="shared" si="13"/>
        <v>within budget</v>
      </c>
    </row>
    <row r="868" spans="1:11" x14ac:dyDescent="0.3">
      <c r="A868" s="6">
        <v>45283</v>
      </c>
      <c r="B868" s="5" t="s">
        <v>16</v>
      </c>
      <c r="C868" s="5" t="s">
        <v>36</v>
      </c>
      <c r="D868" s="5" t="s">
        <v>14</v>
      </c>
      <c r="E868" s="5" t="s">
        <v>12</v>
      </c>
      <c r="F868" s="5">
        <v>3734</v>
      </c>
      <c r="G868" s="5" t="str">
        <f>VLOOKUP(C868,Sheet2!$C$3:$D$12,2,0)</f>
        <v>Variable</v>
      </c>
      <c r="H868" s="5" t="str">
        <f>IFERROR(VLOOKUP(E868,Sheet2!$G$3:$H$8,2,0),"unkwon")</f>
        <v>online</v>
      </c>
      <c r="I868" s="5">
        <f>VLOOKUP(B868,Sheet2!$J$4:$K$15,2,0)</f>
        <v>12</v>
      </c>
      <c r="J868" s="5">
        <f>IFERROR(VLOOKUP(C868,Sheet2!$M$4:$N$12,2,0),0)</f>
        <v>10000</v>
      </c>
      <c r="K868" s="5" t="str">
        <f t="shared" si="13"/>
        <v>within budget</v>
      </c>
    </row>
    <row r="869" spans="1:11" x14ac:dyDescent="0.3">
      <c r="A869" s="6">
        <v>45402</v>
      </c>
      <c r="B869" s="5" t="s">
        <v>29</v>
      </c>
      <c r="C869" s="5" t="s">
        <v>22</v>
      </c>
      <c r="D869" s="5" t="s">
        <v>20</v>
      </c>
      <c r="E869" s="5" t="s">
        <v>17</v>
      </c>
      <c r="F869" s="5">
        <v>3973</v>
      </c>
      <c r="G869" s="5" t="str">
        <f>VLOOKUP(C869,Sheet2!$C$3:$D$12,2,0)</f>
        <v>Variable</v>
      </c>
      <c r="H869" s="5" t="str">
        <f>IFERROR(VLOOKUP(E869,Sheet2!$G$3:$H$8,2,0),"unkwon")</f>
        <v>online</v>
      </c>
      <c r="I869" s="5">
        <f>VLOOKUP(B869,Sheet2!$J$4:$K$15,2,0)</f>
        <v>4</v>
      </c>
      <c r="J869" s="5">
        <f>IFERROR(VLOOKUP(C869,Sheet2!$M$4:$N$12,2,0),0)</f>
        <v>1000</v>
      </c>
      <c r="K869" s="5" t="str">
        <f t="shared" si="13"/>
        <v>over budget</v>
      </c>
    </row>
    <row r="870" spans="1:11" x14ac:dyDescent="0.3">
      <c r="A870" s="6">
        <v>45095</v>
      </c>
      <c r="B870" s="5" t="s">
        <v>39</v>
      </c>
      <c r="C870" s="5" t="s">
        <v>22</v>
      </c>
      <c r="D870" s="5" t="s">
        <v>8</v>
      </c>
      <c r="E870" s="5" t="s">
        <v>12</v>
      </c>
      <c r="F870" s="5">
        <v>1382</v>
      </c>
      <c r="G870" s="5" t="str">
        <f>VLOOKUP(C870,Sheet2!$C$3:$D$12,2,0)</f>
        <v>Variable</v>
      </c>
      <c r="H870" s="5" t="str">
        <f>IFERROR(VLOOKUP(E870,Sheet2!$G$3:$H$8,2,0),"unkwon")</f>
        <v>online</v>
      </c>
      <c r="I870" s="5">
        <f>VLOOKUP(B870,Sheet2!$J$4:$K$15,2,0)</f>
        <v>6</v>
      </c>
      <c r="J870" s="5">
        <f>IFERROR(VLOOKUP(C870,Sheet2!$M$4:$N$12,2,0),0)</f>
        <v>1000</v>
      </c>
      <c r="K870" s="5" t="str">
        <f t="shared" si="13"/>
        <v>over budget</v>
      </c>
    </row>
    <row r="871" spans="1:11" x14ac:dyDescent="0.3">
      <c r="A871" s="6">
        <v>45421</v>
      </c>
      <c r="B871" s="5" t="s">
        <v>28</v>
      </c>
      <c r="C871" s="5" t="s">
        <v>13</v>
      </c>
      <c r="D871" s="5" t="s">
        <v>26</v>
      </c>
      <c r="E871" s="5" t="s">
        <v>15</v>
      </c>
      <c r="F871" s="5">
        <v>2401</v>
      </c>
      <c r="G871" s="5" t="str">
        <f>VLOOKUP(C871,Sheet2!$C$3:$D$12,2,0)</f>
        <v>Variable</v>
      </c>
      <c r="H871" s="5" t="str">
        <f>IFERROR(VLOOKUP(E871,Sheet2!$G$3:$H$8,2,0),"unkwon")</f>
        <v>online</v>
      </c>
      <c r="I871" s="5">
        <f>VLOOKUP(B871,Sheet2!$J$4:$K$15,2,0)</f>
        <v>5</v>
      </c>
      <c r="J871" s="5">
        <f>IFERROR(VLOOKUP(C871,Sheet2!$M$4:$N$12,2,0),0)</f>
        <v>5000</v>
      </c>
      <c r="K871" s="5" t="str">
        <f t="shared" si="13"/>
        <v>within budget</v>
      </c>
    </row>
    <row r="872" spans="1:11" x14ac:dyDescent="0.3">
      <c r="A872" s="6">
        <v>45441</v>
      </c>
      <c r="B872" s="5" t="s">
        <v>28</v>
      </c>
      <c r="C872" s="5" t="s">
        <v>22</v>
      </c>
      <c r="D872" s="5" t="s">
        <v>8</v>
      </c>
      <c r="E872" s="5" t="s">
        <v>32</v>
      </c>
      <c r="F872" s="5">
        <v>3416</v>
      </c>
      <c r="G872" s="5" t="str">
        <f>VLOOKUP(C872,Sheet2!$C$3:$D$12,2,0)</f>
        <v>Variable</v>
      </c>
      <c r="H872" s="5" t="str">
        <f>IFERROR(VLOOKUP(E872,Sheet2!$G$3:$H$8,2,0),"unkwon")</f>
        <v>offline</v>
      </c>
      <c r="I872" s="5">
        <f>VLOOKUP(B872,Sheet2!$J$4:$K$15,2,0)</f>
        <v>5</v>
      </c>
      <c r="J872" s="5">
        <f>IFERROR(VLOOKUP(C872,Sheet2!$M$4:$N$12,2,0),0)</f>
        <v>1000</v>
      </c>
      <c r="K872" s="5" t="str">
        <f t="shared" si="13"/>
        <v>over budget</v>
      </c>
    </row>
    <row r="873" spans="1:11" x14ac:dyDescent="0.3">
      <c r="A873" s="6">
        <v>45194</v>
      </c>
      <c r="B873" s="5" t="s">
        <v>38</v>
      </c>
      <c r="C873" s="5" t="s">
        <v>22</v>
      </c>
      <c r="D873" s="5" t="s">
        <v>20</v>
      </c>
      <c r="E873" s="5" t="s">
        <v>15</v>
      </c>
      <c r="F873" s="5">
        <v>2159</v>
      </c>
      <c r="G873" s="5" t="str">
        <f>VLOOKUP(C873,Sheet2!$C$3:$D$12,2,0)</f>
        <v>Variable</v>
      </c>
      <c r="H873" s="5" t="str">
        <f>IFERROR(VLOOKUP(E873,Sheet2!$G$3:$H$8,2,0),"unkwon")</f>
        <v>online</v>
      </c>
      <c r="I873" s="5">
        <f>VLOOKUP(B873,Sheet2!$J$4:$K$15,2,0)</f>
        <v>9</v>
      </c>
      <c r="J873" s="5">
        <f>IFERROR(VLOOKUP(C873,Sheet2!$M$4:$N$12,2,0),0)</f>
        <v>1000</v>
      </c>
      <c r="K873" s="5" t="str">
        <f t="shared" si="13"/>
        <v>over budget</v>
      </c>
    </row>
    <row r="874" spans="1:11" x14ac:dyDescent="0.3">
      <c r="A874" s="6">
        <v>45114</v>
      </c>
      <c r="B874" s="5" t="s">
        <v>21</v>
      </c>
      <c r="C874" s="5" t="s">
        <v>10</v>
      </c>
      <c r="D874" s="5" t="s">
        <v>31</v>
      </c>
      <c r="E874" s="5" t="s">
        <v>15</v>
      </c>
      <c r="F874" s="5">
        <v>1788</v>
      </c>
      <c r="G874" s="5" t="str">
        <f>VLOOKUP(C874,Sheet2!$C$3:$D$12,2,0)</f>
        <v>Variable</v>
      </c>
      <c r="H874" s="5" t="str">
        <f>IFERROR(VLOOKUP(E874,Sheet2!$G$3:$H$8,2,0),"unkwon")</f>
        <v>online</v>
      </c>
      <c r="I874" s="5">
        <f>VLOOKUP(B874,Sheet2!$J$4:$K$15,2,0)</f>
        <v>7</v>
      </c>
      <c r="J874" s="5">
        <f>IFERROR(VLOOKUP(C874,Sheet2!$M$4:$N$12,2,0),0)</f>
        <v>5000</v>
      </c>
      <c r="K874" s="5" t="str">
        <f t="shared" si="13"/>
        <v>within budget</v>
      </c>
    </row>
    <row r="875" spans="1:11" x14ac:dyDescent="0.3">
      <c r="A875" s="6">
        <v>45440</v>
      </c>
      <c r="B875" s="5" t="s">
        <v>28</v>
      </c>
      <c r="C875" s="5" t="s">
        <v>27</v>
      </c>
      <c r="D875" s="5" t="s">
        <v>34</v>
      </c>
      <c r="E875" s="5" t="s">
        <v>15</v>
      </c>
      <c r="F875" s="5">
        <v>4985</v>
      </c>
      <c r="G875" s="5" t="str">
        <f>VLOOKUP(C875,Sheet2!$C$3:$D$12,2,0)</f>
        <v>Variable</v>
      </c>
      <c r="H875" s="5" t="str">
        <f>IFERROR(VLOOKUP(E875,Sheet2!$G$3:$H$8,2,0),"unkwon")</f>
        <v>online</v>
      </c>
      <c r="I875" s="5">
        <f>VLOOKUP(B875,Sheet2!$J$4:$K$15,2,0)</f>
        <v>5</v>
      </c>
      <c r="J875" s="5">
        <f>IFERROR(VLOOKUP(C875,Sheet2!$M$4:$N$12,2,0),0)</f>
        <v>4000</v>
      </c>
      <c r="K875" s="5" t="str">
        <f t="shared" si="13"/>
        <v>over budget</v>
      </c>
    </row>
    <row r="876" spans="1:11" x14ac:dyDescent="0.3">
      <c r="A876" s="6">
        <v>45246</v>
      </c>
      <c r="B876" s="5" t="s">
        <v>40</v>
      </c>
      <c r="C876" s="5" t="s">
        <v>13</v>
      </c>
      <c r="D876" s="5" t="s">
        <v>34</v>
      </c>
      <c r="E876" s="5" t="s">
        <v>15</v>
      </c>
      <c r="F876" s="5">
        <v>4810</v>
      </c>
      <c r="G876" s="5" t="str">
        <f>VLOOKUP(C876,Sheet2!$C$3:$D$12,2,0)</f>
        <v>Variable</v>
      </c>
      <c r="H876" s="5" t="str">
        <f>IFERROR(VLOOKUP(E876,Sheet2!$G$3:$H$8,2,0),"unkwon")</f>
        <v>online</v>
      </c>
      <c r="I876" s="5">
        <f>VLOOKUP(B876,Sheet2!$J$4:$K$15,2,0)</f>
        <v>11</v>
      </c>
      <c r="J876" s="5">
        <f>IFERROR(VLOOKUP(C876,Sheet2!$M$4:$N$12,2,0),0)</f>
        <v>5000</v>
      </c>
      <c r="K876" s="5" t="str">
        <f t="shared" si="13"/>
        <v>within budget</v>
      </c>
    </row>
    <row r="877" spans="1:11" x14ac:dyDescent="0.3">
      <c r="A877" s="6">
        <v>45596</v>
      </c>
      <c r="B877" s="5" t="s">
        <v>6</v>
      </c>
      <c r="C877" s="5" t="s">
        <v>27</v>
      </c>
      <c r="D877" s="5" t="s">
        <v>11</v>
      </c>
      <c r="E877" s="5" t="s">
        <v>17</v>
      </c>
      <c r="F877" s="5">
        <v>448</v>
      </c>
      <c r="G877" s="5" t="str">
        <f>VLOOKUP(C877,Sheet2!$C$3:$D$12,2,0)</f>
        <v>Variable</v>
      </c>
      <c r="H877" s="5" t="str">
        <f>IFERROR(VLOOKUP(E877,Sheet2!$G$3:$H$8,2,0),"unkwon")</f>
        <v>online</v>
      </c>
      <c r="I877" s="5">
        <f>VLOOKUP(B877,Sheet2!$J$4:$K$15,2,0)</f>
        <v>10</v>
      </c>
      <c r="J877" s="5">
        <f>IFERROR(VLOOKUP(C877,Sheet2!$M$4:$N$12,2,0),0)</f>
        <v>4000</v>
      </c>
      <c r="K877" s="5" t="str">
        <f t="shared" si="13"/>
        <v>within budget</v>
      </c>
    </row>
    <row r="878" spans="1:11" x14ac:dyDescent="0.3">
      <c r="A878" s="6">
        <v>45573</v>
      </c>
      <c r="B878" s="5" t="s">
        <v>6</v>
      </c>
      <c r="C878" s="5" t="s">
        <v>35</v>
      </c>
      <c r="D878" s="5" t="s">
        <v>8</v>
      </c>
      <c r="E878" s="5" t="s">
        <v>32</v>
      </c>
      <c r="F878" s="5">
        <v>3385</v>
      </c>
      <c r="G878" s="5" t="str">
        <f>VLOOKUP(C878,Sheet2!$C$3:$D$12,2,0)</f>
        <v>Fixed</v>
      </c>
      <c r="H878" s="5" t="str">
        <f>IFERROR(VLOOKUP(E878,Sheet2!$G$3:$H$8,2,0),"unkwon")</f>
        <v>offline</v>
      </c>
      <c r="I878" s="5">
        <f>VLOOKUP(B878,Sheet2!$J$4:$K$15,2,0)</f>
        <v>10</v>
      </c>
      <c r="J878" s="5">
        <f>IFERROR(VLOOKUP(C878,Sheet2!$M$4:$N$12,2,0),0)</f>
        <v>5500</v>
      </c>
      <c r="K878" s="5" t="str">
        <f t="shared" si="13"/>
        <v>within budget</v>
      </c>
    </row>
    <row r="879" spans="1:11" x14ac:dyDescent="0.3">
      <c r="A879" s="6">
        <v>44967</v>
      </c>
      <c r="B879" s="5" t="s">
        <v>33</v>
      </c>
      <c r="C879" s="5" t="s">
        <v>36</v>
      </c>
      <c r="D879" s="5" t="s">
        <v>26</v>
      </c>
      <c r="E879" s="5" t="s">
        <v>15</v>
      </c>
      <c r="F879" s="5">
        <v>2947</v>
      </c>
      <c r="G879" s="5" t="str">
        <f>VLOOKUP(C879,Sheet2!$C$3:$D$12,2,0)</f>
        <v>Variable</v>
      </c>
      <c r="H879" s="5" t="str">
        <f>IFERROR(VLOOKUP(E879,Sheet2!$G$3:$H$8,2,0),"unkwon")</f>
        <v>online</v>
      </c>
      <c r="I879" s="5">
        <f>VLOOKUP(B879,Sheet2!$J$4:$K$15,2,0)</f>
        <v>2</v>
      </c>
      <c r="J879" s="5">
        <f>IFERROR(VLOOKUP(C879,Sheet2!$M$4:$N$12,2,0),0)</f>
        <v>10000</v>
      </c>
      <c r="K879" s="5" t="str">
        <f t="shared" si="13"/>
        <v>within budget</v>
      </c>
    </row>
    <row r="880" spans="1:11" x14ac:dyDescent="0.3">
      <c r="A880" s="6">
        <v>45180</v>
      </c>
      <c r="B880" s="5" t="s">
        <v>38</v>
      </c>
      <c r="C880" s="5" t="s">
        <v>10</v>
      </c>
      <c r="D880" s="5" t="s">
        <v>26</v>
      </c>
      <c r="E880" s="5" t="s">
        <v>17</v>
      </c>
      <c r="F880" s="5">
        <v>3077</v>
      </c>
      <c r="G880" s="5" t="str">
        <f>VLOOKUP(C880,Sheet2!$C$3:$D$12,2,0)</f>
        <v>Variable</v>
      </c>
      <c r="H880" s="5" t="str">
        <f>IFERROR(VLOOKUP(E880,Sheet2!$G$3:$H$8,2,0),"unkwon")</f>
        <v>online</v>
      </c>
      <c r="I880" s="5">
        <f>VLOOKUP(B880,Sheet2!$J$4:$K$15,2,0)</f>
        <v>9</v>
      </c>
      <c r="J880" s="5">
        <f>IFERROR(VLOOKUP(C880,Sheet2!$M$4:$N$12,2,0),0)</f>
        <v>5000</v>
      </c>
      <c r="K880" s="5" t="str">
        <f t="shared" si="13"/>
        <v>within budget</v>
      </c>
    </row>
    <row r="881" spans="1:11" x14ac:dyDescent="0.3">
      <c r="A881" s="6">
        <v>45560</v>
      </c>
      <c r="B881" s="5" t="s">
        <v>38</v>
      </c>
      <c r="C881" s="5" t="s">
        <v>30</v>
      </c>
      <c r="D881" s="5" t="s">
        <v>23</v>
      </c>
      <c r="E881" s="5" t="s">
        <v>17</v>
      </c>
      <c r="F881" s="5">
        <v>3227</v>
      </c>
      <c r="G881" s="5" t="str">
        <f>VLOOKUP(C881,Sheet2!$C$3:$D$12,2,0)</f>
        <v>Fixed</v>
      </c>
      <c r="H881" s="5" t="str">
        <f>IFERROR(VLOOKUP(E881,Sheet2!$G$3:$H$8,2,0),"unkwon")</f>
        <v>online</v>
      </c>
      <c r="I881" s="5">
        <f>VLOOKUP(B881,Sheet2!$J$4:$K$15,2,0)</f>
        <v>9</v>
      </c>
      <c r="J881" s="5">
        <f>IFERROR(VLOOKUP(C881,Sheet2!$M$4:$N$12,2,0),0)</f>
        <v>3000</v>
      </c>
      <c r="K881" s="5" t="str">
        <f t="shared" si="13"/>
        <v>over budget</v>
      </c>
    </row>
    <row r="882" spans="1:11" x14ac:dyDescent="0.3">
      <c r="A882" s="6">
        <v>45035</v>
      </c>
      <c r="B882" s="5" t="s">
        <v>29</v>
      </c>
      <c r="C882" s="5" t="s">
        <v>36</v>
      </c>
      <c r="D882" s="5" t="s">
        <v>18</v>
      </c>
      <c r="E882" s="5" t="s">
        <v>9</v>
      </c>
      <c r="F882" s="5">
        <v>3913</v>
      </c>
      <c r="G882" s="5" t="str">
        <f>VLOOKUP(C882,Sheet2!$C$3:$D$12,2,0)</f>
        <v>Variable</v>
      </c>
      <c r="H882" s="5" t="str">
        <f>IFERROR(VLOOKUP(E882,Sheet2!$G$3:$H$8,2,0),"unkwon")</f>
        <v>online</v>
      </c>
      <c r="I882" s="5">
        <f>VLOOKUP(B882,Sheet2!$J$4:$K$15,2,0)</f>
        <v>4</v>
      </c>
      <c r="J882" s="5">
        <f>IFERROR(VLOOKUP(C882,Sheet2!$M$4:$N$12,2,0),0)</f>
        <v>10000</v>
      </c>
      <c r="K882" s="5" t="str">
        <f t="shared" si="13"/>
        <v>within budget</v>
      </c>
    </row>
    <row r="883" spans="1:11" x14ac:dyDescent="0.3">
      <c r="A883" s="6">
        <v>45621</v>
      </c>
      <c r="B883" s="5" t="s">
        <v>40</v>
      </c>
      <c r="C883" s="5" t="s">
        <v>13</v>
      </c>
      <c r="D883" s="5" t="s">
        <v>20</v>
      </c>
      <c r="E883" s="5" t="s">
        <v>32</v>
      </c>
      <c r="F883" s="5">
        <v>3637</v>
      </c>
      <c r="G883" s="5" t="str">
        <f>VLOOKUP(C883,Sheet2!$C$3:$D$12,2,0)</f>
        <v>Variable</v>
      </c>
      <c r="H883" s="5" t="str">
        <f>IFERROR(VLOOKUP(E883,Sheet2!$G$3:$H$8,2,0),"unkwon")</f>
        <v>offline</v>
      </c>
      <c r="I883" s="5">
        <f>VLOOKUP(B883,Sheet2!$J$4:$K$15,2,0)</f>
        <v>11</v>
      </c>
      <c r="J883" s="5">
        <f>IFERROR(VLOOKUP(C883,Sheet2!$M$4:$N$12,2,0),0)</f>
        <v>5000</v>
      </c>
      <c r="K883" s="5" t="str">
        <f t="shared" si="13"/>
        <v>within budget</v>
      </c>
    </row>
    <row r="884" spans="1:11" x14ac:dyDescent="0.3">
      <c r="A884" s="6">
        <v>45012</v>
      </c>
      <c r="B884" s="5" t="s">
        <v>19</v>
      </c>
      <c r="C884" s="5" t="s">
        <v>27</v>
      </c>
      <c r="D884" s="5" t="s">
        <v>31</v>
      </c>
      <c r="E884" s="5" t="s">
        <v>12</v>
      </c>
      <c r="F884" s="5">
        <v>2115</v>
      </c>
      <c r="G884" s="5" t="str">
        <f>VLOOKUP(C884,Sheet2!$C$3:$D$12,2,0)</f>
        <v>Variable</v>
      </c>
      <c r="H884" s="5" t="str">
        <f>IFERROR(VLOOKUP(E884,Sheet2!$G$3:$H$8,2,0),"unkwon")</f>
        <v>online</v>
      </c>
      <c r="I884" s="5">
        <f>VLOOKUP(B884,Sheet2!$J$4:$K$15,2,0)</f>
        <v>3</v>
      </c>
      <c r="J884" s="5">
        <f>IFERROR(VLOOKUP(C884,Sheet2!$M$4:$N$12,2,0),0)</f>
        <v>4000</v>
      </c>
      <c r="K884" s="5" t="str">
        <f t="shared" si="13"/>
        <v>within budget</v>
      </c>
    </row>
    <row r="885" spans="1:11" x14ac:dyDescent="0.3">
      <c r="A885" s="6">
        <v>45405</v>
      </c>
      <c r="B885" s="5" t="s">
        <v>29</v>
      </c>
      <c r="C885" s="5" t="s">
        <v>35</v>
      </c>
      <c r="D885" s="5" t="s">
        <v>23</v>
      </c>
      <c r="E885" s="5" t="s">
        <v>9</v>
      </c>
      <c r="F885" s="5">
        <v>4195</v>
      </c>
      <c r="G885" s="5" t="str">
        <f>VLOOKUP(C885,Sheet2!$C$3:$D$12,2,0)</f>
        <v>Fixed</v>
      </c>
      <c r="H885" s="5" t="str">
        <f>IFERROR(VLOOKUP(E885,Sheet2!$G$3:$H$8,2,0),"unkwon")</f>
        <v>online</v>
      </c>
      <c r="I885" s="5">
        <f>VLOOKUP(B885,Sheet2!$J$4:$K$15,2,0)</f>
        <v>4</v>
      </c>
      <c r="J885" s="5">
        <f>IFERROR(VLOOKUP(C885,Sheet2!$M$4:$N$12,2,0),0)</f>
        <v>5500</v>
      </c>
      <c r="K885" s="5" t="str">
        <f t="shared" si="13"/>
        <v>within budget</v>
      </c>
    </row>
    <row r="886" spans="1:11" x14ac:dyDescent="0.3">
      <c r="A886" s="6">
        <v>45207</v>
      </c>
      <c r="B886" s="5" t="s">
        <v>6</v>
      </c>
      <c r="C886" s="5" t="s">
        <v>13</v>
      </c>
      <c r="D886" s="5" t="s">
        <v>24</v>
      </c>
      <c r="E886" s="5" t="s">
        <v>9</v>
      </c>
      <c r="F886" s="5">
        <v>1175</v>
      </c>
      <c r="G886" s="5" t="str">
        <f>VLOOKUP(C886,Sheet2!$C$3:$D$12,2,0)</f>
        <v>Variable</v>
      </c>
      <c r="H886" s="5" t="str">
        <f>IFERROR(VLOOKUP(E886,Sheet2!$G$3:$H$8,2,0),"unkwon")</f>
        <v>online</v>
      </c>
      <c r="I886" s="5">
        <f>VLOOKUP(B886,Sheet2!$J$4:$K$15,2,0)</f>
        <v>10</v>
      </c>
      <c r="J886" s="5">
        <f>IFERROR(VLOOKUP(C886,Sheet2!$M$4:$N$12,2,0),0)</f>
        <v>5000</v>
      </c>
      <c r="K886" s="5" t="str">
        <f t="shared" si="13"/>
        <v>within budget</v>
      </c>
    </row>
    <row r="887" spans="1:11" x14ac:dyDescent="0.3">
      <c r="A887" s="6">
        <v>45407</v>
      </c>
      <c r="B887" s="5" t="s">
        <v>29</v>
      </c>
      <c r="C887" s="5" t="s">
        <v>13</v>
      </c>
      <c r="D887" s="5" t="s">
        <v>18</v>
      </c>
      <c r="E887" s="5" t="s">
        <v>17</v>
      </c>
      <c r="F887" s="5">
        <v>1386</v>
      </c>
      <c r="G887" s="5" t="str">
        <f>VLOOKUP(C887,Sheet2!$C$3:$D$12,2,0)</f>
        <v>Variable</v>
      </c>
      <c r="H887" s="5" t="str">
        <f>IFERROR(VLOOKUP(E887,Sheet2!$G$3:$H$8,2,0),"unkwon")</f>
        <v>online</v>
      </c>
      <c r="I887" s="5">
        <f>VLOOKUP(B887,Sheet2!$J$4:$K$15,2,0)</f>
        <v>4</v>
      </c>
      <c r="J887" s="5">
        <f>IFERROR(VLOOKUP(C887,Sheet2!$M$4:$N$12,2,0),0)</f>
        <v>5000</v>
      </c>
      <c r="K887" s="5" t="str">
        <f t="shared" si="13"/>
        <v>within budget</v>
      </c>
    </row>
    <row r="888" spans="1:11" x14ac:dyDescent="0.3">
      <c r="A888" s="6">
        <v>45194</v>
      </c>
      <c r="B888" s="5" t="s">
        <v>38</v>
      </c>
      <c r="C888" s="5" t="s">
        <v>22</v>
      </c>
      <c r="D888" s="5" t="s">
        <v>14</v>
      </c>
      <c r="E888" s="5" t="s">
        <v>17</v>
      </c>
      <c r="F888" s="5">
        <v>1905</v>
      </c>
      <c r="G888" s="5" t="str">
        <f>VLOOKUP(C888,Sheet2!$C$3:$D$12,2,0)</f>
        <v>Variable</v>
      </c>
      <c r="H888" s="5" t="str">
        <f>IFERROR(VLOOKUP(E888,Sheet2!$G$3:$H$8,2,0),"unkwon")</f>
        <v>online</v>
      </c>
      <c r="I888" s="5">
        <f>VLOOKUP(B888,Sheet2!$J$4:$K$15,2,0)</f>
        <v>9</v>
      </c>
      <c r="J888" s="5">
        <f>IFERROR(VLOOKUP(C888,Sheet2!$M$4:$N$12,2,0),0)</f>
        <v>1000</v>
      </c>
      <c r="K888" s="5" t="str">
        <f t="shared" si="13"/>
        <v>over budget</v>
      </c>
    </row>
    <row r="889" spans="1:11" x14ac:dyDescent="0.3">
      <c r="A889" s="6">
        <v>45137</v>
      </c>
      <c r="B889" s="5" t="s">
        <v>21</v>
      </c>
      <c r="C889" s="5" t="s">
        <v>27</v>
      </c>
      <c r="D889" s="5" t="s">
        <v>18</v>
      </c>
      <c r="E889" s="5" t="s">
        <v>17</v>
      </c>
      <c r="F889" s="5">
        <v>2108</v>
      </c>
      <c r="G889" s="5" t="str">
        <f>VLOOKUP(C889,Sheet2!$C$3:$D$12,2,0)</f>
        <v>Variable</v>
      </c>
      <c r="H889" s="5" t="str">
        <f>IFERROR(VLOOKUP(E889,Sheet2!$G$3:$H$8,2,0),"unkwon")</f>
        <v>online</v>
      </c>
      <c r="I889" s="5">
        <f>VLOOKUP(B889,Sheet2!$J$4:$K$15,2,0)</f>
        <v>7</v>
      </c>
      <c r="J889" s="5">
        <f>IFERROR(VLOOKUP(C889,Sheet2!$M$4:$N$12,2,0),0)</f>
        <v>4000</v>
      </c>
      <c r="K889" s="5" t="str">
        <f t="shared" si="13"/>
        <v>within budget</v>
      </c>
    </row>
    <row r="890" spans="1:11" x14ac:dyDescent="0.3">
      <c r="A890" s="6">
        <v>45615</v>
      </c>
      <c r="B890" s="5" t="s">
        <v>40</v>
      </c>
      <c r="C890" s="5" t="s">
        <v>35</v>
      </c>
      <c r="D890" s="5" t="s">
        <v>20</v>
      </c>
      <c r="E890" s="5" t="s">
        <v>17</v>
      </c>
      <c r="F890" s="5">
        <v>3584</v>
      </c>
      <c r="G890" s="5" t="str">
        <f>VLOOKUP(C890,Sheet2!$C$3:$D$12,2,0)</f>
        <v>Fixed</v>
      </c>
      <c r="H890" s="5" t="str">
        <f>IFERROR(VLOOKUP(E890,Sheet2!$G$3:$H$8,2,0),"unkwon")</f>
        <v>online</v>
      </c>
      <c r="I890" s="5">
        <f>VLOOKUP(B890,Sheet2!$J$4:$K$15,2,0)</f>
        <v>11</v>
      </c>
      <c r="J890" s="5">
        <f>IFERROR(VLOOKUP(C890,Sheet2!$M$4:$N$12,2,0),0)</f>
        <v>5500</v>
      </c>
      <c r="K890" s="5" t="str">
        <f t="shared" si="13"/>
        <v>within budget</v>
      </c>
    </row>
    <row r="891" spans="1:11" x14ac:dyDescent="0.3">
      <c r="A891" s="6">
        <v>45631</v>
      </c>
      <c r="B891" s="5" t="s">
        <v>16</v>
      </c>
      <c r="C891" s="5" t="s">
        <v>10</v>
      </c>
      <c r="D891" s="5" t="s">
        <v>8</v>
      </c>
      <c r="E891" s="5" t="s">
        <v>32</v>
      </c>
      <c r="F891" s="5">
        <v>806</v>
      </c>
      <c r="G891" s="5" t="str">
        <f>VLOOKUP(C891,Sheet2!$C$3:$D$12,2,0)</f>
        <v>Variable</v>
      </c>
      <c r="H891" s="5" t="str">
        <f>IFERROR(VLOOKUP(E891,Sheet2!$G$3:$H$8,2,0),"unkwon")</f>
        <v>offline</v>
      </c>
      <c r="I891" s="5">
        <f>VLOOKUP(B891,Sheet2!$J$4:$K$15,2,0)</f>
        <v>12</v>
      </c>
      <c r="J891" s="5">
        <f>IFERROR(VLOOKUP(C891,Sheet2!$M$4:$N$12,2,0),0)</f>
        <v>5000</v>
      </c>
      <c r="K891" s="5" t="str">
        <f t="shared" si="13"/>
        <v>within budget</v>
      </c>
    </row>
    <row r="892" spans="1:11" x14ac:dyDescent="0.3">
      <c r="A892" s="6">
        <v>45000</v>
      </c>
      <c r="B892" s="5" t="s">
        <v>19</v>
      </c>
      <c r="C892" s="5" t="s">
        <v>13</v>
      </c>
      <c r="D892" s="5" t="s">
        <v>20</v>
      </c>
      <c r="E892" s="5" t="s">
        <v>9</v>
      </c>
      <c r="F892" s="5">
        <v>4396</v>
      </c>
      <c r="G892" s="5" t="str">
        <f>VLOOKUP(C892,Sheet2!$C$3:$D$12,2,0)</f>
        <v>Variable</v>
      </c>
      <c r="H892" s="5" t="str">
        <f>IFERROR(VLOOKUP(E892,Sheet2!$G$3:$H$8,2,0),"unkwon")</f>
        <v>online</v>
      </c>
      <c r="I892" s="5">
        <f>VLOOKUP(B892,Sheet2!$J$4:$K$15,2,0)</f>
        <v>3</v>
      </c>
      <c r="J892" s="5">
        <f>IFERROR(VLOOKUP(C892,Sheet2!$M$4:$N$12,2,0),0)</f>
        <v>5000</v>
      </c>
      <c r="K892" s="5" t="str">
        <f t="shared" si="13"/>
        <v>within budget</v>
      </c>
    </row>
    <row r="893" spans="1:11" x14ac:dyDescent="0.3">
      <c r="A893" s="6">
        <v>45007</v>
      </c>
      <c r="B893" s="5" t="s">
        <v>19</v>
      </c>
      <c r="C893" s="5" t="s">
        <v>13</v>
      </c>
      <c r="D893" s="5" t="s">
        <v>34</v>
      </c>
      <c r="E893" s="5" t="s">
        <v>12</v>
      </c>
      <c r="F893" s="5">
        <v>4217</v>
      </c>
      <c r="G893" s="5" t="str">
        <f>VLOOKUP(C893,Sheet2!$C$3:$D$12,2,0)</f>
        <v>Variable</v>
      </c>
      <c r="H893" s="5" t="str">
        <f>IFERROR(VLOOKUP(E893,Sheet2!$G$3:$H$8,2,0),"unkwon")</f>
        <v>online</v>
      </c>
      <c r="I893" s="5">
        <f>VLOOKUP(B893,Sheet2!$J$4:$K$15,2,0)</f>
        <v>3</v>
      </c>
      <c r="J893" s="5">
        <f>IFERROR(VLOOKUP(C893,Sheet2!$M$4:$N$12,2,0),0)</f>
        <v>5000</v>
      </c>
      <c r="K893" s="5" t="str">
        <f t="shared" si="13"/>
        <v>within budget</v>
      </c>
    </row>
    <row r="894" spans="1:11" x14ac:dyDescent="0.3">
      <c r="A894" s="6">
        <v>45544</v>
      </c>
      <c r="B894" s="5" t="s">
        <v>38</v>
      </c>
      <c r="C894" s="5" t="s">
        <v>7</v>
      </c>
      <c r="D894" s="5" t="s">
        <v>31</v>
      </c>
      <c r="E894" s="5" t="s">
        <v>17</v>
      </c>
      <c r="F894" s="5">
        <v>1374</v>
      </c>
      <c r="G894" s="5" t="str">
        <f>VLOOKUP(C894,Sheet2!$C$3:$D$12,2,0)</f>
        <v>Fixed</v>
      </c>
      <c r="H894" s="5" t="str">
        <f>IFERROR(VLOOKUP(E894,Sheet2!$G$3:$H$8,2,0),"unkwon")</f>
        <v>online</v>
      </c>
      <c r="I894" s="5">
        <f>VLOOKUP(B894,Sheet2!$J$4:$K$15,2,0)</f>
        <v>9</v>
      </c>
      <c r="J894" s="5">
        <f>IFERROR(VLOOKUP(C894,Sheet2!$M$4:$N$12,2,0),0)</f>
        <v>2000</v>
      </c>
      <c r="K894" s="5" t="str">
        <f t="shared" si="13"/>
        <v>within budget</v>
      </c>
    </row>
    <row r="895" spans="1:11" x14ac:dyDescent="0.3">
      <c r="A895" s="6">
        <v>45323</v>
      </c>
      <c r="B895" s="5" t="s">
        <v>33</v>
      </c>
      <c r="C895" s="5" t="s">
        <v>27</v>
      </c>
      <c r="D895" s="5" t="s">
        <v>24</v>
      </c>
      <c r="E895" s="5" t="s">
        <v>17</v>
      </c>
      <c r="F895" s="5">
        <v>1673</v>
      </c>
      <c r="G895" s="5" t="str">
        <f>VLOOKUP(C895,Sheet2!$C$3:$D$12,2,0)</f>
        <v>Variable</v>
      </c>
      <c r="H895" s="5" t="str">
        <f>IFERROR(VLOOKUP(E895,Sheet2!$G$3:$H$8,2,0),"unkwon")</f>
        <v>online</v>
      </c>
      <c r="I895" s="5">
        <f>VLOOKUP(B895,Sheet2!$J$4:$K$15,2,0)</f>
        <v>2</v>
      </c>
      <c r="J895" s="5">
        <f>IFERROR(VLOOKUP(C895,Sheet2!$M$4:$N$12,2,0),0)</f>
        <v>4000</v>
      </c>
      <c r="K895" s="5" t="str">
        <f t="shared" si="13"/>
        <v>within budget</v>
      </c>
    </row>
    <row r="896" spans="1:11" x14ac:dyDescent="0.3">
      <c r="A896" s="6">
        <v>45618</v>
      </c>
      <c r="B896" s="5" t="s">
        <v>40</v>
      </c>
      <c r="C896" s="5" t="s">
        <v>41</v>
      </c>
      <c r="D896" s="5" t="s">
        <v>20</v>
      </c>
      <c r="E896" s="5" t="s">
        <v>12</v>
      </c>
      <c r="F896" s="5">
        <v>4602</v>
      </c>
      <c r="G896" s="5" t="str">
        <f>VLOOKUP(C896,Sheet2!$C$3:$D$12,2,0)</f>
        <v>Variable</v>
      </c>
      <c r="H896" s="5" t="str">
        <f>IFERROR(VLOOKUP(E896,Sheet2!$G$3:$H$8,2,0),"unkwon")</f>
        <v>online</v>
      </c>
      <c r="I896" s="5">
        <f>VLOOKUP(B896,Sheet2!$J$4:$K$15,2,0)</f>
        <v>11</v>
      </c>
      <c r="J896" s="5">
        <f>IFERROR(VLOOKUP(C896,Sheet2!$M$4:$N$12,2,0),0)</f>
        <v>7000</v>
      </c>
      <c r="K896" s="5" t="str">
        <f t="shared" si="13"/>
        <v>within budget</v>
      </c>
    </row>
    <row r="897" spans="1:11" x14ac:dyDescent="0.3">
      <c r="A897" s="6">
        <v>45543</v>
      </c>
      <c r="B897" s="5" t="s">
        <v>38</v>
      </c>
      <c r="C897" s="5" t="s">
        <v>10</v>
      </c>
      <c r="D897" s="5" t="s">
        <v>23</v>
      </c>
      <c r="E897" s="5" t="s">
        <v>32</v>
      </c>
      <c r="F897" s="5">
        <v>4375</v>
      </c>
      <c r="G897" s="5" t="str">
        <f>VLOOKUP(C897,Sheet2!$C$3:$D$12,2,0)</f>
        <v>Variable</v>
      </c>
      <c r="H897" s="5" t="str">
        <f>IFERROR(VLOOKUP(E897,Sheet2!$G$3:$H$8,2,0),"unkwon")</f>
        <v>offline</v>
      </c>
      <c r="I897" s="5">
        <f>VLOOKUP(B897,Sheet2!$J$4:$K$15,2,0)</f>
        <v>9</v>
      </c>
      <c r="J897" s="5">
        <f>IFERROR(VLOOKUP(C897,Sheet2!$M$4:$N$12,2,0),0)</f>
        <v>5000</v>
      </c>
      <c r="K897" s="5" t="str">
        <f t="shared" si="13"/>
        <v>within budget</v>
      </c>
    </row>
    <row r="898" spans="1:11" x14ac:dyDescent="0.3">
      <c r="A898" s="6">
        <v>44960</v>
      </c>
      <c r="B898" s="5" t="s">
        <v>33</v>
      </c>
      <c r="C898" s="5" t="s">
        <v>30</v>
      </c>
      <c r="D898" s="5" t="s">
        <v>26</v>
      </c>
      <c r="E898" s="5" t="s">
        <v>32</v>
      </c>
      <c r="F898" s="5">
        <v>3248</v>
      </c>
      <c r="G898" s="5" t="str">
        <f>VLOOKUP(C898,Sheet2!$C$3:$D$12,2,0)</f>
        <v>Fixed</v>
      </c>
      <c r="H898" s="5" t="str">
        <f>IFERROR(VLOOKUP(E898,Sheet2!$G$3:$H$8,2,0),"unkwon")</f>
        <v>offline</v>
      </c>
      <c r="I898" s="5">
        <f>VLOOKUP(B898,Sheet2!$J$4:$K$15,2,0)</f>
        <v>2</v>
      </c>
      <c r="J898" s="5">
        <f>IFERROR(VLOOKUP(C898,Sheet2!$M$4:$N$12,2,0),0)</f>
        <v>3000</v>
      </c>
      <c r="K898" s="5" t="str">
        <f t="shared" si="13"/>
        <v>over budget</v>
      </c>
    </row>
    <row r="899" spans="1:11" x14ac:dyDescent="0.3">
      <c r="A899" s="6">
        <v>44959</v>
      </c>
      <c r="B899" s="5" t="s">
        <v>33</v>
      </c>
      <c r="C899" s="5" t="s">
        <v>30</v>
      </c>
      <c r="D899" s="5" t="s">
        <v>24</v>
      </c>
      <c r="E899" s="5" t="s">
        <v>15</v>
      </c>
      <c r="F899" s="5">
        <v>1396</v>
      </c>
      <c r="G899" s="5" t="str">
        <f>VLOOKUP(C899,Sheet2!$C$3:$D$12,2,0)</f>
        <v>Fixed</v>
      </c>
      <c r="H899" s="5" t="str">
        <f>IFERROR(VLOOKUP(E899,Sheet2!$G$3:$H$8,2,0),"unkwon")</f>
        <v>online</v>
      </c>
      <c r="I899" s="5">
        <f>VLOOKUP(B899,Sheet2!$J$4:$K$15,2,0)</f>
        <v>2</v>
      </c>
      <c r="J899" s="5">
        <f>IFERROR(VLOOKUP(C899,Sheet2!$M$4:$N$12,2,0),0)</f>
        <v>3000</v>
      </c>
      <c r="K899" s="5" t="str">
        <f t="shared" ref="K899:K962" si="14">IF(F899&gt;J899,"over budget","within budget")</f>
        <v>within budget</v>
      </c>
    </row>
    <row r="900" spans="1:11" x14ac:dyDescent="0.3">
      <c r="A900" s="6">
        <v>45310</v>
      </c>
      <c r="B900" s="5" t="s">
        <v>37</v>
      </c>
      <c r="C900" s="5" t="s">
        <v>27</v>
      </c>
      <c r="D900" s="5" t="s">
        <v>11</v>
      </c>
      <c r="E900" s="5" t="s">
        <v>17</v>
      </c>
      <c r="F900" s="5">
        <v>1142</v>
      </c>
      <c r="G900" s="5" t="str">
        <f>VLOOKUP(C900,Sheet2!$C$3:$D$12,2,0)</f>
        <v>Variable</v>
      </c>
      <c r="H900" s="5" t="str">
        <f>IFERROR(VLOOKUP(E900,Sheet2!$G$3:$H$8,2,0),"unkwon")</f>
        <v>online</v>
      </c>
      <c r="I900" s="5">
        <f>VLOOKUP(B900,Sheet2!$J$4:$K$15,2,0)</f>
        <v>1</v>
      </c>
      <c r="J900" s="5">
        <f>IFERROR(VLOOKUP(C900,Sheet2!$M$4:$N$12,2,0),0)</f>
        <v>4000</v>
      </c>
      <c r="K900" s="5" t="str">
        <f t="shared" si="14"/>
        <v>within budget</v>
      </c>
    </row>
    <row r="901" spans="1:11" x14ac:dyDescent="0.3">
      <c r="A901" s="6">
        <v>45604</v>
      </c>
      <c r="B901" s="5" t="s">
        <v>40</v>
      </c>
      <c r="C901" s="5" t="s">
        <v>35</v>
      </c>
      <c r="D901" s="5" t="s">
        <v>18</v>
      </c>
      <c r="E901" s="5" t="s">
        <v>32</v>
      </c>
      <c r="F901" s="5">
        <v>3822</v>
      </c>
      <c r="G901" s="5" t="str">
        <f>VLOOKUP(C901,Sheet2!$C$3:$D$12,2,0)</f>
        <v>Fixed</v>
      </c>
      <c r="H901" s="5" t="str">
        <f>IFERROR(VLOOKUP(E901,Sheet2!$G$3:$H$8,2,0),"unkwon")</f>
        <v>offline</v>
      </c>
      <c r="I901" s="5">
        <f>VLOOKUP(B901,Sheet2!$J$4:$K$15,2,0)</f>
        <v>11</v>
      </c>
      <c r="J901" s="5">
        <f>IFERROR(VLOOKUP(C901,Sheet2!$M$4:$N$12,2,0),0)</f>
        <v>5500</v>
      </c>
      <c r="K901" s="5" t="str">
        <f t="shared" si="14"/>
        <v>within budget</v>
      </c>
    </row>
    <row r="902" spans="1:11" x14ac:dyDescent="0.3">
      <c r="A902" s="6">
        <v>45408</v>
      </c>
      <c r="B902" s="5" t="s">
        <v>29</v>
      </c>
      <c r="C902" s="5" t="s">
        <v>13</v>
      </c>
      <c r="D902" s="5" t="s">
        <v>20</v>
      </c>
      <c r="E902" s="5" t="s">
        <v>12</v>
      </c>
      <c r="F902" s="5">
        <v>1351</v>
      </c>
      <c r="G902" s="5" t="str">
        <f>VLOOKUP(C902,Sheet2!$C$3:$D$12,2,0)</f>
        <v>Variable</v>
      </c>
      <c r="H902" s="5" t="str">
        <f>IFERROR(VLOOKUP(E902,Sheet2!$G$3:$H$8,2,0),"unkwon")</f>
        <v>online</v>
      </c>
      <c r="I902" s="5">
        <f>VLOOKUP(B902,Sheet2!$J$4:$K$15,2,0)</f>
        <v>4</v>
      </c>
      <c r="J902" s="5">
        <f>IFERROR(VLOOKUP(C902,Sheet2!$M$4:$N$12,2,0),0)</f>
        <v>5000</v>
      </c>
      <c r="K902" s="5" t="str">
        <f t="shared" si="14"/>
        <v>within budget</v>
      </c>
    </row>
    <row r="903" spans="1:11" x14ac:dyDescent="0.3">
      <c r="A903" s="6">
        <v>45449</v>
      </c>
      <c r="B903" s="5" t="s">
        <v>39</v>
      </c>
      <c r="C903" s="5" t="s">
        <v>35</v>
      </c>
      <c r="D903" s="5" t="s">
        <v>18</v>
      </c>
      <c r="E903" s="5" t="s">
        <v>9</v>
      </c>
      <c r="F903" s="5">
        <v>265</v>
      </c>
      <c r="G903" s="5" t="str">
        <f>VLOOKUP(C903,Sheet2!$C$3:$D$12,2,0)</f>
        <v>Fixed</v>
      </c>
      <c r="H903" s="5" t="str">
        <f>IFERROR(VLOOKUP(E903,Sheet2!$G$3:$H$8,2,0),"unkwon")</f>
        <v>online</v>
      </c>
      <c r="I903" s="5">
        <f>VLOOKUP(B903,Sheet2!$J$4:$K$15,2,0)</f>
        <v>6</v>
      </c>
      <c r="J903" s="5">
        <f>IFERROR(VLOOKUP(C903,Sheet2!$M$4:$N$12,2,0),0)</f>
        <v>5500</v>
      </c>
      <c r="K903" s="5" t="str">
        <f t="shared" si="14"/>
        <v>within budget</v>
      </c>
    </row>
    <row r="904" spans="1:11" x14ac:dyDescent="0.3">
      <c r="A904" s="6">
        <v>45116</v>
      </c>
      <c r="B904" s="5" t="s">
        <v>21</v>
      </c>
      <c r="C904" s="5" t="s">
        <v>7</v>
      </c>
      <c r="D904" s="5" t="s">
        <v>24</v>
      </c>
      <c r="E904" s="5" t="s">
        <v>15</v>
      </c>
      <c r="F904" s="5">
        <v>2547</v>
      </c>
      <c r="G904" s="5" t="str">
        <f>VLOOKUP(C904,Sheet2!$C$3:$D$12,2,0)</f>
        <v>Fixed</v>
      </c>
      <c r="H904" s="5" t="str">
        <f>IFERROR(VLOOKUP(E904,Sheet2!$G$3:$H$8,2,0),"unkwon")</f>
        <v>online</v>
      </c>
      <c r="I904" s="5">
        <f>VLOOKUP(B904,Sheet2!$J$4:$K$15,2,0)</f>
        <v>7</v>
      </c>
      <c r="J904" s="5">
        <f>IFERROR(VLOOKUP(C904,Sheet2!$M$4:$N$12,2,0),0)</f>
        <v>2000</v>
      </c>
      <c r="K904" s="5" t="str">
        <f t="shared" si="14"/>
        <v>over budget</v>
      </c>
    </row>
    <row r="905" spans="1:11" x14ac:dyDescent="0.3">
      <c r="A905" s="6">
        <v>45094</v>
      </c>
      <c r="B905" s="5" t="s">
        <v>39</v>
      </c>
      <c r="C905" s="5" t="s">
        <v>22</v>
      </c>
      <c r="D905" s="5" t="s">
        <v>26</v>
      </c>
      <c r="E905" s="5" t="s">
        <v>32</v>
      </c>
      <c r="F905" s="5">
        <v>1683</v>
      </c>
      <c r="G905" s="5" t="str">
        <f>VLOOKUP(C905,Sheet2!$C$3:$D$12,2,0)</f>
        <v>Variable</v>
      </c>
      <c r="H905" s="5" t="str">
        <f>IFERROR(VLOOKUP(E905,Sheet2!$G$3:$H$8,2,0),"unkwon")</f>
        <v>offline</v>
      </c>
      <c r="I905" s="5">
        <f>VLOOKUP(B905,Sheet2!$J$4:$K$15,2,0)</f>
        <v>6</v>
      </c>
      <c r="J905" s="5">
        <f>IFERROR(VLOOKUP(C905,Sheet2!$M$4:$N$12,2,0),0)</f>
        <v>1000</v>
      </c>
      <c r="K905" s="5" t="str">
        <f t="shared" si="14"/>
        <v>over budget</v>
      </c>
    </row>
    <row r="906" spans="1:11" x14ac:dyDescent="0.3">
      <c r="A906" s="6">
        <v>45559</v>
      </c>
      <c r="B906" s="5" t="s">
        <v>38</v>
      </c>
      <c r="C906" s="5" t="s">
        <v>41</v>
      </c>
      <c r="D906" s="5" t="s">
        <v>34</v>
      </c>
      <c r="E906" s="5" t="s">
        <v>15</v>
      </c>
      <c r="F906" s="5">
        <v>4288</v>
      </c>
      <c r="G906" s="5" t="str">
        <f>VLOOKUP(C906,Sheet2!$C$3:$D$12,2,0)</f>
        <v>Variable</v>
      </c>
      <c r="H906" s="5" t="str">
        <f>IFERROR(VLOOKUP(E906,Sheet2!$G$3:$H$8,2,0),"unkwon")</f>
        <v>online</v>
      </c>
      <c r="I906" s="5">
        <f>VLOOKUP(B906,Sheet2!$J$4:$K$15,2,0)</f>
        <v>9</v>
      </c>
      <c r="J906" s="5">
        <f>IFERROR(VLOOKUP(C906,Sheet2!$M$4:$N$12,2,0),0)</f>
        <v>7000</v>
      </c>
      <c r="K906" s="5" t="str">
        <f t="shared" si="14"/>
        <v>within budget</v>
      </c>
    </row>
    <row r="907" spans="1:11" x14ac:dyDescent="0.3">
      <c r="A907" s="6">
        <v>45414</v>
      </c>
      <c r="B907" s="5" t="s">
        <v>28</v>
      </c>
      <c r="C907" s="5" t="s">
        <v>7</v>
      </c>
      <c r="D907" s="5" t="s">
        <v>14</v>
      </c>
      <c r="E907" s="5" t="s">
        <v>17</v>
      </c>
      <c r="F907" s="5">
        <v>839</v>
      </c>
      <c r="G907" s="5" t="str">
        <f>VLOOKUP(C907,Sheet2!$C$3:$D$12,2,0)</f>
        <v>Fixed</v>
      </c>
      <c r="H907" s="5" t="str">
        <f>IFERROR(VLOOKUP(E907,Sheet2!$G$3:$H$8,2,0),"unkwon")</f>
        <v>online</v>
      </c>
      <c r="I907" s="5">
        <f>VLOOKUP(B907,Sheet2!$J$4:$K$15,2,0)</f>
        <v>5</v>
      </c>
      <c r="J907" s="5">
        <f>IFERROR(VLOOKUP(C907,Sheet2!$M$4:$N$12,2,0),0)</f>
        <v>2000</v>
      </c>
      <c r="K907" s="5" t="str">
        <f t="shared" si="14"/>
        <v>within budget</v>
      </c>
    </row>
    <row r="908" spans="1:11" x14ac:dyDescent="0.3">
      <c r="A908" s="6">
        <v>45624</v>
      </c>
      <c r="B908" s="5" t="s">
        <v>40</v>
      </c>
      <c r="C908" s="5" t="s">
        <v>36</v>
      </c>
      <c r="D908" s="5" t="s">
        <v>34</v>
      </c>
      <c r="E908" s="5" t="s">
        <v>32</v>
      </c>
      <c r="F908" s="5">
        <v>749</v>
      </c>
      <c r="G908" s="5" t="str">
        <f>VLOOKUP(C908,Sheet2!$C$3:$D$12,2,0)</f>
        <v>Variable</v>
      </c>
      <c r="H908" s="5" t="str">
        <f>IFERROR(VLOOKUP(E908,Sheet2!$G$3:$H$8,2,0),"unkwon")</f>
        <v>offline</v>
      </c>
      <c r="I908" s="5">
        <f>VLOOKUP(B908,Sheet2!$J$4:$K$15,2,0)</f>
        <v>11</v>
      </c>
      <c r="J908" s="5">
        <f>IFERROR(VLOOKUP(C908,Sheet2!$M$4:$N$12,2,0),0)</f>
        <v>10000</v>
      </c>
      <c r="K908" s="5" t="str">
        <f t="shared" si="14"/>
        <v>within budget</v>
      </c>
    </row>
    <row r="909" spans="1:11" x14ac:dyDescent="0.3">
      <c r="A909" s="6">
        <v>45575</v>
      </c>
      <c r="B909" s="5" t="s">
        <v>6</v>
      </c>
      <c r="C909" s="5" t="s">
        <v>27</v>
      </c>
      <c r="D909" s="5" t="s">
        <v>18</v>
      </c>
      <c r="E909" s="5" t="s">
        <v>12</v>
      </c>
      <c r="F909" s="5">
        <v>1654</v>
      </c>
      <c r="G909" s="5" t="str">
        <f>VLOOKUP(C909,Sheet2!$C$3:$D$12,2,0)</f>
        <v>Variable</v>
      </c>
      <c r="H909" s="5" t="str">
        <f>IFERROR(VLOOKUP(E909,Sheet2!$G$3:$H$8,2,0),"unkwon")</f>
        <v>online</v>
      </c>
      <c r="I909" s="5">
        <f>VLOOKUP(B909,Sheet2!$J$4:$K$15,2,0)</f>
        <v>10</v>
      </c>
      <c r="J909" s="5">
        <f>IFERROR(VLOOKUP(C909,Sheet2!$M$4:$N$12,2,0),0)</f>
        <v>4000</v>
      </c>
      <c r="K909" s="5" t="str">
        <f t="shared" si="14"/>
        <v>within budget</v>
      </c>
    </row>
    <row r="910" spans="1:11" x14ac:dyDescent="0.3">
      <c r="A910" s="6">
        <v>45157</v>
      </c>
      <c r="B910" s="5" t="s">
        <v>25</v>
      </c>
      <c r="C910" s="5" t="s">
        <v>7</v>
      </c>
      <c r="D910" s="5" t="s">
        <v>26</v>
      </c>
      <c r="E910" s="5" t="s">
        <v>12</v>
      </c>
      <c r="F910" s="5">
        <v>73</v>
      </c>
      <c r="G910" s="5" t="str">
        <f>VLOOKUP(C910,Sheet2!$C$3:$D$12,2,0)</f>
        <v>Fixed</v>
      </c>
      <c r="H910" s="5" t="str">
        <f>IFERROR(VLOOKUP(E910,Sheet2!$G$3:$H$8,2,0),"unkwon")</f>
        <v>online</v>
      </c>
      <c r="I910" s="5">
        <f>VLOOKUP(B910,Sheet2!$J$4:$K$15,2,0)</f>
        <v>8</v>
      </c>
      <c r="J910" s="5">
        <f>IFERROR(VLOOKUP(C910,Sheet2!$M$4:$N$12,2,0),0)</f>
        <v>2000</v>
      </c>
      <c r="K910" s="5" t="str">
        <f t="shared" si="14"/>
        <v>within budget</v>
      </c>
    </row>
    <row r="911" spans="1:11" x14ac:dyDescent="0.3">
      <c r="A911" s="6">
        <v>45433</v>
      </c>
      <c r="B911" s="5" t="s">
        <v>28</v>
      </c>
      <c r="C911" s="5" t="s">
        <v>41</v>
      </c>
      <c r="D911" s="5" t="s">
        <v>20</v>
      </c>
      <c r="E911" s="5" t="s">
        <v>17</v>
      </c>
      <c r="F911" s="5">
        <v>1839</v>
      </c>
      <c r="G911" s="5" t="str">
        <f>VLOOKUP(C911,Sheet2!$C$3:$D$12,2,0)</f>
        <v>Variable</v>
      </c>
      <c r="H911" s="5" t="str">
        <f>IFERROR(VLOOKUP(E911,Sheet2!$G$3:$H$8,2,0),"unkwon")</f>
        <v>online</v>
      </c>
      <c r="I911" s="5">
        <f>VLOOKUP(B911,Sheet2!$J$4:$K$15,2,0)</f>
        <v>5</v>
      </c>
      <c r="J911" s="5">
        <f>IFERROR(VLOOKUP(C911,Sheet2!$M$4:$N$12,2,0),0)</f>
        <v>7000</v>
      </c>
      <c r="K911" s="5" t="str">
        <f t="shared" si="14"/>
        <v>within budget</v>
      </c>
    </row>
    <row r="912" spans="1:11" x14ac:dyDescent="0.3">
      <c r="A912" s="6">
        <v>45319</v>
      </c>
      <c r="B912" s="5" t="s">
        <v>37</v>
      </c>
      <c r="C912" s="5" t="s">
        <v>41</v>
      </c>
      <c r="D912" s="5" t="s">
        <v>23</v>
      </c>
      <c r="E912" s="5" t="s">
        <v>32</v>
      </c>
      <c r="F912" s="5">
        <v>1718</v>
      </c>
      <c r="G912" s="5" t="str">
        <f>VLOOKUP(C912,Sheet2!$C$3:$D$12,2,0)</f>
        <v>Variable</v>
      </c>
      <c r="H912" s="5" t="str">
        <f>IFERROR(VLOOKUP(E912,Sheet2!$G$3:$H$8,2,0),"unkwon")</f>
        <v>offline</v>
      </c>
      <c r="I912" s="5">
        <f>VLOOKUP(B912,Sheet2!$J$4:$K$15,2,0)</f>
        <v>1</v>
      </c>
      <c r="J912" s="5">
        <f>IFERROR(VLOOKUP(C912,Sheet2!$M$4:$N$12,2,0),0)</f>
        <v>7000</v>
      </c>
      <c r="K912" s="5" t="str">
        <f t="shared" si="14"/>
        <v>within budget</v>
      </c>
    </row>
    <row r="913" spans="1:11" x14ac:dyDescent="0.3">
      <c r="A913" s="6">
        <v>45047</v>
      </c>
      <c r="B913" s="5" t="s">
        <v>28</v>
      </c>
      <c r="C913" s="5" t="s">
        <v>41</v>
      </c>
      <c r="D913" s="5" t="s">
        <v>20</v>
      </c>
      <c r="E913" s="5" t="s">
        <v>9</v>
      </c>
      <c r="F913" s="5">
        <v>2591</v>
      </c>
      <c r="G913" s="5" t="str">
        <f>VLOOKUP(C913,Sheet2!$C$3:$D$12,2,0)</f>
        <v>Variable</v>
      </c>
      <c r="H913" s="5" t="str">
        <f>IFERROR(VLOOKUP(E913,Sheet2!$G$3:$H$8,2,0),"unkwon")</f>
        <v>online</v>
      </c>
      <c r="I913" s="5">
        <f>VLOOKUP(B913,Sheet2!$J$4:$K$15,2,0)</f>
        <v>5</v>
      </c>
      <c r="J913" s="5">
        <f>IFERROR(VLOOKUP(C913,Sheet2!$M$4:$N$12,2,0),0)</f>
        <v>7000</v>
      </c>
      <c r="K913" s="5" t="str">
        <f t="shared" si="14"/>
        <v>within budget</v>
      </c>
    </row>
    <row r="914" spans="1:11" x14ac:dyDescent="0.3">
      <c r="A914" s="6">
        <v>45564</v>
      </c>
      <c r="B914" s="5" t="s">
        <v>38</v>
      </c>
      <c r="C914" s="5" t="s">
        <v>10</v>
      </c>
      <c r="D914" s="5" t="s">
        <v>14</v>
      </c>
      <c r="E914" s="5" t="s">
        <v>12</v>
      </c>
      <c r="F914" s="5">
        <v>1762</v>
      </c>
      <c r="G914" s="5" t="str">
        <f>VLOOKUP(C914,Sheet2!$C$3:$D$12,2,0)</f>
        <v>Variable</v>
      </c>
      <c r="H914" s="5" t="str">
        <f>IFERROR(VLOOKUP(E914,Sheet2!$G$3:$H$8,2,0),"unkwon")</f>
        <v>online</v>
      </c>
      <c r="I914" s="5">
        <f>VLOOKUP(B914,Sheet2!$J$4:$K$15,2,0)</f>
        <v>9</v>
      </c>
      <c r="J914" s="5">
        <f>IFERROR(VLOOKUP(C914,Sheet2!$M$4:$N$12,2,0),0)</f>
        <v>5000</v>
      </c>
      <c r="K914" s="5" t="str">
        <f t="shared" si="14"/>
        <v>within budget</v>
      </c>
    </row>
    <row r="915" spans="1:11" x14ac:dyDescent="0.3">
      <c r="A915" s="6">
        <v>45430</v>
      </c>
      <c r="B915" s="5" t="s">
        <v>28</v>
      </c>
      <c r="C915" s="5" t="s">
        <v>22</v>
      </c>
      <c r="D915" s="5" t="s">
        <v>26</v>
      </c>
      <c r="E915" s="5" t="s">
        <v>15</v>
      </c>
      <c r="F915" s="5">
        <v>2264</v>
      </c>
      <c r="G915" s="5" t="str">
        <f>VLOOKUP(C915,Sheet2!$C$3:$D$12,2,0)</f>
        <v>Variable</v>
      </c>
      <c r="H915" s="5" t="str">
        <f>IFERROR(VLOOKUP(E915,Sheet2!$G$3:$H$8,2,0),"unkwon")</f>
        <v>online</v>
      </c>
      <c r="I915" s="5">
        <f>VLOOKUP(B915,Sheet2!$J$4:$K$15,2,0)</f>
        <v>5</v>
      </c>
      <c r="J915" s="5">
        <f>IFERROR(VLOOKUP(C915,Sheet2!$M$4:$N$12,2,0),0)</f>
        <v>1000</v>
      </c>
      <c r="K915" s="5" t="str">
        <f t="shared" si="14"/>
        <v>over budget</v>
      </c>
    </row>
    <row r="916" spans="1:11" x14ac:dyDescent="0.3">
      <c r="A916" s="6">
        <v>45562</v>
      </c>
      <c r="B916" s="5" t="s">
        <v>38</v>
      </c>
      <c r="C916" s="5" t="s">
        <v>35</v>
      </c>
      <c r="D916" s="5" t="s">
        <v>18</v>
      </c>
      <c r="E916" s="5" t="s">
        <v>12</v>
      </c>
      <c r="F916" s="5">
        <v>1359</v>
      </c>
      <c r="G916" s="5" t="str">
        <f>VLOOKUP(C916,Sheet2!$C$3:$D$12,2,0)</f>
        <v>Fixed</v>
      </c>
      <c r="H916" s="5" t="str">
        <f>IFERROR(VLOOKUP(E916,Sheet2!$G$3:$H$8,2,0),"unkwon")</f>
        <v>online</v>
      </c>
      <c r="I916" s="5">
        <f>VLOOKUP(B916,Sheet2!$J$4:$K$15,2,0)</f>
        <v>9</v>
      </c>
      <c r="J916" s="5">
        <f>IFERROR(VLOOKUP(C916,Sheet2!$M$4:$N$12,2,0),0)</f>
        <v>5500</v>
      </c>
      <c r="K916" s="5" t="str">
        <f t="shared" si="14"/>
        <v>within budget</v>
      </c>
    </row>
    <row r="917" spans="1:11" x14ac:dyDescent="0.3">
      <c r="A917" s="6">
        <v>45636</v>
      </c>
      <c r="B917" s="5" t="s">
        <v>16</v>
      </c>
      <c r="C917" s="5" t="s">
        <v>27</v>
      </c>
      <c r="D917" s="5" t="s">
        <v>14</v>
      </c>
      <c r="E917" s="5" t="s">
        <v>12</v>
      </c>
      <c r="F917" s="5">
        <v>4037</v>
      </c>
      <c r="G917" s="5" t="str">
        <f>VLOOKUP(C917,Sheet2!$C$3:$D$12,2,0)</f>
        <v>Variable</v>
      </c>
      <c r="H917" s="5" t="str">
        <f>IFERROR(VLOOKUP(E917,Sheet2!$G$3:$H$8,2,0),"unkwon")</f>
        <v>online</v>
      </c>
      <c r="I917" s="5">
        <f>VLOOKUP(B917,Sheet2!$J$4:$K$15,2,0)</f>
        <v>12</v>
      </c>
      <c r="J917" s="5">
        <f>IFERROR(VLOOKUP(C917,Sheet2!$M$4:$N$12,2,0),0)</f>
        <v>4000</v>
      </c>
      <c r="K917" s="5" t="str">
        <f t="shared" si="14"/>
        <v>over budget</v>
      </c>
    </row>
    <row r="918" spans="1:11" x14ac:dyDescent="0.3">
      <c r="A918" s="6">
        <v>45033</v>
      </c>
      <c r="B918" s="5" t="s">
        <v>29</v>
      </c>
      <c r="C918" s="5" t="s">
        <v>41</v>
      </c>
      <c r="D918" s="5" t="s">
        <v>14</v>
      </c>
      <c r="E918" s="5" t="s">
        <v>17</v>
      </c>
      <c r="F918" s="5">
        <v>3030</v>
      </c>
      <c r="G918" s="5" t="str">
        <f>VLOOKUP(C918,Sheet2!$C$3:$D$12,2,0)</f>
        <v>Variable</v>
      </c>
      <c r="H918" s="5" t="str">
        <f>IFERROR(VLOOKUP(E918,Sheet2!$G$3:$H$8,2,0),"unkwon")</f>
        <v>online</v>
      </c>
      <c r="I918" s="5">
        <f>VLOOKUP(B918,Sheet2!$J$4:$K$15,2,0)</f>
        <v>4</v>
      </c>
      <c r="J918" s="5">
        <f>IFERROR(VLOOKUP(C918,Sheet2!$M$4:$N$12,2,0),0)</f>
        <v>7000</v>
      </c>
      <c r="K918" s="5" t="str">
        <f t="shared" si="14"/>
        <v>within budget</v>
      </c>
    </row>
    <row r="919" spans="1:11" x14ac:dyDescent="0.3">
      <c r="A919" s="6">
        <v>45174</v>
      </c>
      <c r="B919" s="5" t="s">
        <v>38</v>
      </c>
      <c r="C919" s="5" t="s">
        <v>10</v>
      </c>
      <c r="D919" s="5" t="s">
        <v>34</v>
      </c>
      <c r="E919" s="5" t="s">
        <v>9</v>
      </c>
      <c r="F919" s="5">
        <v>430</v>
      </c>
      <c r="G919" s="5" t="str">
        <f>VLOOKUP(C919,Sheet2!$C$3:$D$12,2,0)</f>
        <v>Variable</v>
      </c>
      <c r="H919" s="5" t="str">
        <f>IFERROR(VLOOKUP(E919,Sheet2!$G$3:$H$8,2,0),"unkwon")</f>
        <v>online</v>
      </c>
      <c r="I919" s="5">
        <f>VLOOKUP(B919,Sheet2!$J$4:$K$15,2,0)</f>
        <v>9</v>
      </c>
      <c r="J919" s="5">
        <f>IFERROR(VLOOKUP(C919,Sheet2!$M$4:$N$12,2,0),0)</f>
        <v>5000</v>
      </c>
      <c r="K919" s="5" t="str">
        <f t="shared" si="14"/>
        <v>within budget</v>
      </c>
    </row>
    <row r="920" spans="1:11" x14ac:dyDescent="0.3">
      <c r="A920" s="6">
        <v>45344</v>
      </c>
      <c r="B920" s="5" t="s">
        <v>33</v>
      </c>
      <c r="C920" s="5" t="s">
        <v>27</v>
      </c>
      <c r="D920" s="5" t="s">
        <v>31</v>
      </c>
      <c r="E920" s="5" t="s">
        <v>32</v>
      </c>
      <c r="F920" s="5">
        <v>785</v>
      </c>
      <c r="G920" s="5" t="str">
        <f>VLOOKUP(C920,Sheet2!$C$3:$D$12,2,0)</f>
        <v>Variable</v>
      </c>
      <c r="H920" s="5" t="str">
        <f>IFERROR(VLOOKUP(E920,Sheet2!$G$3:$H$8,2,0),"unkwon")</f>
        <v>offline</v>
      </c>
      <c r="I920" s="5">
        <f>VLOOKUP(B920,Sheet2!$J$4:$K$15,2,0)</f>
        <v>2</v>
      </c>
      <c r="J920" s="5">
        <f>IFERROR(VLOOKUP(C920,Sheet2!$M$4:$N$12,2,0),0)</f>
        <v>4000</v>
      </c>
      <c r="K920" s="5" t="str">
        <f t="shared" si="14"/>
        <v>within budget</v>
      </c>
    </row>
    <row r="921" spans="1:11" x14ac:dyDescent="0.3">
      <c r="A921" s="6">
        <v>45291</v>
      </c>
      <c r="B921" s="5" t="s">
        <v>16</v>
      </c>
      <c r="C921" s="5" t="s">
        <v>22</v>
      </c>
      <c r="D921" s="5" t="s">
        <v>18</v>
      </c>
      <c r="E921" s="5" t="s">
        <v>9</v>
      </c>
      <c r="F921" s="5">
        <v>4764</v>
      </c>
      <c r="G921" s="5" t="str">
        <f>VLOOKUP(C921,Sheet2!$C$3:$D$12,2,0)</f>
        <v>Variable</v>
      </c>
      <c r="H921" s="5" t="str">
        <f>IFERROR(VLOOKUP(E921,Sheet2!$G$3:$H$8,2,0),"unkwon")</f>
        <v>online</v>
      </c>
      <c r="I921" s="5">
        <f>VLOOKUP(B921,Sheet2!$J$4:$K$15,2,0)</f>
        <v>12</v>
      </c>
      <c r="J921" s="5">
        <f>IFERROR(VLOOKUP(C921,Sheet2!$M$4:$N$12,2,0),0)</f>
        <v>1000</v>
      </c>
      <c r="K921" s="5" t="str">
        <f t="shared" si="14"/>
        <v>over budget</v>
      </c>
    </row>
    <row r="922" spans="1:11" x14ac:dyDescent="0.3">
      <c r="A922" s="6">
        <v>45162</v>
      </c>
      <c r="B922" s="5" t="s">
        <v>25</v>
      </c>
      <c r="C922" s="5" t="s">
        <v>30</v>
      </c>
      <c r="D922" s="5" t="s">
        <v>24</v>
      </c>
      <c r="E922" s="5" t="s">
        <v>32</v>
      </c>
      <c r="F922" s="5">
        <v>4098</v>
      </c>
      <c r="G922" s="5" t="str">
        <f>VLOOKUP(C922,Sheet2!$C$3:$D$12,2,0)</f>
        <v>Fixed</v>
      </c>
      <c r="H922" s="5" t="str">
        <f>IFERROR(VLOOKUP(E922,Sheet2!$G$3:$H$8,2,0),"unkwon")</f>
        <v>offline</v>
      </c>
      <c r="I922" s="5">
        <f>VLOOKUP(B922,Sheet2!$J$4:$K$15,2,0)</f>
        <v>8</v>
      </c>
      <c r="J922" s="5">
        <f>IFERROR(VLOOKUP(C922,Sheet2!$M$4:$N$12,2,0),0)</f>
        <v>3000</v>
      </c>
      <c r="K922" s="5" t="str">
        <f t="shared" si="14"/>
        <v>over budget</v>
      </c>
    </row>
    <row r="923" spans="1:11" x14ac:dyDescent="0.3">
      <c r="A923" s="6">
        <v>45440</v>
      </c>
      <c r="B923" s="5" t="s">
        <v>28</v>
      </c>
      <c r="C923" s="5" t="s">
        <v>41</v>
      </c>
      <c r="D923" s="5" t="s">
        <v>31</v>
      </c>
      <c r="E923" s="5" t="s">
        <v>17</v>
      </c>
      <c r="F923" s="5">
        <v>597</v>
      </c>
      <c r="G923" s="5" t="str">
        <f>VLOOKUP(C923,Sheet2!$C$3:$D$12,2,0)</f>
        <v>Variable</v>
      </c>
      <c r="H923" s="5" t="str">
        <f>IFERROR(VLOOKUP(E923,Sheet2!$G$3:$H$8,2,0),"unkwon")</f>
        <v>online</v>
      </c>
      <c r="I923" s="5">
        <f>VLOOKUP(B923,Sheet2!$J$4:$K$15,2,0)</f>
        <v>5</v>
      </c>
      <c r="J923" s="5">
        <f>IFERROR(VLOOKUP(C923,Sheet2!$M$4:$N$12,2,0),0)</f>
        <v>7000</v>
      </c>
      <c r="K923" s="5" t="str">
        <f t="shared" si="14"/>
        <v>within budget</v>
      </c>
    </row>
    <row r="924" spans="1:11" x14ac:dyDescent="0.3">
      <c r="A924" s="6">
        <v>45173</v>
      </c>
      <c r="B924" s="5" t="s">
        <v>38</v>
      </c>
      <c r="C924" s="5" t="s">
        <v>10</v>
      </c>
      <c r="D924" s="5" t="s">
        <v>8</v>
      </c>
      <c r="E924" s="5" t="s">
        <v>15</v>
      </c>
      <c r="F924" s="5">
        <v>2147</v>
      </c>
      <c r="G924" s="5" t="str">
        <f>VLOOKUP(C924,Sheet2!$C$3:$D$12,2,0)</f>
        <v>Variable</v>
      </c>
      <c r="H924" s="5" t="str">
        <f>IFERROR(VLOOKUP(E924,Sheet2!$G$3:$H$8,2,0),"unkwon")</f>
        <v>online</v>
      </c>
      <c r="I924" s="5">
        <f>VLOOKUP(B924,Sheet2!$J$4:$K$15,2,0)</f>
        <v>9</v>
      </c>
      <c r="J924" s="5">
        <f>IFERROR(VLOOKUP(C924,Sheet2!$M$4:$N$12,2,0),0)</f>
        <v>5000</v>
      </c>
      <c r="K924" s="5" t="str">
        <f t="shared" si="14"/>
        <v>within budget</v>
      </c>
    </row>
    <row r="925" spans="1:11" x14ac:dyDescent="0.3">
      <c r="A925" s="6">
        <v>45277</v>
      </c>
      <c r="B925" s="5" t="s">
        <v>16</v>
      </c>
      <c r="C925" s="5" t="s">
        <v>13</v>
      </c>
      <c r="D925" s="5" t="s">
        <v>34</v>
      </c>
      <c r="E925" s="5" t="s">
        <v>17</v>
      </c>
      <c r="F925" s="5">
        <v>3819</v>
      </c>
      <c r="G925" s="5" t="str">
        <f>VLOOKUP(C925,Sheet2!$C$3:$D$12,2,0)</f>
        <v>Variable</v>
      </c>
      <c r="H925" s="5" t="str">
        <f>IFERROR(VLOOKUP(E925,Sheet2!$G$3:$H$8,2,0),"unkwon")</f>
        <v>online</v>
      </c>
      <c r="I925" s="5">
        <f>VLOOKUP(B925,Sheet2!$J$4:$K$15,2,0)</f>
        <v>12</v>
      </c>
      <c r="J925" s="5">
        <f>IFERROR(VLOOKUP(C925,Sheet2!$M$4:$N$12,2,0),0)</f>
        <v>5000</v>
      </c>
      <c r="K925" s="5" t="str">
        <f t="shared" si="14"/>
        <v>within budget</v>
      </c>
    </row>
    <row r="926" spans="1:11" x14ac:dyDescent="0.3">
      <c r="A926" s="6">
        <v>45070</v>
      </c>
      <c r="B926" s="5" t="s">
        <v>28</v>
      </c>
      <c r="C926" s="5" t="s">
        <v>10</v>
      </c>
      <c r="D926" s="5" t="s">
        <v>11</v>
      </c>
      <c r="E926" s="5" t="s">
        <v>32</v>
      </c>
      <c r="F926" s="5">
        <v>4203</v>
      </c>
      <c r="G926" s="5" t="str">
        <f>VLOOKUP(C926,Sheet2!$C$3:$D$12,2,0)</f>
        <v>Variable</v>
      </c>
      <c r="H926" s="5" t="str">
        <f>IFERROR(VLOOKUP(E926,Sheet2!$G$3:$H$8,2,0),"unkwon")</f>
        <v>offline</v>
      </c>
      <c r="I926" s="5">
        <f>VLOOKUP(B926,Sheet2!$J$4:$K$15,2,0)</f>
        <v>5</v>
      </c>
      <c r="J926" s="5">
        <f>IFERROR(VLOOKUP(C926,Sheet2!$M$4:$N$12,2,0),0)</f>
        <v>5000</v>
      </c>
      <c r="K926" s="5" t="str">
        <f t="shared" si="14"/>
        <v>within budget</v>
      </c>
    </row>
    <row r="927" spans="1:11" x14ac:dyDescent="0.3">
      <c r="A927" s="6">
        <v>45567</v>
      </c>
      <c r="B927" s="5" t="s">
        <v>6</v>
      </c>
      <c r="C927" s="5" t="s">
        <v>36</v>
      </c>
      <c r="D927" s="5" t="s">
        <v>34</v>
      </c>
      <c r="E927" s="5" t="s">
        <v>12</v>
      </c>
      <c r="F927" s="5">
        <v>1565</v>
      </c>
      <c r="G927" s="5" t="str">
        <f>VLOOKUP(C927,Sheet2!$C$3:$D$12,2,0)</f>
        <v>Variable</v>
      </c>
      <c r="H927" s="5" t="str">
        <f>IFERROR(VLOOKUP(E927,Sheet2!$G$3:$H$8,2,0),"unkwon")</f>
        <v>online</v>
      </c>
      <c r="I927" s="5">
        <f>VLOOKUP(B927,Sheet2!$J$4:$K$15,2,0)</f>
        <v>10</v>
      </c>
      <c r="J927" s="5">
        <f>IFERROR(VLOOKUP(C927,Sheet2!$M$4:$N$12,2,0),0)</f>
        <v>10000</v>
      </c>
      <c r="K927" s="5" t="str">
        <f t="shared" si="14"/>
        <v>within budget</v>
      </c>
    </row>
    <row r="928" spans="1:11" x14ac:dyDescent="0.3">
      <c r="A928" s="6">
        <v>45306</v>
      </c>
      <c r="B928" s="5" t="s">
        <v>37</v>
      </c>
      <c r="C928" s="5" t="s">
        <v>27</v>
      </c>
      <c r="D928" s="5" t="s">
        <v>26</v>
      </c>
      <c r="E928" s="5" t="s">
        <v>32</v>
      </c>
      <c r="F928" s="5">
        <v>54</v>
      </c>
      <c r="G928" s="5" t="str">
        <f>VLOOKUP(C928,Sheet2!$C$3:$D$12,2,0)</f>
        <v>Variable</v>
      </c>
      <c r="H928" s="5" t="str">
        <f>IFERROR(VLOOKUP(E928,Sheet2!$G$3:$H$8,2,0),"unkwon")</f>
        <v>offline</v>
      </c>
      <c r="I928" s="5">
        <f>VLOOKUP(B928,Sheet2!$J$4:$K$15,2,0)</f>
        <v>1</v>
      </c>
      <c r="J928" s="5">
        <f>IFERROR(VLOOKUP(C928,Sheet2!$M$4:$N$12,2,0),0)</f>
        <v>4000</v>
      </c>
      <c r="K928" s="5" t="str">
        <f t="shared" si="14"/>
        <v>within budget</v>
      </c>
    </row>
    <row r="929" spans="1:11" x14ac:dyDescent="0.3">
      <c r="A929" s="6">
        <v>45168</v>
      </c>
      <c r="B929" s="5" t="s">
        <v>25</v>
      </c>
      <c r="C929" s="5" t="s">
        <v>10</v>
      </c>
      <c r="D929" s="5" t="s">
        <v>18</v>
      </c>
      <c r="E929" s="5" t="s">
        <v>17</v>
      </c>
      <c r="F929" s="5">
        <v>4533</v>
      </c>
      <c r="G929" s="5" t="str">
        <f>VLOOKUP(C929,Sheet2!$C$3:$D$12,2,0)</f>
        <v>Variable</v>
      </c>
      <c r="H929" s="5" t="str">
        <f>IFERROR(VLOOKUP(E929,Sheet2!$G$3:$H$8,2,0),"unkwon")</f>
        <v>online</v>
      </c>
      <c r="I929" s="5">
        <f>VLOOKUP(B929,Sheet2!$J$4:$K$15,2,0)</f>
        <v>8</v>
      </c>
      <c r="J929" s="5">
        <f>IFERROR(VLOOKUP(C929,Sheet2!$M$4:$N$12,2,0),0)</f>
        <v>5000</v>
      </c>
      <c r="K929" s="5" t="str">
        <f t="shared" si="14"/>
        <v>within budget</v>
      </c>
    </row>
    <row r="930" spans="1:11" x14ac:dyDescent="0.3">
      <c r="A930" s="6">
        <v>44942</v>
      </c>
      <c r="B930" s="5" t="s">
        <v>37</v>
      </c>
      <c r="C930" s="5" t="s">
        <v>13</v>
      </c>
      <c r="D930" s="5" t="s">
        <v>11</v>
      </c>
      <c r="E930" s="5" t="s">
        <v>9</v>
      </c>
      <c r="F930" s="5">
        <v>4655</v>
      </c>
      <c r="G930" s="5" t="str">
        <f>VLOOKUP(C930,Sheet2!$C$3:$D$12,2,0)</f>
        <v>Variable</v>
      </c>
      <c r="H930" s="5" t="str">
        <f>IFERROR(VLOOKUP(E930,Sheet2!$G$3:$H$8,2,0),"unkwon")</f>
        <v>online</v>
      </c>
      <c r="I930" s="5">
        <f>VLOOKUP(B930,Sheet2!$J$4:$K$15,2,0)</f>
        <v>1</v>
      </c>
      <c r="J930" s="5">
        <f>IFERROR(VLOOKUP(C930,Sheet2!$M$4:$N$12,2,0),0)</f>
        <v>5000</v>
      </c>
      <c r="K930" s="5" t="str">
        <f t="shared" si="14"/>
        <v>within budget</v>
      </c>
    </row>
    <row r="931" spans="1:11" x14ac:dyDescent="0.3">
      <c r="A931" s="6">
        <v>45506</v>
      </c>
      <c r="B931" s="5" t="s">
        <v>25</v>
      </c>
      <c r="C931" s="5" t="s">
        <v>41</v>
      </c>
      <c r="D931" s="5" t="s">
        <v>20</v>
      </c>
      <c r="E931" s="5" t="s">
        <v>17</v>
      </c>
      <c r="F931" s="5">
        <v>2116</v>
      </c>
      <c r="G931" s="5" t="str">
        <f>VLOOKUP(C931,Sheet2!$C$3:$D$12,2,0)</f>
        <v>Variable</v>
      </c>
      <c r="H931" s="5" t="str">
        <f>IFERROR(VLOOKUP(E931,Sheet2!$G$3:$H$8,2,0),"unkwon")</f>
        <v>online</v>
      </c>
      <c r="I931" s="5">
        <f>VLOOKUP(B931,Sheet2!$J$4:$K$15,2,0)</f>
        <v>8</v>
      </c>
      <c r="J931" s="5">
        <f>IFERROR(VLOOKUP(C931,Sheet2!$M$4:$N$12,2,0),0)</f>
        <v>7000</v>
      </c>
      <c r="K931" s="5" t="str">
        <f t="shared" si="14"/>
        <v>within budget</v>
      </c>
    </row>
    <row r="932" spans="1:11" x14ac:dyDescent="0.3">
      <c r="A932" s="6">
        <v>45168</v>
      </c>
      <c r="B932" s="5" t="s">
        <v>25</v>
      </c>
      <c r="C932" s="5" t="s">
        <v>36</v>
      </c>
      <c r="D932" s="5" t="s">
        <v>26</v>
      </c>
      <c r="E932" s="5" t="s">
        <v>32</v>
      </c>
      <c r="F932" s="5">
        <v>1140</v>
      </c>
      <c r="G932" s="5" t="str">
        <f>VLOOKUP(C932,Sheet2!$C$3:$D$12,2,0)</f>
        <v>Variable</v>
      </c>
      <c r="H932" s="5" t="str">
        <f>IFERROR(VLOOKUP(E932,Sheet2!$G$3:$H$8,2,0),"unkwon")</f>
        <v>offline</v>
      </c>
      <c r="I932" s="5">
        <f>VLOOKUP(B932,Sheet2!$J$4:$K$15,2,0)</f>
        <v>8</v>
      </c>
      <c r="J932" s="5">
        <f>IFERROR(VLOOKUP(C932,Sheet2!$M$4:$N$12,2,0),0)</f>
        <v>10000</v>
      </c>
      <c r="K932" s="5" t="str">
        <f t="shared" si="14"/>
        <v>within budget</v>
      </c>
    </row>
    <row r="933" spans="1:11" x14ac:dyDescent="0.3">
      <c r="A933" s="6">
        <v>44951</v>
      </c>
      <c r="B933" s="5" t="s">
        <v>37</v>
      </c>
      <c r="C933" s="5" t="s">
        <v>13</v>
      </c>
      <c r="D933" s="5" t="s">
        <v>20</v>
      </c>
      <c r="E933" s="5" t="s">
        <v>17</v>
      </c>
      <c r="F933" s="5">
        <v>4473</v>
      </c>
      <c r="G933" s="5" t="str">
        <f>VLOOKUP(C933,Sheet2!$C$3:$D$12,2,0)</f>
        <v>Variable</v>
      </c>
      <c r="H933" s="5" t="str">
        <f>IFERROR(VLOOKUP(E933,Sheet2!$G$3:$H$8,2,0),"unkwon")</f>
        <v>online</v>
      </c>
      <c r="I933" s="5">
        <f>VLOOKUP(B933,Sheet2!$J$4:$K$15,2,0)</f>
        <v>1</v>
      </c>
      <c r="J933" s="5">
        <f>IFERROR(VLOOKUP(C933,Sheet2!$M$4:$N$12,2,0),0)</f>
        <v>5000</v>
      </c>
      <c r="K933" s="5" t="str">
        <f t="shared" si="14"/>
        <v>within budget</v>
      </c>
    </row>
    <row r="934" spans="1:11" x14ac:dyDescent="0.3">
      <c r="A934" s="6">
        <v>45207</v>
      </c>
      <c r="B934" s="5" t="s">
        <v>6</v>
      </c>
      <c r="C934" s="5" t="s">
        <v>13</v>
      </c>
      <c r="D934" s="5" t="s">
        <v>24</v>
      </c>
      <c r="E934" s="5" t="s">
        <v>12</v>
      </c>
      <c r="F934" s="5">
        <v>3835</v>
      </c>
      <c r="G934" s="5" t="str">
        <f>VLOOKUP(C934,Sheet2!$C$3:$D$12,2,0)</f>
        <v>Variable</v>
      </c>
      <c r="H934" s="5" t="str">
        <f>IFERROR(VLOOKUP(E934,Sheet2!$G$3:$H$8,2,0),"unkwon")</f>
        <v>online</v>
      </c>
      <c r="I934" s="5">
        <f>VLOOKUP(B934,Sheet2!$J$4:$K$15,2,0)</f>
        <v>10</v>
      </c>
      <c r="J934" s="5">
        <f>IFERROR(VLOOKUP(C934,Sheet2!$M$4:$N$12,2,0),0)</f>
        <v>5000</v>
      </c>
      <c r="K934" s="5" t="str">
        <f t="shared" si="14"/>
        <v>within budget</v>
      </c>
    </row>
    <row r="935" spans="1:11" x14ac:dyDescent="0.3">
      <c r="A935" s="6">
        <v>45581</v>
      </c>
      <c r="B935" s="5" t="s">
        <v>6</v>
      </c>
      <c r="C935" s="5" t="s">
        <v>13</v>
      </c>
      <c r="D935" s="5" t="s">
        <v>23</v>
      </c>
      <c r="E935" s="5" t="s">
        <v>9</v>
      </c>
      <c r="F935" s="5">
        <v>1647</v>
      </c>
      <c r="G935" s="5" t="str">
        <f>VLOOKUP(C935,Sheet2!$C$3:$D$12,2,0)</f>
        <v>Variable</v>
      </c>
      <c r="H935" s="5" t="str">
        <f>IFERROR(VLOOKUP(E935,Sheet2!$G$3:$H$8,2,0),"unkwon")</f>
        <v>online</v>
      </c>
      <c r="I935" s="5">
        <f>VLOOKUP(B935,Sheet2!$J$4:$K$15,2,0)</f>
        <v>10</v>
      </c>
      <c r="J935" s="5">
        <f>IFERROR(VLOOKUP(C935,Sheet2!$M$4:$N$12,2,0),0)</f>
        <v>5000</v>
      </c>
      <c r="K935" s="5" t="str">
        <f t="shared" si="14"/>
        <v>within budget</v>
      </c>
    </row>
    <row r="936" spans="1:11" x14ac:dyDescent="0.3">
      <c r="A936" s="6">
        <v>45290</v>
      </c>
      <c r="B936" s="5" t="s">
        <v>16</v>
      </c>
      <c r="C936" s="5" t="s">
        <v>22</v>
      </c>
      <c r="D936" s="5" t="s">
        <v>20</v>
      </c>
      <c r="E936" s="5" t="s">
        <v>17</v>
      </c>
      <c r="F936" s="5">
        <v>1334</v>
      </c>
      <c r="G936" s="5" t="str">
        <f>VLOOKUP(C936,Sheet2!$C$3:$D$12,2,0)</f>
        <v>Variable</v>
      </c>
      <c r="H936" s="5" t="str">
        <f>IFERROR(VLOOKUP(E936,Sheet2!$G$3:$H$8,2,0),"unkwon")</f>
        <v>online</v>
      </c>
      <c r="I936" s="5">
        <f>VLOOKUP(B936,Sheet2!$J$4:$K$15,2,0)</f>
        <v>12</v>
      </c>
      <c r="J936" s="5">
        <f>IFERROR(VLOOKUP(C936,Sheet2!$M$4:$N$12,2,0),0)</f>
        <v>1000</v>
      </c>
      <c r="K936" s="5" t="str">
        <f t="shared" si="14"/>
        <v>over budget</v>
      </c>
    </row>
    <row r="937" spans="1:11" x14ac:dyDescent="0.3">
      <c r="A937" s="6">
        <v>45284</v>
      </c>
      <c r="B937" s="5" t="s">
        <v>16</v>
      </c>
      <c r="C937" s="5" t="s">
        <v>27</v>
      </c>
      <c r="D937" s="5" t="s">
        <v>23</v>
      </c>
      <c r="E937" s="5" t="s">
        <v>9</v>
      </c>
      <c r="F937" s="5">
        <v>3436</v>
      </c>
      <c r="G937" s="5" t="str">
        <f>VLOOKUP(C937,Sheet2!$C$3:$D$12,2,0)</f>
        <v>Variable</v>
      </c>
      <c r="H937" s="5" t="str">
        <f>IFERROR(VLOOKUP(E937,Sheet2!$G$3:$H$8,2,0),"unkwon")</f>
        <v>online</v>
      </c>
      <c r="I937" s="5">
        <f>VLOOKUP(B937,Sheet2!$J$4:$K$15,2,0)</f>
        <v>12</v>
      </c>
      <c r="J937" s="5">
        <f>IFERROR(VLOOKUP(C937,Sheet2!$M$4:$N$12,2,0),0)</f>
        <v>4000</v>
      </c>
      <c r="K937" s="5" t="str">
        <f t="shared" si="14"/>
        <v>within budget</v>
      </c>
    </row>
    <row r="938" spans="1:11" x14ac:dyDescent="0.3">
      <c r="A938" s="6">
        <v>45611</v>
      </c>
      <c r="B938" s="5" t="s">
        <v>40</v>
      </c>
      <c r="C938" s="5" t="s">
        <v>41</v>
      </c>
      <c r="D938" s="5" t="s">
        <v>18</v>
      </c>
      <c r="E938" s="5" t="s">
        <v>12</v>
      </c>
      <c r="F938" s="5">
        <v>1585</v>
      </c>
      <c r="G938" s="5" t="str">
        <f>VLOOKUP(C938,Sheet2!$C$3:$D$12,2,0)</f>
        <v>Variable</v>
      </c>
      <c r="H938" s="5" t="str">
        <f>IFERROR(VLOOKUP(E938,Sheet2!$G$3:$H$8,2,0),"unkwon")</f>
        <v>online</v>
      </c>
      <c r="I938" s="5">
        <f>VLOOKUP(B938,Sheet2!$J$4:$K$15,2,0)</f>
        <v>11</v>
      </c>
      <c r="J938" s="5">
        <f>IFERROR(VLOOKUP(C938,Sheet2!$M$4:$N$12,2,0),0)</f>
        <v>7000</v>
      </c>
      <c r="K938" s="5" t="str">
        <f t="shared" si="14"/>
        <v>within budget</v>
      </c>
    </row>
    <row r="939" spans="1:11" x14ac:dyDescent="0.3">
      <c r="A939" s="6">
        <v>45620</v>
      </c>
      <c r="B939" s="5" t="s">
        <v>40</v>
      </c>
      <c r="C939" s="5" t="s">
        <v>27</v>
      </c>
      <c r="D939" s="5" t="s">
        <v>31</v>
      </c>
      <c r="E939" s="5" t="s">
        <v>9</v>
      </c>
      <c r="F939" s="5">
        <v>749</v>
      </c>
      <c r="G939" s="5" t="str">
        <f>VLOOKUP(C939,Sheet2!$C$3:$D$12,2,0)</f>
        <v>Variable</v>
      </c>
      <c r="H939" s="5" t="str">
        <f>IFERROR(VLOOKUP(E939,Sheet2!$G$3:$H$8,2,0),"unkwon")</f>
        <v>online</v>
      </c>
      <c r="I939" s="5">
        <f>VLOOKUP(B939,Sheet2!$J$4:$K$15,2,0)</f>
        <v>11</v>
      </c>
      <c r="J939" s="5">
        <f>IFERROR(VLOOKUP(C939,Sheet2!$M$4:$N$12,2,0),0)</f>
        <v>4000</v>
      </c>
      <c r="K939" s="5" t="str">
        <f t="shared" si="14"/>
        <v>within budget</v>
      </c>
    </row>
    <row r="940" spans="1:11" x14ac:dyDescent="0.3">
      <c r="A940" s="6">
        <v>45024</v>
      </c>
      <c r="B940" s="5" t="s">
        <v>29</v>
      </c>
      <c r="C940" s="5" t="s">
        <v>27</v>
      </c>
      <c r="D940" s="5" t="s">
        <v>24</v>
      </c>
      <c r="E940" s="5" t="s">
        <v>32</v>
      </c>
      <c r="F940" s="5">
        <v>4122</v>
      </c>
      <c r="G940" s="5" t="str">
        <f>VLOOKUP(C940,Sheet2!$C$3:$D$12,2,0)</f>
        <v>Variable</v>
      </c>
      <c r="H940" s="5" t="str">
        <f>IFERROR(VLOOKUP(E940,Sheet2!$G$3:$H$8,2,0),"unkwon")</f>
        <v>offline</v>
      </c>
      <c r="I940" s="5">
        <f>VLOOKUP(B940,Sheet2!$J$4:$K$15,2,0)</f>
        <v>4</v>
      </c>
      <c r="J940" s="5">
        <f>IFERROR(VLOOKUP(C940,Sheet2!$M$4:$N$12,2,0),0)</f>
        <v>4000</v>
      </c>
      <c r="K940" s="5" t="str">
        <f t="shared" si="14"/>
        <v>over budget</v>
      </c>
    </row>
    <row r="941" spans="1:11" x14ac:dyDescent="0.3">
      <c r="A941" s="6">
        <v>45134</v>
      </c>
      <c r="B941" s="5" t="s">
        <v>21</v>
      </c>
      <c r="C941" s="5" t="s">
        <v>30</v>
      </c>
      <c r="D941" s="5" t="s">
        <v>11</v>
      </c>
      <c r="E941" s="5" t="s">
        <v>32</v>
      </c>
      <c r="F941" s="5">
        <v>4159</v>
      </c>
      <c r="G941" s="5" t="str">
        <f>VLOOKUP(C941,Sheet2!$C$3:$D$12,2,0)</f>
        <v>Fixed</v>
      </c>
      <c r="H941" s="5" t="str">
        <f>IFERROR(VLOOKUP(E941,Sheet2!$G$3:$H$8,2,0),"unkwon")</f>
        <v>offline</v>
      </c>
      <c r="I941" s="5">
        <f>VLOOKUP(B941,Sheet2!$J$4:$K$15,2,0)</f>
        <v>7</v>
      </c>
      <c r="J941" s="5">
        <f>IFERROR(VLOOKUP(C941,Sheet2!$M$4:$N$12,2,0),0)</f>
        <v>3000</v>
      </c>
      <c r="K941" s="5" t="str">
        <f t="shared" si="14"/>
        <v>over budget</v>
      </c>
    </row>
    <row r="942" spans="1:11" x14ac:dyDescent="0.3">
      <c r="A942" s="6">
        <v>45579</v>
      </c>
      <c r="B942" s="5" t="s">
        <v>6</v>
      </c>
      <c r="C942" s="5" t="s">
        <v>27</v>
      </c>
      <c r="D942" s="5" t="s">
        <v>34</v>
      </c>
      <c r="E942" s="5" t="s">
        <v>9</v>
      </c>
      <c r="F942" s="5">
        <v>3519</v>
      </c>
      <c r="G942" s="5" t="str">
        <f>VLOOKUP(C942,Sheet2!$C$3:$D$12,2,0)</f>
        <v>Variable</v>
      </c>
      <c r="H942" s="5" t="str">
        <f>IFERROR(VLOOKUP(E942,Sheet2!$G$3:$H$8,2,0),"unkwon")</f>
        <v>online</v>
      </c>
      <c r="I942" s="5">
        <f>VLOOKUP(B942,Sheet2!$J$4:$K$15,2,0)</f>
        <v>10</v>
      </c>
      <c r="J942" s="5">
        <f>IFERROR(VLOOKUP(C942,Sheet2!$M$4:$N$12,2,0),0)</f>
        <v>4000</v>
      </c>
      <c r="K942" s="5" t="str">
        <f t="shared" si="14"/>
        <v>within budget</v>
      </c>
    </row>
    <row r="943" spans="1:11" x14ac:dyDescent="0.3">
      <c r="A943" s="6">
        <v>45192</v>
      </c>
      <c r="B943" s="5" t="s">
        <v>38</v>
      </c>
      <c r="C943" s="5" t="s">
        <v>10</v>
      </c>
      <c r="D943" s="5" t="s">
        <v>31</v>
      </c>
      <c r="E943" s="5" t="s">
        <v>15</v>
      </c>
      <c r="F943" s="5">
        <v>3256</v>
      </c>
      <c r="G943" s="5" t="str">
        <f>VLOOKUP(C943,Sheet2!$C$3:$D$12,2,0)</f>
        <v>Variable</v>
      </c>
      <c r="H943" s="5" t="str">
        <f>IFERROR(VLOOKUP(E943,Sheet2!$G$3:$H$8,2,0),"unkwon")</f>
        <v>online</v>
      </c>
      <c r="I943" s="5">
        <f>VLOOKUP(B943,Sheet2!$J$4:$K$15,2,0)</f>
        <v>9</v>
      </c>
      <c r="J943" s="5">
        <f>IFERROR(VLOOKUP(C943,Sheet2!$M$4:$N$12,2,0),0)</f>
        <v>5000</v>
      </c>
      <c r="K943" s="5" t="str">
        <f t="shared" si="14"/>
        <v>within budget</v>
      </c>
    </row>
    <row r="944" spans="1:11" x14ac:dyDescent="0.3">
      <c r="A944" s="6">
        <v>45266</v>
      </c>
      <c r="B944" s="5" t="s">
        <v>16</v>
      </c>
      <c r="C944" s="5" t="s">
        <v>35</v>
      </c>
      <c r="D944" s="5" t="s">
        <v>20</v>
      </c>
      <c r="E944" s="5" t="s">
        <v>32</v>
      </c>
      <c r="F944" s="5">
        <v>2839</v>
      </c>
      <c r="G944" s="5" t="str">
        <f>VLOOKUP(C944,Sheet2!$C$3:$D$12,2,0)</f>
        <v>Fixed</v>
      </c>
      <c r="H944" s="5" t="str">
        <f>IFERROR(VLOOKUP(E944,Sheet2!$G$3:$H$8,2,0),"unkwon")</f>
        <v>offline</v>
      </c>
      <c r="I944" s="5">
        <f>VLOOKUP(B944,Sheet2!$J$4:$K$15,2,0)</f>
        <v>12</v>
      </c>
      <c r="J944" s="5">
        <f>IFERROR(VLOOKUP(C944,Sheet2!$M$4:$N$12,2,0),0)</f>
        <v>5500</v>
      </c>
      <c r="K944" s="5" t="str">
        <f t="shared" si="14"/>
        <v>within budget</v>
      </c>
    </row>
    <row r="945" spans="1:11" x14ac:dyDescent="0.3">
      <c r="A945" s="6">
        <v>45200</v>
      </c>
      <c r="B945" s="5" t="s">
        <v>6</v>
      </c>
      <c r="C945" s="5" t="s">
        <v>7</v>
      </c>
      <c r="D945" s="5" t="s">
        <v>20</v>
      </c>
      <c r="E945" s="5" t="s">
        <v>17</v>
      </c>
      <c r="F945" s="5">
        <v>4091</v>
      </c>
      <c r="G945" s="5" t="str">
        <f>VLOOKUP(C945,Sheet2!$C$3:$D$12,2,0)</f>
        <v>Fixed</v>
      </c>
      <c r="H945" s="5" t="str">
        <f>IFERROR(VLOOKUP(E945,Sheet2!$G$3:$H$8,2,0),"unkwon")</f>
        <v>online</v>
      </c>
      <c r="I945" s="5">
        <f>VLOOKUP(B945,Sheet2!$J$4:$K$15,2,0)</f>
        <v>10</v>
      </c>
      <c r="J945" s="5">
        <f>IFERROR(VLOOKUP(C945,Sheet2!$M$4:$N$12,2,0),0)</f>
        <v>2000</v>
      </c>
      <c r="K945" s="5" t="str">
        <f t="shared" si="14"/>
        <v>over budget</v>
      </c>
    </row>
    <row r="946" spans="1:11" x14ac:dyDescent="0.3">
      <c r="A946" s="6">
        <v>45478</v>
      </c>
      <c r="B946" s="5" t="s">
        <v>21</v>
      </c>
      <c r="C946" s="5" t="s">
        <v>35</v>
      </c>
      <c r="D946" s="5" t="s">
        <v>20</v>
      </c>
      <c r="E946" s="5" t="s">
        <v>17</v>
      </c>
      <c r="F946" s="5">
        <v>1492</v>
      </c>
      <c r="G946" s="5" t="str">
        <f>VLOOKUP(C946,Sheet2!$C$3:$D$12,2,0)</f>
        <v>Fixed</v>
      </c>
      <c r="H946" s="5" t="str">
        <f>IFERROR(VLOOKUP(E946,Sheet2!$G$3:$H$8,2,0),"unkwon")</f>
        <v>online</v>
      </c>
      <c r="I946" s="5">
        <f>VLOOKUP(B946,Sheet2!$J$4:$K$15,2,0)</f>
        <v>7</v>
      </c>
      <c r="J946" s="5">
        <f>IFERROR(VLOOKUP(C946,Sheet2!$M$4:$N$12,2,0),0)</f>
        <v>5500</v>
      </c>
      <c r="K946" s="5" t="str">
        <f t="shared" si="14"/>
        <v>within budget</v>
      </c>
    </row>
    <row r="947" spans="1:11" x14ac:dyDescent="0.3">
      <c r="A947" s="6">
        <v>45170</v>
      </c>
      <c r="B947" s="5" t="s">
        <v>38</v>
      </c>
      <c r="C947" s="5" t="s">
        <v>10</v>
      </c>
      <c r="D947" s="5" t="s">
        <v>14</v>
      </c>
      <c r="E947" s="5" t="s">
        <v>9</v>
      </c>
      <c r="F947" s="5">
        <v>2143</v>
      </c>
      <c r="G947" s="5" t="str">
        <f>VLOOKUP(C947,Sheet2!$C$3:$D$12,2,0)</f>
        <v>Variable</v>
      </c>
      <c r="H947" s="5" t="str">
        <f>IFERROR(VLOOKUP(E947,Sheet2!$G$3:$H$8,2,0),"unkwon")</f>
        <v>online</v>
      </c>
      <c r="I947" s="5">
        <f>VLOOKUP(B947,Sheet2!$J$4:$K$15,2,0)</f>
        <v>9</v>
      </c>
      <c r="J947" s="5">
        <f>IFERROR(VLOOKUP(C947,Sheet2!$M$4:$N$12,2,0),0)</f>
        <v>5000</v>
      </c>
      <c r="K947" s="5" t="str">
        <f t="shared" si="14"/>
        <v>within budget</v>
      </c>
    </row>
    <row r="948" spans="1:11" x14ac:dyDescent="0.3">
      <c r="A948" s="6">
        <v>45485</v>
      </c>
      <c r="B948" s="5" t="s">
        <v>21</v>
      </c>
      <c r="C948" s="5" t="s">
        <v>30</v>
      </c>
      <c r="D948" s="5" t="s">
        <v>18</v>
      </c>
      <c r="E948" s="5" t="s">
        <v>12</v>
      </c>
      <c r="F948" s="5">
        <v>4094</v>
      </c>
      <c r="G948" s="5" t="str">
        <f>VLOOKUP(C948,Sheet2!$C$3:$D$12,2,0)</f>
        <v>Fixed</v>
      </c>
      <c r="H948" s="5" t="str">
        <f>IFERROR(VLOOKUP(E948,Sheet2!$G$3:$H$8,2,0),"unkwon")</f>
        <v>online</v>
      </c>
      <c r="I948" s="5">
        <f>VLOOKUP(B948,Sheet2!$J$4:$K$15,2,0)</f>
        <v>7</v>
      </c>
      <c r="J948" s="5">
        <f>IFERROR(VLOOKUP(C948,Sheet2!$M$4:$N$12,2,0),0)</f>
        <v>3000</v>
      </c>
      <c r="K948" s="5" t="str">
        <f t="shared" si="14"/>
        <v>over budget</v>
      </c>
    </row>
    <row r="949" spans="1:11" x14ac:dyDescent="0.3">
      <c r="A949" s="6">
        <v>45607</v>
      </c>
      <c r="B949" s="5" t="s">
        <v>40</v>
      </c>
      <c r="C949" s="5" t="s">
        <v>36</v>
      </c>
      <c r="D949" s="5" t="s">
        <v>20</v>
      </c>
      <c r="E949" s="5" t="s">
        <v>15</v>
      </c>
      <c r="F949" s="5">
        <v>2775</v>
      </c>
      <c r="G949" s="5" t="str">
        <f>VLOOKUP(C949,Sheet2!$C$3:$D$12,2,0)</f>
        <v>Variable</v>
      </c>
      <c r="H949" s="5" t="str">
        <f>IFERROR(VLOOKUP(E949,Sheet2!$G$3:$H$8,2,0),"unkwon")</f>
        <v>online</v>
      </c>
      <c r="I949" s="5">
        <f>VLOOKUP(B949,Sheet2!$J$4:$K$15,2,0)</f>
        <v>11</v>
      </c>
      <c r="J949" s="5">
        <f>IFERROR(VLOOKUP(C949,Sheet2!$M$4:$N$12,2,0),0)</f>
        <v>10000</v>
      </c>
      <c r="K949" s="5" t="str">
        <f t="shared" si="14"/>
        <v>within budget</v>
      </c>
    </row>
    <row r="950" spans="1:11" x14ac:dyDescent="0.3">
      <c r="A950" s="6">
        <v>45003</v>
      </c>
      <c r="B950" s="5" t="s">
        <v>19</v>
      </c>
      <c r="C950" s="5" t="s">
        <v>10</v>
      </c>
      <c r="D950" s="5" t="s">
        <v>11</v>
      </c>
      <c r="E950" s="5" t="s">
        <v>17</v>
      </c>
      <c r="F950" s="5">
        <v>3795</v>
      </c>
      <c r="G950" s="5" t="str">
        <f>VLOOKUP(C950,Sheet2!$C$3:$D$12,2,0)</f>
        <v>Variable</v>
      </c>
      <c r="H950" s="5" t="str">
        <f>IFERROR(VLOOKUP(E950,Sheet2!$G$3:$H$8,2,0),"unkwon")</f>
        <v>online</v>
      </c>
      <c r="I950" s="5">
        <f>VLOOKUP(B950,Sheet2!$J$4:$K$15,2,0)</f>
        <v>3</v>
      </c>
      <c r="J950" s="5">
        <f>IFERROR(VLOOKUP(C950,Sheet2!$M$4:$N$12,2,0),0)</f>
        <v>5000</v>
      </c>
      <c r="K950" s="5" t="str">
        <f t="shared" si="14"/>
        <v>within budget</v>
      </c>
    </row>
    <row r="951" spans="1:11" x14ac:dyDescent="0.3">
      <c r="A951" s="6">
        <v>45435</v>
      </c>
      <c r="B951" s="5" t="s">
        <v>28</v>
      </c>
      <c r="C951" s="5" t="s">
        <v>22</v>
      </c>
      <c r="D951" s="5" t="s">
        <v>11</v>
      </c>
      <c r="E951" s="5" t="s">
        <v>17</v>
      </c>
      <c r="F951" s="5">
        <v>3002</v>
      </c>
      <c r="G951" s="5" t="str">
        <f>VLOOKUP(C951,Sheet2!$C$3:$D$12,2,0)</f>
        <v>Variable</v>
      </c>
      <c r="H951" s="5" t="str">
        <f>IFERROR(VLOOKUP(E951,Sheet2!$G$3:$H$8,2,0),"unkwon")</f>
        <v>online</v>
      </c>
      <c r="I951" s="5">
        <f>VLOOKUP(B951,Sheet2!$J$4:$K$15,2,0)</f>
        <v>5</v>
      </c>
      <c r="J951" s="5">
        <f>IFERROR(VLOOKUP(C951,Sheet2!$M$4:$N$12,2,0),0)</f>
        <v>1000</v>
      </c>
      <c r="K951" s="5" t="str">
        <f t="shared" si="14"/>
        <v>over budget</v>
      </c>
    </row>
    <row r="952" spans="1:11" x14ac:dyDescent="0.3">
      <c r="A952" s="6">
        <v>45054</v>
      </c>
      <c r="B952" s="5" t="s">
        <v>28</v>
      </c>
      <c r="C952" s="5" t="s">
        <v>36</v>
      </c>
      <c r="D952" s="5" t="s">
        <v>34</v>
      </c>
      <c r="E952" s="5" t="s">
        <v>12</v>
      </c>
      <c r="F952" s="5">
        <v>2556</v>
      </c>
      <c r="G952" s="5" t="str">
        <f>VLOOKUP(C952,Sheet2!$C$3:$D$12,2,0)</f>
        <v>Variable</v>
      </c>
      <c r="H952" s="5" t="str">
        <f>IFERROR(VLOOKUP(E952,Sheet2!$G$3:$H$8,2,0),"unkwon")</f>
        <v>online</v>
      </c>
      <c r="I952" s="5">
        <f>VLOOKUP(B952,Sheet2!$J$4:$K$15,2,0)</f>
        <v>5</v>
      </c>
      <c r="J952" s="5">
        <f>IFERROR(VLOOKUP(C952,Sheet2!$M$4:$N$12,2,0),0)</f>
        <v>10000</v>
      </c>
      <c r="K952" s="5" t="str">
        <f t="shared" si="14"/>
        <v>within budget</v>
      </c>
    </row>
    <row r="953" spans="1:11" x14ac:dyDescent="0.3">
      <c r="A953" s="6">
        <v>45435</v>
      </c>
      <c r="B953" s="5" t="s">
        <v>28</v>
      </c>
      <c r="C953" s="5" t="s">
        <v>22</v>
      </c>
      <c r="D953" s="5" t="s">
        <v>18</v>
      </c>
      <c r="E953" s="5" t="s">
        <v>32</v>
      </c>
      <c r="F953" s="5">
        <v>3983</v>
      </c>
      <c r="G953" s="5" t="str">
        <f>VLOOKUP(C953,Sheet2!$C$3:$D$12,2,0)</f>
        <v>Variable</v>
      </c>
      <c r="H953" s="5" t="str">
        <f>IFERROR(VLOOKUP(E953,Sheet2!$G$3:$H$8,2,0),"unkwon")</f>
        <v>offline</v>
      </c>
      <c r="I953" s="5">
        <f>VLOOKUP(B953,Sheet2!$J$4:$K$15,2,0)</f>
        <v>5</v>
      </c>
      <c r="J953" s="5">
        <f>IFERROR(VLOOKUP(C953,Sheet2!$M$4:$N$12,2,0),0)</f>
        <v>1000</v>
      </c>
      <c r="K953" s="5" t="str">
        <f t="shared" si="14"/>
        <v>over budget</v>
      </c>
    </row>
    <row r="954" spans="1:11" x14ac:dyDescent="0.3">
      <c r="A954" s="6">
        <v>44966</v>
      </c>
      <c r="B954" s="5" t="s">
        <v>33</v>
      </c>
      <c r="C954" s="5" t="s">
        <v>22</v>
      </c>
      <c r="D954" s="5" t="s">
        <v>20</v>
      </c>
      <c r="E954" s="5" t="s">
        <v>9</v>
      </c>
      <c r="F954" s="5">
        <v>4059</v>
      </c>
      <c r="G954" s="5" t="str">
        <f>VLOOKUP(C954,Sheet2!$C$3:$D$12,2,0)</f>
        <v>Variable</v>
      </c>
      <c r="H954" s="5" t="str">
        <f>IFERROR(VLOOKUP(E954,Sheet2!$G$3:$H$8,2,0),"unkwon")</f>
        <v>online</v>
      </c>
      <c r="I954" s="5">
        <f>VLOOKUP(B954,Sheet2!$J$4:$K$15,2,0)</f>
        <v>2</v>
      </c>
      <c r="J954" s="5">
        <f>IFERROR(VLOOKUP(C954,Sheet2!$M$4:$N$12,2,0),0)</f>
        <v>1000</v>
      </c>
      <c r="K954" s="5" t="str">
        <f t="shared" si="14"/>
        <v>over budget</v>
      </c>
    </row>
    <row r="955" spans="1:11" x14ac:dyDescent="0.3">
      <c r="A955" s="6">
        <v>45187</v>
      </c>
      <c r="B955" s="5" t="s">
        <v>38</v>
      </c>
      <c r="C955" s="5" t="s">
        <v>7</v>
      </c>
      <c r="D955" s="5" t="s">
        <v>18</v>
      </c>
      <c r="E955" s="5" t="s">
        <v>9</v>
      </c>
      <c r="F955" s="5">
        <v>414</v>
      </c>
      <c r="G955" s="5" t="str">
        <f>VLOOKUP(C955,Sheet2!$C$3:$D$12,2,0)</f>
        <v>Fixed</v>
      </c>
      <c r="H955" s="5" t="str">
        <f>IFERROR(VLOOKUP(E955,Sheet2!$G$3:$H$8,2,0),"unkwon")</f>
        <v>online</v>
      </c>
      <c r="I955" s="5">
        <f>VLOOKUP(B955,Sheet2!$J$4:$K$15,2,0)</f>
        <v>9</v>
      </c>
      <c r="J955" s="5">
        <f>IFERROR(VLOOKUP(C955,Sheet2!$M$4:$N$12,2,0),0)</f>
        <v>2000</v>
      </c>
      <c r="K955" s="5" t="str">
        <f t="shared" si="14"/>
        <v>within budget</v>
      </c>
    </row>
    <row r="956" spans="1:11" x14ac:dyDescent="0.3">
      <c r="A956" s="6">
        <v>45234</v>
      </c>
      <c r="B956" s="5" t="s">
        <v>40</v>
      </c>
      <c r="C956" s="5" t="s">
        <v>36</v>
      </c>
      <c r="D956" s="5" t="s">
        <v>24</v>
      </c>
      <c r="E956" s="5" t="s">
        <v>15</v>
      </c>
      <c r="F956" s="5">
        <v>3154</v>
      </c>
      <c r="G956" s="5" t="str">
        <f>VLOOKUP(C956,Sheet2!$C$3:$D$12,2,0)</f>
        <v>Variable</v>
      </c>
      <c r="H956" s="5" t="str">
        <f>IFERROR(VLOOKUP(E956,Sheet2!$G$3:$H$8,2,0),"unkwon")</f>
        <v>online</v>
      </c>
      <c r="I956" s="5">
        <f>VLOOKUP(B956,Sheet2!$J$4:$K$15,2,0)</f>
        <v>11</v>
      </c>
      <c r="J956" s="5">
        <f>IFERROR(VLOOKUP(C956,Sheet2!$M$4:$N$12,2,0),0)</f>
        <v>10000</v>
      </c>
      <c r="K956" s="5" t="str">
        <f t="shared" si="14"/>
        <v>within budget</v>
      </c>
    </row>
    <row r="957" spans="1:11" x14ac:dyDescent="0.3">
      <c r="A957" s="6">
        <v>45598</v>
      </c>
      <c r="B957" s="5" t="s">
        <v>40</v>
      </c>
      <c r="C957" s="5" t="s">
        <v>36</v>
      </c>
      <c r="D957" s="5" t="s">
        <v>24</v>
      </c>
      <c r="E957" s="5" t="s">
        <v>17</v>
      </c>
      <c r="F957" s="5">
        <v>1955</v>
      </c>
      <c r="G957" s="5" t="str">
        <f>VLOOKUP(C957,Sheet2!$C$3:$D$12,2,0)</f>
        <v>Variable</v>
      </c>
      <c r="H957" s="5" t="str">
        <f>IFERROR(VLOOKUP(E957,Sheet2!$G$3:$H$8,2,0),"unkwon")</f>
        <v>online</v>
      </c>
      <c r="I957" s="5">
        <f>VLOOKUP(B957,Sheet2!$J$4:$K$15,2,0)</f>
        <v>11</v>
      </c>
      <c r="J957" s="5">
        <f>IFERROR(VLOOKUP(C957,Sheet2!$M$4:$N$12,2,0),0)</f>
        <v>10000</v>
      </c>
      <c r="K957" s="5" t="str">
        <f t="shared" si="14"/>
        <v>within budget</v>
      </c>
    </row>
    <row r="958" spans="1:11" x14ac:dyDescent="0.3">
      <c r="A958" s="6">
        <v>45326</v>
      </c>
      <c r="B958" s="5" t="s">
        <v>33</v>
      </c>
      <c r="C958" s="5" t="s">
        <v>27</v>
      </c>
      <c r="D958" s="5" t="s">
        <v>20</v>
      </c>
      <c r="E958" s="5" t="s">
        <v>9</v>
      </c>
      <c r="F958" s="5">
        <v>3251</v>
      </c>
      <c r="G958" s="5" t="str">
        <f>VLOOKUP(C958,Sheet2!$C$3:$D$12,2,0)</f>
        <v>Variable</v>
      </c>
      <c r="H958" s="5" t="str">
        <f>IFERROR(VLOOKUP(E958,Sheet2!$G$3:$H$8,2,0),"unkwon")</f>
        <v>online</v>
      </c>
      <c r="I958" s="5">
        <f>VLOOKUP(B958,Sheet2!$J$4:$K$15,2,0)</f>
        <v>2</v>
      </c>
      <c r="J958" s="5">
        <f>IFERROR(VLOOKUP(C958,Sheet2!$M$4:$N$12,2,0),0)</f>
        <v>4000</v>
      </c>
      <c r="K958" s="5" t="str">
        <f t="shared" si="14"/>
        <v>within budget</v>
      </c>
    </row>
    <row r="959" spans="1:11" x14ac:dyDescent="0.3">
      <c r="A959" s="6">
        <v>45227</v>
      </c>
      <c r="B959" s="5" t="s">
        <v>6</v>
      </c>
      <c r="C959" s="5" t="s">
        <v>13</v>
      </c>
      <c r="D959" s="5" t="s">
        <v>34</v>
      </c>
      <c r="E959" s="5" t="s">
        <v>12</v>
      </c>
      <c r="F959" s="5">
        <v>3231</v>
      </c>
      <c r="G959" s="5" t="str">
        <f>VLOOKUP(C959,Sheet2!$C$3:$D$12,2,0)</f>
        <v>Variable</v>
      </c>
      <c r="H959" s="5" t="str">
        <f>IFERROR(VLOOKUP(E959,Sheet2!$G$3:$H$8,2,0),"unkwon")</f>
        <v>online</v>
      </c>
      <c r="I959" s="5">
        <f>VLOOKUP(B959,Sheet2!$J$4:$K$15,2,0)</f>
        <v>10</v>
      </c>
      <c r="J959" s="5">
        <f>IFERROR(VLOOKUP(C959,Sheet2!$M$4:$N$12,2,0),0)</f>
        <v>5000</v>
      </c>
      <c r="K959" s="5" t="str">
        <f t="shared" si="14"/>
        <v>within budget</v>
      </c>
    </row>
    <row r="960" spans="1:11" x14ac:dyDescent="0.3">
      <c r="A960" s="6">
        <v>45051</v>
      </c>
      <c r="B960" s="5" t="s">
        <v>28</v>
      </c>
      <c r="C960" s="5" t="s">
        <v>13</v>
      </c>
      <c r="D960" s="5" t="s">
        <v>23</v>
      </c>
      <c r="E960" s="5" t="s">
        <v>17</v>
      </c>
      <c r="F960" s="5">
        <v>2504</v>
      </c>
      <c r="G960" s="5" t="str">
        <f>VLOOKUP(C960,Sheet2!$C$3:$D$12,2,0)</f>
        <v>Variable</v>
      </c>
      <c r="H960" s="5" t="str">
        <f>IFERROR(VLOOKUP(E960,Sheet2!$G$3:$H$8,2,0),"unkwon")</f>
        <v>online</v>
      </c>
      <c r="I960" s="5">
        <f>VLOOKUP(B960,Sheet2!$J$4:$K$15,2,0)</f>
        <v>5</v>
      </c>
      <c r="J960" s="5">
        <f>IFERROR(VLOOKUP(C960,Sheet2!$M$4:$N$12,2,0),0)</f>
        <v>5000</v>
      </c>
      <c r="K960" s="5" t="str">
        <f t="shared" si="14"/>
        <v>within budget</v>
      </c>
    </row>
    <row r="961" spans="1:11" x14ac:dyDescent="0.3">
      <c r="A961" s="6">
        <v>45512</v>
      </c>
      <c r="B961" s="5" t="s">
        <v>25</v>
      </c>
      <c r="C961" s="5" t="s">
        <v>7</v>
      </c>
      <c r="D961" s="5" t="s">
        <v>11</v>
      </c>
      <c r="E961" s="5" t="s">
        <v>15</v>
      </c>
      <c r="F961" s="5">
        <v>2697</v>
      </c>
      <c r="G961" s="5" t="str">
        <f>VLOOKUP(C961,Sheet2!$C$3:$D$12,2,0)</f>
        <v>Fixed</v>
      </c>
      <c r="H961" s="5" t="str">
        <f>IFERROR(VLOOKUP(E961,Sheet2!$G$3:$H$8,2,0),"unkwon")</f>
        <v>online</v>
      </c>
      <c r="I961" s="5">
        <f>VLOOKUP(B961,Sheet2!$J$4:$K$15,2,0)</f>
        <v>8</v>
      </c>
      <c r="J961" s="5">
        <f>IFERROR(VLOOKUP(C961,Sheet2!$M$4:$N$12,2,0),0)</f>
        <v>2000</v>
      </c>
      <c r="K961" s="5" t="str">
        <f t="shared" si="14"/>
        <v>over budget</v>
      </c>
    </row>
    <row r="962" spans="1:11" x14ac:dyDescent="0.3">
      <c r="A962" s="6">
        <v>45091</v>
      </c>
      <c r="B962" s="5" t="s">
        <v>39</v>
      </c>
      <c r="C962" s="5" t="s">
        <v>22</v>
      </c>
      <c r="D962" s="5" t="s">
        <v>18</v>
      </c>
      <c r="E962" s="5" t="s">
        <v>12</v>
      </c>
      <c r="F962" s="5">
        <v>1346</v>
      </c>
      <c r="G962" s="5" t="str">
        <f>VLOOKUP(C962,Sheet2!$C$3:$D$12,2,0)</f>
        <v>Variable</v>
      </c>
      <c r="H962" s="5" t="str">
        <f>IFERROR(VLOOKUP(E962,Sheet2!$G$3:$H$8,2,0),"unkwon")</f>
        <v>online</v>
      </c>
      <c r="I962" s="5">
        <f>VLOOKUP(B962,Sheet2!$J$4:$K$15,2,0)</f>
        <v>6</v>
      </c>
      <c r="J962" s="5">
        <f>IFERROR(VLOOKUP(C962,Sheet2!$M$4:$N$12,2,0),0)</f>
        <v>1000</v>
      </c>
      <c r="K962" s="5" t="str">
        <f t="shared" si="14"/>
        <v>over budget</v>
      </c>
    </row>
    <row r="963" spans="1:11" x14ac:dyDescent="0.3">
      <c r="A963" s="6">
        <v>45316</v>
      </c>
      <c r="B963" s="5" t="s">
        <v>37</v>
      </c>
      <c r="C963" s="5" t="s">
        <v>36</v>
      </c>
      <c r="D963" s="5" t="s">
        <v>20</v>
      </c>
      <c r="E963" s="5" t="s">
        <v>15</v>
      </c>
      <c r="F963" s="5">
        <v>1871</v>
      </c>
      <c r="G963" s="5" t="str">
        <f>VLOOKUP(C963,Sheet2!$C$3:$D$12,2,0)</f>
        <v>Variable</v>
      </c>
      <c r="H963" s="5" t="str">
        <f>IFERROR(VLOOKUP(E963,Sheet2!$G$3:$H$8,2,0),"unkwon")</f>
        <v>online</v>
      </c>
      <c r="I963" s="5">
        <f>VLOOKUP(B963,Sheet2!$J$4:$K$15,2,0)</f>
        <v>1</v>
      </c>
      <c r="J963" s="5">
        <f>IFERROR(VLOOKUP(C963,Sheet2!$M$4:$N$12,2,0),0)</f>
        <v>10000</v>
      </c>
      <c r="K963" s="5" t="str">
        <f t="shared" ref="K963:K1026" si="15">IF(F963&gt;J963,"over budget","within budget")</f>
        <v>within budget</v>
      </c>
    </row>
    <row r="964" spans="1:11" x14ac:dyDescent="0.3">
      <c r="A964" s="6">
        <v>45618</v>
      </c>
      <c r="B964" s="5" t="s">
        <v>40</v>
      </c>
      <c r="C964" s="5" t="s">
        <v>36</v>
      </c>
      <c r="D964" s="5" t="s">
        <v>31</v>
      </c>
      <c r="E964" s="5" t="s">
        <v>9</v>
      </c>
      <c r="F964" s="5">
        <v>4104</v>
      </c>
      <c r="G964" s="5" t="str">
        <f>VLOOKUP(C964,Sheet2!$C$3:$D$12,2,0)</f>
        <v>Variable</v>
      </c>
      <c r="H964" s="5" t="str">
        <f>IFERROR(VLOOKUP(E964,Sheet2!$G$3:$H$8,2,0),"unkwon")</f>
        <v>online</v>
      </c>
      <c r="I964" s="5">
        <f>VLOOKUP(B964,Sheet2!$J$4:$K$15,2,0)</f>
        <v>11</v>
      </c>
      <c r="J964" s="5">
        <f>IFERROR(VLOOKUP(C964,Sheet2!$M$4:$N$12,2,0),0)</f>
        <v>10000</v>
      </c>
      <c r="K964" s="5" t="str">
        <f t="shared" si="15"/>
        <v>within budget</v>
      </c>
    </row>
    <row r="965" spans="1:11" x14ac:dyDescent="0.3">
      <c r="A965" s="6">
        <v>45285</v>
      </c>
      <c r="B965" s="5" t="s">
        <v>16</v>
      </c>
      <c r="C965" s="5" t="s">
        <v>10</v>
      </c>
      <c r="D965" s="5" t="s">
        <v>23</v>
      </c>
      <c r="E965" s="5" t="s">
        <v>15</v>
      </c>
      <c r="F965" s="5">
        <v>2188</v>
      </c>
      <c r="G965" s="5" t="str">
        <f>VLOOKUP(C965,Sheet2!$C$3:$D$12,2,0)</f>
        <v>Variable</v>
      </c>
      <c r="H965" s="5" t="str">
        <f>IFERROR(VLOOKUP(E965,Sheet2!$G$3:$H$8,2,0),"unkwon")</f>
        <v>online</v>
      </c>
      <c r="I965" s="5">
        <f>VLOOKUP(B965,Sheet2!$J$4:$K$15,2,0)</f>
        <v>12</v>
      </c>
      <c r="J965" s="5">
        <f>IFERROR(VLOOKUP(C965,Sheet2!$M$4:$N$12,2,0),0)</f>
        <v>5000</v>
      </c>
      <c r="K965" s="5" t="str">
        <f t="shared" si="15"/>
        <v>within budget</v>
      </c>
    </row>
    <row r="966" spans="1:11" x14ac:dyDescent="0.3">
      <c r="A966" s="6">
        <v>45203</v>
      </c>
      <c r="B966" s="5" t="s">
        <v>6</v>
      </c>
      <c r="C966" s="5" t="s">
        <v>7</v>
      </c>
      <c r="D966" s="5" t="s">
        <v>31</v>
      </c>
      <c r="E966" s="5" t="s">
        <v>12</v>
      </c>
      <c r="F966" s="5">
        <v>4556</v>
      </c>
      <c r="G966" s="5" t="str">
        <f>VLOOKUP(C966,Sheet2!$C$3:$D$12,2,0)</f>
        <v>Fixed</v>
      </c>
      <c r="H966" s="5" t="str">
        <f>IFERROR(VLOOKUP(E966,Sheet2!$G$3:$H$8,2,0),"unkwon")</f>
        <v>online</v>
      </c>
      <c r="I966" s="5">
        <f>VLOOKUP(B966,Sheet2!$J$4:$K$15,2,0)</f>
        <v>10</v>
      </c>
      <c r="J966" s="5">
        <f>IFERROR(VLOOKUP(C966,Sheet2!$M$4:$N$12,2,0),0)</f>
        <v>2000</v>
      </c>
      <c r="K966" s="5" t="str">
        <f t="shared" si="15"/>
        <v>over budget</v>
      </c>
    </row>
    <row r="967" spans="1:11" x14ac:dyDescent="0.3">
      <c r="A967" s="6">
        <v>45022</v>
      </c>
      <c r="B967" s="5" t="s">
        <v>29</v>
      </c>
      <c r="C967" s="5" t="s">
        <v>27</v>
      </c>
      <c r="D967" s="5" t="s">
        <v>23</v>
      </c>
      <c r="E967" s="5" t="s">
        <v>15</v>
      </c>
      <c r="F967" s="5">
        <v>1627</v>
      </c>
      <c r="G967" s="5" t="str">
        <f>VLOOKUP(C967,Sheet2!$C$3:$D$12,2,0)</f>
        <v>Variable</v>
      </c>
      <c r="H967" s="5" t="str">
        <f>IFERROR(VLOOKUP(E967,Sheet2!$G$3:$H$8,2,0),"unkwon")</f>
        <v>online</v>
      </c>
      <c r="I967" s="5">
        <f>VLOOKUP(B967,Sheet2!$J$4:$K$15,2,0)</f>
        <v>4</v>
      </c>
      <c r="J967" s="5">
        <f>IFERROR(VLOOKUP(C967,Sheet2!$M$4:$N$12,2,0),0)</f>
        <v>4000</v>
      </c>
      <c r="K967" s="5" t="str">
        <f t="shared" si="15"/>
        <v>within budget</v>
      </c>
    </row>
    <row r="968" spans="1:11" x14ac:dyDescent="0.3">
      <c r="A968" s="6">
        <v>45293</v>
      </c>
      <c r="B968" s="5" t="s">
        <v>37</v>
      </c>
      <c r="C968" s="5" t="s">
        <v>30</v>
      </c>
      <c r="D968" s="5" t="s">
        <v>20</v>
      </c>
      <c r="E968" s="5" t="s">
        <v>32</v>
      </c>
      <c r="F968" s="5">
        <v>1389</v>
      </c>
      <c r="G968" s="5" t="str">
        <f>VLOOKUP(C968,Sheet2!$C$3:$D$12,2,0)</f>
        <v>Fixed</v>
      </c>
      <c r="H968" s="5" t="str">
        <f>IFERROR(VLOOKUP(E968,Sheet2!$G$3:$H$8,2,0),"unkwon")</f>
        <v>offline</v>
      </c>
      <c r="I968" s="5">
        <f>VLOOKUP(B968,Sheet2!$J$4:$K$15,2,0)</f>
        <v>1</v>
      </c>
      <c r="J968" s="5">
        <f>IFERROR(VLOOKUP(C968,Sheet2!$M$4:$N$12,2,0),0)</f>
        <v>3000</v>
      </c>
      <c r="K968" s="5" t="str">
        <f t="shared" si="15"/>
        <v>within budget</v>
      </c>
    </row>
    <row r="969" spans="1:11" x14ac:dyDescent="0.3">
      <c r="A969" s="6">
        <v>45178</v>
      </c>
      <c r="B969" s="5" t="s">
        <v>38</v>
      </c>
      <c r="C969" s="5" t="s">
        <v>35</v>
      </c>
      <c r="D969" s="5" t="s">
        <v>14</v>
      </c>
      <c r="E969" s="5" t="s">
        <v>9</v>
      </c>
      <c r="F969" s="5">
        <v>4839</v>
      </c>
      <c r="G969" s="5" t="str">
        <f>VLOOKUP(C969,Sheet2!$C$3:$D$12,2,0)</f>
        <v>Fixed</v>
      </c>
      <c r="H969" s="5" t="str">
        <f>IFERROR(VLOOKUP(E969,Sheet2!$G$3:$H$8,2,0),"unkwon")</f>
        <v>online</v>
      </c>
      <c r="I969" s="5">
        <f>VLOOKUP(B969,Sheet2!$J$4:$K$15,2,0)</f>
        <v>9</v>
      </c>
      <c r="J969" s="5">
        <f>IFERROR(VLOOKUP(C969,Sheet2!$M$4:$N$12,2,0),0)</f>
        <v>5500</v>
      </c>
      <c r="K969" s="5" t="str">
        <f t="shared" si="15"/>
        <v>within budget</v>
      </c>
    </row>
    <row r="970" spans="1:11" x14ac:dyDescent="0.3">
      <c r="A970" s="6">
        <v>45646</v>
      </c>
      <c r="B970" s="5" t="s">
        <v>16</v>
      </c>
      <c r="C970" s="5" t="s">
        <v>10</v>
      </c>
      <c r="D970" s="5" t="s">
        <v>24</v>
      </c>
      <c r="E970" s="5" t="s">
        <v>32</v>
      </c>
      <c r="F970" s="5">
        <v>2897</v>
      </c>
      <c r="G970" s="5" t="str">
        <f>VLOOKUP(C970,Sheet2!$C$3:$D$12,2,0)</f>
        <v>Variable</v>
      </c>
      <c r="H970" s="5" t="str">
        <f>IFERROR(VLOOKUP(E970,Sheet2!$G$3:$H$8,2,0),"unkwon")</f>
        <v>offline</v>
      </c>
      <c r="I970" s="5">
        <f>VLOOKUP(B970,Sheet2!$J$4:$K$15,2,0)</f>
        <v>12</v>
      </c>
      <c r="J970" s="5">
        <f>IFERROR(VLOOKUP(C970,Sheet2!$M$4:$N$12,2,0),0)</f>
        <v>5000</v>
      </c>
      <c r="K970" s="5" t="str">
        <f t="shared" si="15"/>
        <v>within budget</v>
      </c>
    </row>
    <row r="971" spans="1:11" x14ac:dyDescent="0.3">
      <c r="A971" s="6">
        <v>45409</v>
      </c>
      <c r="B971" s="5" t="s">
        <v>29</v>
      </c>
      <c r="C971" s="5" t="s">
        <v>7</v>
      </c>
      <c r="D971" s="5" t="s">
        <v>20</v>
      </c>
      <c r="E971" s="5" t="s">
        <v>17</v>
      </c>
      <c r="F971" s="5">
        <v>4634</v>
      </c>
      <c r="G971" s="5" t="str">
        <f>VLOOKUP(C971,Sheet2!$C$3:$D$12,2,0)</f>
        <v>Fixed</v>
      </c>
      <c r="H971" s="5" t="str">
        <f>IFERROR(VLOOKUP(E971,Sheet2!$G$3:$H$8,2,0),"unkwon")</f>
        <v>online</v>
      </c>
      <c r="I971" s="5">
        <f>VLOOKUP(B971,Sheet2!$J$4:$K$15,2,0)</f>
        <v>4</v>
      </c>
      <c r="J971" s="5">
        <f>IFERROR(VLOOKUP(C971,Sheet2!$M$4:$N$12,2,0),0)</f>
        <v>2000</v>
      </c>
      <c r="K971" s="5" t="str">
        <f t="shared" si="15"/>
        <v>over budget</v>
      </c>
    </row>
    <row r="972" spans="1:11" x14ac:dyDescent="0.3">
      <c r="A972" s="6">
        <v>44964</v>
      </c>
      <c r="B972" s="5" t="s">
        <v>33</v>
      </c>
      <c r="C972" s="5" t="s">
        <v>13</v>
      </c>
      <c r="D972" s="5" t="s">
        <v>26</v>
      </c>
      <c r="E972" s="5" t="s">
        <v>17</v>
      </c>
      <c r="F972" s="5">
        <v>124</v>
      </c>
      <c r="G972" s="5" t="str">
        <f>VLOOKUP(C972,Sheet2!$C$3:$D$12,2,0)</f>
        <v>Variable</v>
      </c>
      <c r="H972" s="5" t="str">
        <f>IFERROR(VLOOKUP(E972,Sheet2!$G$3:$H$8,2,0),"unkwon")</f>
        <v>online</v>
      </c>
      <c r="I972" s="5">
        <f>VLOOKUP(B972,Sheet2!$J$4:$K$15,2,0)</f>
        <v>2</v>
      </c>
      <c r="J972" s="5">
        <f>IFERROR(VLOOKUP(C972,Sheet2!$M$4:$N$12,2,0),0)</f>
        <v>5000</v>
      </c>
      <c r="K972" s="5" t="str">
        <f t="shared" si="15"/>
        <v>within budget</v>
      </c>
    </row>
    <row r="973" spans="1:11" x14ac:dyDescent="0.3">
      <c r="A973" s="6">
        <v>45352</v>
      </c>
      <c r="B973" s="5" t="s">
        <v>19</v>
      </c>
      <c r="C973" s="5" t="s">
        <v>10</v>
      </c>
      <c r="D973" s="5" t="s">
        <v>24</v>
      </c>
      <c r="E973" s="5" t="s">
        <v>17</v>
      </c>
      <c r="F973" s="5">
        <v>2807</v>
      </c>
      <c r="G973" s="5" t="str">
        <f>VLOOKUP(C973,Sheet2!$C$3:$D$12,2,0)</f>
        <v>Variable</v>
      </c>
      <c r="H973" s="5" t="str">
        <f>IFERROR(VLOOKUP(E973,Sheet2!$G$3:$H$8,2,0),"unkwon")</f>
        <v>online</v>
      </c>
      <c r="I973" s="5">
        <f>VLOOKUP(B973,Sheet2!$J$4:$K$15,2,0)</f>
        <v>3</v>
      </c>
      <c r="J973" s="5">
        <f>IFERROR(VLOOKUP(C973,Sheet2!$M$4:$N$12,2,0),0)</f>
        <v>5000</v>
      </c>
      <c r="K973" s="5" t="str">
        <f t="shared" si="15"/>
        <v>within budget</v>
      </c>
    </row>
    <row r="974" spans="1:11" x14ac:dyDescent="0.3">
      <c r="A974" s="6">
        <v>45325</v>
      </c>
      <c r="B974" s="5" t="s">
        <v>33</v>
      </c>
      <c r="C974" s="5" t="s">
        <v>35</v>
      </c>
      <c r="D974" s="5" t="s">
        <v>20</v>
      </c>
      <c r="E974" s="5" t="s">
        <v>32</v>
      </c>
      <c r="F974" s="5">
        <v>4722</v>
      </c>
      <c r="G974" s="5" t="str">
        <f>VLOOKUP(C974,Sheet2!$C$3:$D$12,2,0)</f>
        <v>Fixed</v>
      </c>
      <c r="H974" s="5" t="str">
        <f>IFERROR(VLOOKUP(E974,Sheet2!$G$3:$H$8,2,0),"unkwon")</f>
        <v>offline</v>
      </c>
      <c r="I974" s="5">
        <f>VLOOKUP(B974,Sheet2!$J$4:$K$15,2,0)</f>
        <v>2</v>
      </c>
      <c r="J974" s="5">
        <f>IFERROR(VLOOKUP(C974,Sheet2!$M$4:$N$12,2,0),0)</f>
        <v>5500</v>
      </c>
      <c r="K974" s="5" t="str">
        <f t="shared" si="15"/>
        <v>within budget</v>
      </c>
    </row>
    <row r="975" spans="1:11" x14ac:dyDescent="0.3">
      <c r="A975" s="6">
        <v>45226</v>
      </c>
      <c r="B975" s="5" t="s">
        <v>6</v>
      </c>
      <c r="C975" s="5" t="s">
        <v>35</v>
      </c>
      <c r="D975" s="5" t="s">
        <v>18</v>
      </c>
      <c r="E975" s="5" t="s">
        <v>15</v>
      </c>
      <c r="F975" s="5">
        <v>1465</v>
      </c>
      <c r="G975" s="5" t="str">
        <f>VLOOKUP(C975,Sheet2!$C$3:$D$12,2,0)</f>
        <v>Fixed</v>
      </c>
      <c r="H975" s="5" t="str">
        <f>IFERROR(VLOOKUP(E975,Sheet2!$G$3:$H$8,2,0),"unkwon")</f>
        <v>online</v>
      </c>
      <c r="I975" s="5">
        <f>VLOOKUP(B975,Sheet2!$J$4:$K$15,2,0)</f>
        <v>10</v>
      </c>
      <c r="J975" s="5">
        <f>IFERROR(VLOOKUP(C975,Sheet2!$M$4:$N$12,2,0),0)</f>
        <v>5500</v>
      </c>
      <c r="K975" s="5" t="str">
        <f t="shared" si="15"/>
        <v>within budget</v>
      </c>
    </row>
    <row r="976" spans="1:11" x14ac:dyDescent="0.3">
      <c r="A976" s="6">
        <v>45064</v>
      </c>
      <c r="B976" s="5" t="s">
        <v>28</v>
      </c>
      <c r="C976" s="5" t="s">
        <v>41</v>
      </c>
      <c r="D976" s="5" t="s">
        <v>14</v>
      </c>
      <c r="E976" s="5" t="s">
        <v>32</v>
      </c>
      <c r="F976" s="5">
        <v>2617</v>
      </c>
      <c r="G976" s="5" t="str">
        <f>VLOOKUP(C976,Sheet2!$C$3:$D$12,2,0)</f>
        <v>Variable</v>
      </c>
      <c r="H976" s="5" t="str">
        <f>IFERROR(VLOOKUP(E976,Sheet2!$G$3:$H$8,2,0),"unkwon")</f>
        <v>offline</v>
      </c>
      <c r="I976" s="5">
        <f>VLOOKUP(B976,Sheet2!$J$4:$K$15,2,0)</f>
        <v>5</v>
      </c>
      <c r="J976" s="5">
        <f>IFERROR(VLOOKUP(C976,Sheet2!$M$4:$N$12,2,0),0)</f>
        <v>7000</v>
      </c>
      <c r="K976" s="5" t="str">
        <f t="shared" si="15"/>
        <v>within budget</v>
      </c>
    </row>
    <row r="977" spans="1:11" x14ac:dyDescent="0.3">
      <c r="A977" s="6">
        <v>45508</v>
      </c>
      <c r="B977" s="5" t="s">
        <v>25</v>
      </c>
      <c r="C977" s="5" t="s">
        <v>35</v>
      </c>
      <c r="D977" s="5" t="s">
        <v>23</v>
      </c>
      <c r="E977" s="5" t="s">
        <v>15</v>
      </c>
      <c r="F977" s="5">
        <v>3065</v>
      </c>
      <c r="G977" s="5" t="str">
        <f>VLOOKUP(C977,Sheet2!$C$3:$D$12,2,0)</f>
        <v>Fixed</v>
      </c>
      <c r="H977" s="5" t="str">
        <f>IFERROR(VLOOKUP(E977,Sheet2!$G$3:$H$8,2,0),"unkwon")</f>
        <v>online</v>
      </c>
      <c r="I977" s="5">
        <f>VLOOKUP(B977,Sheet2!$J$4:$K$15,2,0)</f>
        <v>8</v>
      </c>
      <c r="J977" s="5">
        <f>IFERROR(VLOOKUP(C977,Sheet2!$M$4:$N$12,2,0),0)</f>
        <v>5500</v>
      </c>
      <c r="K977" s="5" t="str">
        <f t="shared" si="15"/>
        <v>within budget</v>
      </c>
    </row>
    <row r="978" spans="1:11" x14ac:dyDescent="0.3">
      <c r="A978" s="6">
        <v>45597</v>
      </c>
      <c r="B978" s="5" t="s">
        <v>40</v>
      </c>
      <c r="C978" s="5" t="s">
        <v>22</v>
      </c>
      <c r="D978" s="5" t="s">
        <v>31</v>
      </c>
      <c r="E978" s="5" t="s">
        <v>12</v>
      </c>
      <c r="F978" s="5">
        <v>2120</v>
      </c>
      <c r="G978" s="5" t="str">
        <f>VLOOKUP(C978,Sheet2!$C$3:$D$12,2,0)</f>
        <v>Variable</v>
      </c>
      <c r="H978" s="5" t="str">
        <f>IFERROR(VLOOKUP(E978,Sheet2!$G$3:$H$8,2,0),"unkwon")</f>
        <v>online</v>
      </c>
      <c r="I978" s="5">
        <f>VLOOKUP(B978,Sheet2!$J$4:$K$15,2,0)</f>
        <v>11</v>
      </c>
      <c r="J978" s="5">
        <f>IFERROR(VLOOKUP(C978,Sheet2!$M$4:$N$12,2,0),0)</f>
        <v>1000</v>
      </c>
      <c r="K978" s="5" t="str">
        <f t="shared" si="15"/>
        <v>over budget</v>
      </c>
    </row>
    <row r="979" spans="1:11" x14ac:dyDescent="0.3">
      <c r="A979" s="6">
        <v>44943</v>
      </c>
      <c r="B979" s="5" t="s">
        <v>37</v>
      </c>
      <c r="C979" s="5" t="s">
        <v>7</v>
      </c>
      <c r="D979" s="5" t="s">
        <v>18</v>
      </c>
      <c r="E979" s="5" t="s">
        <v>9</v>
      </c>
      <c r="F979" s="5">
        <v>4742</v>
      </c>
      <c r="G979" s="5" t="str">
        <f>VLOOKUP(C979,Sheet2!$C$3:$D$12,2,0)</f>
        <v>Fixed</v>
      </c>
      <c r="H979" s="5" t="str">
        <f>IFERROR(VLOOKUP(E979,Sheet2!$G$3:$H$8,2,0),"unkwon")</f>
        <v>online</v>
      </c>
      <c r="I979" s="5">
        <f>VLOOKUP(B979,Sheet2!$J$4:$K$15,2,0)</f>
        <v>1</v>
      </c>
      <c r="J979" s="5">
        <f>IFERROR(VLOOKUP(C979,Sheet2!$M$4:$N$12,2,0),0)</f>
        <v>2000</v>
      </c>
      <c r="K979" s="5" t="str">
        <f t="shared" si="15"/>
        <v>over budget</v>
      </c>
    </row>
    <row r="980" spans="1:11" x14ac:dyDescent="0.3">
      <c r="A980" s="6">
        <v>45013</v>
      </c>
      <c r="B980" s="5" t="s">
        <v>19</v>
      </c>
      <c r="C980" s="5" t="s">
        <v>30</v>
      </c>
      <c r="D980" s="5" t="s">
        <v>31</v>
      </c>
      <c r="E980" s="5" t="s">
        <v>17</v>
      </c>
      <c r="F980" s="5">
        <v>3123</v>
      </c>
      <c r="G980" s="5" t="str">
        <f>VLOOKUP(C980,Sheet2!$C$3:$D$12,2,0)</f>
        <v>Fixed</v>
      </c>
      <c r="H980" s="5" t="str">
        <f>IFERROR(VLOOKUP(E980,Sheet2!$G$3:$H$8,2,0),"unkwon")</f>
        <v>online</v>
      </c>
      <c r="I980" s="5">
        <f>VLOOKUP(B980,Sheet2!$J$4:$K$15,2,0)</f>
        <v>3</v>
      </c>
      <c r="J980" s="5">
        <f>IFERROR(VLOOKUP(C980,Sheet2!$M$4:$N$12,2,0),0)</f>
        <v>3000</v>
      </c>
      <c r="K980" s="5" t="str">
        <f t="shared" si="15"/>
        <v>over budget</v>
      </c>
    </row>
    <row r="981" spans="1:11" x14ac:dyDescent="0.3">
      <c r="A981" s="6">
        <v>45039</v>
      </c>
      <c r="B981" s="5" t="s">
        <v>29</v>
      </c>
      <c r="C981" s="5" t="s">
        <v>10</v>
      </c>
      <c r="D981" s="5" t="s">
        <v>31</v>
      </c>
      <c r="E981" s="5" t="s">
        <v>32</v>
      </c>
      <c r="F981" s="5">
        <v>4652</v>
      </c>
      <c r="G981" s="5" t="str">
        <f>VLOOKUP(C981,Sheet2!$C$3:$D$12,2,0)</f>
        <v>Variable</v>
      </c>
      <c r="H981" s="5" t="str">
        <f>IFERROR(VLOOKUP(E981,Sheet2!$G$3:$H$8,2,0),"unkwon")</f>
        <v>offline</v>
      </c>
      <c r="I981" s="5">
        <f>VLOOKUP(B981,Sheet2!$J$4:$K$15,2,0)</f>
        <v>4</v>
      </c>
      <c r="J981" s="5">
        <f>IFERROR(VLOOKUP(C981,Sheet2!$M$4:$N$12,2,0),0)</f>
        <v>5000</v>
      </c>
      <c r="K981" s="5" t="str">
        <f t="shared" si="15"/>
        <v>within budget</v>
      </c>
    </row>
    <row r="982" spans="1:11" x14ac:dyDescent="0.3">
      <c r="A982" s="6">
        <v>45313</v>
      </c>
      <c r="B982" s="5" t="s">
        <v>37</v>
      </c>
      <c r="C982" s="5" t="s">
        <v>30</v>
      </c>
      <c r="D982" s="5" t="s">
        <v>24</v>
      </c>
      <c r="E982" s="5" t="s">
        <v>12</v>
      </c>
      <c r="F982" s="5">
        <v>2967</v>
      </c>
      <c r="G982" s="5" t="str">
        <f>VLOOKUP(C982,Sheet2!$C$3:$D$12,2,0)</f>
        <v>Fixed</v>
      </c>
      <c r="H982" s="5" t="str">
        <f>IFERROR(VLOOKUP(E982,Sheet2!$G$3:$H$8,2,0),"unkwon")</f>
        <v>online</v>
      </c>
      <c r="I982" s="5">
        <f>VLOOKUP(B982,Sheet2!$J$4:$K$15,2,0)</f>
        <v>1</v>
      </c>
      <c r="J982" s="5">
        <f>IFERROR(VLOOKUP(C982,Sheet2!$M$4:$N$12,2,0),0)</f>
        <v>3000</v>
      </c>
      <c r="K982" s="5" t="str">
        <f t="shared" si="15"/>
        <v>within budget</v>
      </c>
    </row>
    <row r="983" spans="1:11" x14ac:dyDescent="0.3">
      <c r="A983" s="6">
        <v>45463</v>
      </c>
      <c r="B983" s="5" t="s">
        <v>39</v>
      </c>
      <c r="C983" s="5" t="s">
        <v>10</v>
      </c>
      <c r="D983" s="5" t="s">
        <v>20</v>
      </c>
      <c r="E983" s="5" t="s">
        <v>9</v>
      </c>
      <c r="F983" s="5">
        <v>4837</v>
      </c>
      <c r="G983" s="5" t="str">
        <f>VLOOKUP(C983,Sheet2!$C$3:$D$12,2,0)</f>
        <v>Variable</v>
      </c>
      <c r="H983" s="5" t="str">
        <f>IFERROR(VLOOKUP(E983,Sheet2!$G$3:$H$8,2,0),"unkwon")</f>
        <v>online</v>
      </c>
      <c r="I983" s="5">
        <f>VLOOKUP(B983,Sheet2!$J$4:$K$15,2,0)</f>
        <v>6</v>
      </c>
      <c r="J983" s="5">
        <f>IFERROR(VLOOKUP(C983,Sheet2!$M$4:$N$12,2,0),0)</f>
        <v>5000</v>
      </c>
      <c r="K983" s="5" t="str">
        <f t="shared" si="15"/>
        <v>within budget</v>
      </c>
    </row>
    <row r="984" spans="1:11" x14ac:dyDescent="0.3">
      <c r="A984" s="6">
        <v>45638</v>
      </c>
      <c r="B984" s="5" t="s">
        <v>16</v>
      </c>
      <c r="C984" s="5" t="s">
        <v>10</v>
      </c>
      <c r="D984" s="5" t="s">
        <v>26</v>
      </c>
      <c r="E984" s="5" t="s">
        <v>12</v>
      </c>
      <c r="F984" s="5">
        <v>4820</v>
      </c>
      <c r="G984" s="5" t="str">
        <f>VLOOKUP(C984,Sheet2!$C$3:$D$12,2,0)</f>
        <v>Variable</v>
      </c>
      <c r="H984" s="5" t="str">
        <f>IFERROR(VLOOKUP(E984,Sheet2!$G$3:$H$8,2,0),"unkwon")</f>
        <v>online</v>
      </c>
      <c r="I984" s="5">
        <f>VLOOKUP(B984,Sheet2!$J$4:$K$15,2,0)</f>
        <v>12</v>
      </c>
      <c r="J984" s="5">
        <f>IFERROR(VLOOKUP(C984,Sheet2!$M$4:$N$12,2,0),0)</f>
        <v>5000</v>
      </c>
      <c r="K984" s="5" t="str">
        <f t="shared" si="15"/>
        <v>within budget</v>
      </c>
    </row>
    <row r="985" spans="1:11" x14ac:dyDescent="0.3">
      <c r="A985" s="6">
        <v>45076</v>
      </c>
      <c r="B985" s="5" t="s">
        <v>28</v>
      </c>
      <c r="C985" s="5" t="s">
        <v>27</v>
      </c>
      <c r="D985" s="5" t="s">
        <v>20</v>
      </c>
      <c r="E985" s="5" t="s">
        <v>9</v>
      </c>
      <c r="F985" s="5">
        <v>394</v>
      </c>
      <c r="G985" s="5" t="str">
        <f>VLOOKUP(C985,Sheet2!$C$3:$D$12,2,0)</f>
        <v>Variable</v>
      </c>
      <c r="H985" s="5" t="str">
        <f>IFERROR(VLOOKUP(E985,Sheet2!$G$3:$H$8,2,0),"unkwon")</f>
        <v>online</v>
      </c>
      <c r="I985" s="5">
        <f>VLOOKUP(B985,Sheet2!$J$4:$K$15,2,0)</f>
        <v>5</v>
      </c>
      <c r="J985" s="5">
        <f>IFERROR(VLOOKUP(C985,Sheet2!$M$4:$N$12,2,0),0)</f>
        <v>4000</v>
      </c>
      <c r="K985" s="5" t="str">
        <f t="shared" si="15"/>
        <v>within budget</v>
      </c>
    </row>
    <row r="986" spans="1:11" x14ac:dyDescent="0.3">
      <c r="A986" s="6">
        <v>45550</v>
      </c>
      <c r="B986" s="5" t="s">
        <v>38</v>
      </c>
      <c r="C986" s="5" t="s">
        <v>10</v>
      </c>
      <c r="D986" s="5" t="s">
        <v>26</v>
      </c>
      <c r="E986" s="5" t="s">
        <v>12</v>
      </c>
      <c r="F986" s="5">
        <v>3932</v>
      </c>
      <c r="G986" s="5" t="str">
        <f>VLOOKUP(C986,Sheet2!$C$3:$D$12,2,0)</f>
        <v>Variable</v>
      </c>
      <c r="H986" s="5" t="str">
        <f>IFERROR(VLOOKUP(E986,Sheet2!$G$3:$H$8,2,0),"unkwon")</f>
        <v>online</v>
      </c>
      <c r="I986" s="5">
        <f>VLOOKUP(B986,Sheet2!$J$4:$K$15,2,0)</f>
        <v>9</v>
      </c>
      <c r="J986" s="5">
        <f>IFERROR(VLOOKUP(C986,Sheet2!$M$4:$N$12,2,0),0)</f>
        <v>5000</v>
      </c>
      <c r="K986" s="5" t="str">
        <f t="shared" si="15"/>
        <v>within budget</v>
      </c>
    </row>
    <row r="987" spans="1:11" x14ac:dyDescent="0.3">
      <c r="A987" s="6">
        <v>45567</v>
      </c>
      <c r="B987" s="5" t="s">
        <v>6</v>
      </c>
      <c r="C987" s="5" t="s">
        <v>13</v>
      </c>
      <c r="D987" s="5" t="s">
        <v>23</v>
      </c>
      <c r="E987" s="5" t="s">
        <v>15</v>
      </c>
      <c r="F987" s="5">
        <v>4675</v>
      </c>
      <c r="G987" s="5" t="str">
        <f>VLOOKUP(C987,Sheet2!$C$3:$D$12,2,0)</f>
        <v>Variable</v>
      </c>
      <c r="H987" s="5" t="str">
        <f>IFERROR(VLOOKUP(E987,Sheet2!$G$3:$H$8,2,0),"unkwon")</f>
        <v>online</v>
      </c>
      <c r="I987" s="5">
        <f>VLOOKUP(B987,Sheet2!$J$4:$K$15,2,0)</f>
        <v>10</v>
      </c>
      <c r="J987" s="5">
        <f>IFERROR(VLOOKUP(C987,Sheet2!$M$4:$N$12,2,0),0)</f>
        <v>5000</v>
      </c>
      <c r="K987" s="5" t="str">
        <f t="shared" si="15"/>
        <v>within budget</v>
      </c>
    </row>
    <row r="988" spans="1:11" x14ac:dyDescent="0.3">
      <c r="A988" s="6">
        <v>45316</v>
      </c>
      <c r="B988" s="5" t="s">
        <v>37</v>
      </c>
      <c r="C988" s="5" t="s">
        <v>13</v>
      </c>
      <c r="D988" s="5" t="s">
        <v>8</v>
      </c>
      <c r="E988" s="5" t="s">
        <v>15</v>
      </c>
      <c r="F988" s="5">
        <v>1149</v>
      </c>
      <c r="G988" s="5" t="str">
        <f>VLOOKUP(C988,Sheet2!$C$3:$D$12,2,0)</f>
        <v>Variable</v>
      </c>
      <c r="H988" s="5" t="str">
        <f>IFERROR(VLOOKUP(E988,Sheet2!$G$3:$H$8,2,0),"unkwon")</f>
        <v>online</v>
      </c>
      <c r="I988" s="5">
        <f>VLOOKUP(B988,Sheet2!$J$4:$K$15,2,0)</f>
        <v>1</v>
      </c>
      <c r="J988" s="5">
        <f>IFERROR(VLOOKUP(C988,Sheet2!$M$4:$N$12,2,0),0)</f>
        <v>5000</v>
      </c>
      <c r="K988" s="5" t="str">
        <f t="shared" si="15"/>
        <v>within budget</v>
      </c>
    </row>
    <row r="989" spans="1:11" x14ac:dyDescent="0.3">
      <c r="A989" s="6">
        <v>45020</v>
      </c>
      <c r="B989" s="5" t="s">
        <v>29</v>
      </c>
      <c r="C989" s="5" t="s">
        <v>35</v>
      </c>
      <c r="D989" s="5" t="s">
        <v>8</v>
      </c>
      <c r="E989" s="5" t="s">
        <v>32</v>
      </c>
      <c r="F989" s="5">
        <v>925</v>
      </c>
      <c r="G989" s="5" t="str">
        <f>VLOOKUP(C989,Sheet2!$C$3:$D$12,2,0)</f>
        <v>Fixed</v>
      </c>
      <c r="H989" s="5" t="str">
        <f>IFERROR(VLOOKUP(E989,Sheet2!$G$3:$H$8,2,0),"unkwon")</f>
        <v>offline</v>
      </c>
      <c r="I989" s="5">
        <f>VLOOKUP(B989,Sheet2!$J$4:$K$15,2,0)</f>
        <v>4</v>
      </c>
      <c r="J989" s="5">
        <f>IFERROR(VLOOKUP(C989,Sheet2!$M$4:$N$12,2,0),0)</f>
        <v>5500</v>
      </c>
      <c r="K989" s="5" t="str">
        <f t="shared" si="15"/>
        <v>within budget</v>
      </c>
    </row>
    <row r="990" spans="1:11" x14ac:dyDescent="0.3">
      <c r="A990" s="6">
        <v>45554</v>
      </c>
      <c r="B990" s="5" t="s">
        <v>38</v>
      </c>
      <c r="C990" s="5" t="s">
        <v>27</v>
      </c>
      <c r="D990" s="5" t="s">
        <v>11</v>
      </c>
      <c r="E990" s="5" t="s">
        <v>12</v>
      </c>
      <c r="F990" s="5">
        <v>1478</v>
      </c>
      <c r="G990" s="5" t="str">
        <f>VLOOKUP(C990,Sheet2!$C$3:$D$12,2,0)</f>
        <v>Variable</v>
      </c>
      <c r="H990" s="5" t="str">
        <f>IFERROR(VLOOKUP(E990,Sheet2!$G$3:$H$8,2,0),"unkwon")</f>
        <v>online</v>
      </c>
      <c r="I990" s="5">
        <f>VLOOKUP(B990,Sheet2!$J$4:$K$15,2,0)</f>
        <v>9</v>
      </c>
      <c r="J990" s="5">
        <f>IFERROR(VLOOKUP(C990,Sheet2!$M$4:$N$12,2,0),0)</f>
        <v>4000</v>
      </c>
      <c r="K990" s="5" t="str">
        <f t="shared" si="15"/>
        <v>within budget</v>
      </c>
    </row>
    <row r="991" spans="1:11" x14ac:dyDescent="0.3">
      <c r="A991" s="6">
        <v>45165</v>
      </c>
      <c r="B991" s="5" t="s">
        <v>25</v>
      </c>
      <c r="C991" s="5" t="s">
        <v>22</v>
      </c>
      <c r="D991" s="5" t="s">
        <v>20</v>
      </c>
      <c r="E991" s="5" t="s">
        <v>17</v>
      </c>
      <c r="F991" s="5">
        <v>3054</v>
      </c>
      <c r="G991" s="5" t="str">
        <f>VLOOKUP(C991,Sheet2!$C$3:$D$12,2,0)</f>
        <v>Variable</v>
      </c>
      <c r="H991" s="5" t="str">
        <f>IFERROR(VLOOKUP(E991,Sheet2!$G$3:$H$8,2,0),"unkwon")</f>
        <v>online</v>
      </c>
      <c r="I991" s="5">
        <f>VLOOKUP(B991,Sheet2!$J$4:$K$15,2,0)</f>
        <v>8</v>
      </c>
      <c r="J991" s="5">
        <f>IFERROR(VLOOKUP(C991,Sheet2!$M$4:$N$12,2,0),0)</f>
        <v>1000</v>
      </c>
      <c r="K991" s="5" t="str">
        <f t="shared" si="15"/>
        <v>over budget</v>
      </c>
    </row>
    <row r="992" spans="1:11" x14ac:dyDescent="0.3">
      <c r="A992" s="6">
        <v>45296</v>
      </c>
      <c r="B992" s="5" t="s">
        <v>37</v>
      </c>
      <c r="C992" s="5" t="s">
        <v>30</v>
      </c>
      <c r="D992" s="5" t="s">
        <v>20</v>
      </c>
      <c r="E992" s="5" t="s">
        <v>9</v>
      </c>
      <c r="F992" s="5">
        <v>522</v>
      </c>
      <c r="G992" s="5" t="str">
        <f>VLOOKUP(C992,Sheet2!$C$3:$D$12,2,0)</f>
        <v>Fixed</v>
      </c>
      <c r="H992" s="5" t="str">
        <f>IFERROR(VLOOKUP(E992,Sheet2!$G$3:$H$8,2,0),"unkwon")</f>
        <v>online</v>
      </c>
      <c r="I992" s="5">
        <f>VLOOKUP(B992,Sheet2!$J$4:$K$15,2,0)</f>
        <v>1</v>
      </c>
      <c r="J992" s="5">
        <f>IFERROR(VLOOKUP(C992,Sheet2!$M$4:$N$12,2,0),0)</f>
        <v>3000</v>
      </c>
      <c r="K992" s="5" t="str">
        <f t="shared" si="15"/>
        <v>within budget</v>
      </c>
    </row>
    <row r="993" spans="1:11" x14ac:dyDescent="0.3">
      <c r="A993" s="6">
        <v>45454</v>
      </c>
      <c r="B993" s="5" t="s">
        <v>39</v>
      </c>
      <c r="C993" s="5" t="s">
        <v>10</v>
      </c>
      <c r="D993" s="5" t="s">
        <v>34</v>
      </c>
      <c r="E993" s="5" t="s">
        <v>17</v>
      </c>
      <c r="F993" s="5">
        <v>3540</v>
      </c>
      <c r="G993" s="5" t="str">
        <f>VLOOKUP(C993,Sheet2!$C$3:$D$12,2,0)</f>
        <v>Variable</v>
      </c>
      <c r="H993" s="5" t="str">
        <f>IFERROR(VLOOKUP(E993,Sheet2!$G$3:$H$8,2,0),"unkwon")</f>
        <v>online</v>
      </c>
      <c r="I993" s="5">
        <f>VLOOKUP(B993,Sheet2!$J$4:$K$15,2,0)</f>
        <v>6</v>
      </c>
      <c r="J993" s="5">
        <f>IFERROR(VLOOKUP(C993,Sheet2!$M$4:$N$12,2,0),0)</f>
        <v>5000</v>
      </c>
      <c r="K993" s="5" t="str">
        <f t="shared" si="15"/>
        <v>within budget</v>
      </c>
    </row>
    <row r="994" spans="1:11" x14ac:dyDescent="0.3">
      <c r="A994" s="6">
        <v>45269</v>
      </c>
      <c r="B994" s="5" t="s">
        <v>16</v>
      </c>
      <c r="C994" s="5" t="s">
        <v>30</v>
      </c>
      <c r="D994" s="5" t="s">
        <v>23</v>
      </c>
      <c r="E994" s="5" t="s">
        <v>15</v>
      </c>
      <c r="F994" s="5">
        <v>2884</v>
      </c>
      <c r="G994" s="5" t="str">
        <f>VLOOKUP(C994,Sheet2!$C$3:$D$12,2,0)</f>
        <v>Fixed</v>
      </c>
      <c r="H994" s="5" t="str">
        <f>IFERROR(VLOOKUP(E994,Sheet2!$G$3:$H$8,2,0),"unkwon")</f>
        <v>online</v>
      </c>
      <c r="I994" s="5">
        <f>VLOOKUP(B994,Sheet2!$J$4:$K$15,2,0)</f>
        <v>12</v>
      </c>
      <c r="J994" s="5">
        <f>IFERROR(VLOOKUP(C994,Sheet2!$M$4:$N$12,2,0),0)</f>
        <v>3000</v>
      </c>
      <c r="K994" s="5" t="str">
        <f t="shared" si="15"/>
        <v>within budget</v>
      </c>
    </row>
    <row r="995" spans="1:11" x14ac:dyDescent="0.3">
      <c r="A995" s="6">
        <v>45639</v>
      </c>
      <c r="B995" s="5" t="s">
        <v>16</v>
      </c>
      <c r="C995" s="5" t="s">
        <v>13</v>
      </c>
      <c r="D995" s="5" t="s">
        <v>18</v>
      </c>
      <c r="E995" s="5" t="s">
        <v>17</v>
      </c>
      <c r="F995" s="5">
        <v>565</v>
      </c>
      <c r="G995" s="5" t="str">
        <f>VLOOKUP(C995,Sheet2!$C$3:$D$12,2,0)</f>
        <v>Variable</v>
      </c>
      <c r="H995" s="5" t="str">
        <f>IFERROR(VLOOKUP(E995,Sheet2!$G$3:$H$8,2,0),"unkwon")</f>
        <v>online</v>
      </c>
      <c r="I995" s="5">
        <f>VLOOKUP(B995,Sheet2!$J$4:$K$15,2,0)</f>
        <v>12</v>
      </c>
      <c r="J995" s="5">
        <f>IFERROR(VLOOKUP(C995,Sheet2!$M$4:$N$12,2,0),0)</f>
        <v>5000</v>
      </c>
      <c r="K995" s="5" t="str">
        <f t="shared" si="15"/>
        <v>within budget</v>
      </c>
    </row>
    <row r="996" spans="1:11" x14ac:dyDescent="0.3">
      <c r="A996" s="6">
        <v>45195</v>
      </c>
      <c r="B996" s="5" t="s">
        <v>38</v>
      </c>
      <c r="C996" s="5" t="s">
        <v>35</v>
      </c>
      <c r="D996" s="5" t="s">
        <v>18</v>
      </c>
      <c r="E996" s="5" t="s">
        <v>9</v>
      </c>
      <c r="F996" s="5">
        <v>1815</v>
      </c>
      <c r="G996" s="5" t="str">
        <f>VLOOKUP(C996,Sheet2!$C$3:$D$12,2,0)</f>
        <v>Fixed</v>
      </c>
      <c r="H996" s="5" t="str">
        <f>IFERROR(VLOOKUP(E996,Sheet2!$G$3:$H$8,2,0),"unkwon")</f>
        <v>online</v>
      </c>
      <c r="I996" s="5">
        <f>VLOOKUP(B996,Sheet2!$J$4:$K$15,2,0)</f>
        <v>9</v>
      </c>
      <c r="J996" s="5">
        <f>IFERROR(VLOOKUP(C996,Sheet2!$M$4:$N$12,2,0),0)</f>
        <v>5500</v>
      </c>
      <c r="K996" s="5" t="str">
        <f t="shared" si="15"/>
        <v>within budget</v>
      </c>
    </row>
    <row r="997" spans="1:11" x14ac:dyDescent="0.3">
      <c r="A997" s="6">
        <v>45187</v>
      </c>
      <c r="B997" s="5" t="s">
        <v>38</v>
      </c>
      <c r="C997" s="5" t="s">
        <v>35</v>
      </c>
      <c r="D997" s="5" t="s">
        <v>8</v>
      </c>
      <c r="E997" s="5" t="s">
        <v>9</v>
      </c>
      <c r="F997" s="5">
        <v>3804</v>
      </c>
      <c r="G997" s="5" t="str">
        <f>VLOOKUP(C997,Sheet2!$C$3:$D$12,2,0)</f>
        <v>Fixed</v>
      </c>
      <c r="H997" s="5" t="str">
        <f>IFERROR(VLOOKUP(E997,Sheet2!$G$3:$H$8,2,0),"unkwon")</f>
        <v>online</v>
      </c>
      <c r="I997" s="5">
        <f>VLOOKUP(B997,Sheet2!$J$4:$K$15,2,0)</f>
        <v>9</v>
      </c>
      <c r="J997" s="5">
        <f>IFERROR(VLOOKUP(C997,Sheet2!$M$4:$N$12,2,0),0)</f>
        <v>5500</v>
      </c>
      <c r="K997" s="5" t="str">
        <f t="shared" si="15"/>
        <v>within budget</v>
      </c>
    </row>
    <row r="998" spans="1:11" x14ac:dyDescent="0.3">
      <c r="A998" s="6">
        <v>45512</v>
      </c>
      <c r="B998" s="5" t="s">
        <v>25</v>
      </c>
      <c r="C998" s="5" t="s">
        <v>7</v>
      </c>
      <c r="D998" s="5" t="s">
        <v>8</v>
      </c>
      <c r="E998" s="5" t="s">
        <v>32</v>
      </c>
      <c r="F998" s="5">
        <v>4418</v>
      </c>
      <c r="G998" s="5" t="str">
        <f>VLOOKUP(C998,Sheet2!$C$3:$D$12,2,0)</f>
        <v>Fixed</v>
      </c>
      <c r="H998" s="5" t="str">
        <f>IFERROR(VLOOKUP(E998,Sheet2!$G$3:$H$8,2,0),"unkwon")</f>
        <v>offline</v>
      </c>
      <c r="I998" s="5">
        <f>VLOOKUP(B998,Sheet2!$J$4:$K$15,2,0)</f>
        <v>8</v>
      </c>
      <c r="J998" s="5">
        <f>IFERROR(VLOOKUP(C998,Sheet2!$M$4:$N$12,2,0),0)</f>
        <v>2000</v>
      </c>
      <c r="K998" s="5" t="str">
        <f t="shared" si="15"/>
        <v>over budget</v>
      </c>
    </row>
    <row r="999" spans="1:11" x14ac:dyDescent="0.3">
      <c r="A999" s="6">
        <v>44972</v>
      </c>
      <c r="B999" s="5" t="s">
        <v>33</v>
      </c>
      <c r="C999" s="5" t="s">
        <v>22</v>
      </c>
      <c r="D999" s="5" t="s">
        <v>34</v>
      </c>
      <c r="E999" s="5" t="s">
        <v>12</v>
      </c>
      <c r="F999" s="5">
        <v>1699</v>
      </c>
      <c r="G999" s="5" t="str">
        <f>VLOOKUP(C999,Sheet2!$C$3:$D$12,2,0)</f>
        <v>Variable</v>
      </c>
      <c r="H999" s="5" t="str">
        <f>IFERROR(VLOOKUP(E999,Sheet2!$G$3:$H$8,2,0),"unkwon")</f>
        <v>online</v>
      </c>
      <c r="I999" s="5">
        <f>VLOOKUP(B999,Sheet2!$J$4:$K$15,2,0)</f>
        <v>2</v>
      </c>
      <c r="J999" s="5">
        <f>IFERROR(VLOOKUP(C999,Sheet2!$M$4:$N$12,2,0),0)</f>
        <v>1000</v>
      </c>
      <c r="K999" s="5" t="str">
        <f t="shared" si="15"/>
        <v>over budget</v>
      </c>
    </row>
    <row r="1000" spans="1:11" x14ac:dyDescent="0.3">
      <c r="A1000" s="6">
        <v>45583</v>
      </c>
      <c r="B1000" s="5" t="s">
        <v>6</v>
      </c>
      <c r="C1000" s="5" t="s">
        <v>36</v>
      </c>
      <c r="D1000" s="5" t="s">
        <v>34</v>
      </c>
      <c r="E1000" s="5" t="s">
        <v>32</v>
      </c>
      <c r="F1000" s="5">
        <v>4894</v>
      </c>
      <c r="G1000" s="5" t="str">
        <f>VLOOKUP(C1000,Sheet2!$C$3:$D$12,2,0)</f>
        <v>Variable</v>
      </c>
      <c r="H1000" s="5" t="str">
        <f>IFERROR(VLOOKUP(E1000,Sheet2!$G$3:$H$8,2,0),"unkwon")</f>
        <v>offline</v>
      </c>
      <c r="I1000" s="5">
        <f>VLOOKUP(B1000,Sheet2!$J$4:$K$15,2,0)</f>
        <v>10</v>
      </c>
      <c r="J1000" s="5">
        <f>IFERROR(VLOOKUP(C1000,Sheet2!$M$4:$N$12,2,0),0)</f>
        <v>10000</v>
      </c>
      <c r="K1000" s="5" t="str">
        <f t="shared" si="15"/>
        <v>within budget</v>
      </c>
    </row>
    <row r="1001" spans="1:11" x14ac:dyDescent="0.3">
      <c r="A1001" s="6">
        <v>45228</v>
      </c>
      <c r="B1001" s="5" t="s">
        <v>6</v>
      </c>
      <c r="C1001" s="5" t="s">
        <v>27</v>
      </c>
      <c r="D1001" s="5" t="s">
        <v>14</v>
      </c>
      <c r="E1001" s="5" t="s">
        <v>15</v>
      </c>
      <c r="F1001" s="5">
        <v>3439</v>
      </c>
      <c r="G1001" s="5" t="str">
        <f>VLOOKUP(C1001,Sheet2!$C$3:$D$12,2,0)</f>
        <v>Variable</v>
      </c>
      <c r="H1001" s="5" t="str">
        <f>IFERROR(VLOOKUP(E1001,Sheet2!$G$3:$H$8,2,0),"unkwon")</f>
        <v>online</v>
      </c>
      <c r="I1001" s="5">
        <f>VLOOKUP(B1001,Sheet2!$J$4:$K$15,2,0)</f>
        <v>10</v>
      </c>
      <c r="J1001" s="5">
        <f>IFERROR(VLOOKUP(C1001,Sheet2!$M$4:$N$12,2,0),0)</f>
        <v>4000</v>
      </c>
      <c r="K1001" s="5" t="str">
        <f t="shared" si="15"/>
        <v>within budget</v>
      </c>
    </row>
    <row r="1002" spans="1:11" x14ac:dyDescent="0.3">
      <c r="A1002" s="6">
        <v>45031</v>
      </c>
      <c r="B1002" s="5" t="s">
        <v>29</v>
      </c>
      <c r="C1002" s="5" t="s">
        <v>13</v>
      </c>
      <c r="D1002" s="5" t="s">
        <v>23</v>
      </c>
      <c r="E1002" s="5" t="s">
        <v>15</v>
      </c>
      <c r="F1002" s="5">
        <v>1953</v>
      </c>
      <c r="G1002" s="5" t="str">
        <f>VLOOKUP(C1002,Sheet2!$C$3:$D$12,2,0)</f>
        <v>Variable</v>
      </c>
      <c r="H1002" s="5" t="str">
        <f>IFERROR(VLOOKUP(E1002,Sheet2!$G$3:$H$8,2,0),"unkwon")</f>
        <v>online</v>
      </c>
      <c r="I1002" s="5">
        <f>VLOOKUP(B1002,Sheet2!$J$4:$K$15,2,0)</f>
        <v>4</v>
      </c>
      <c r="J1002" s="5">
        <f>IFERROR(VLOOKUP(C1002,Sheet2!$M$4:$N$12,2,0),0)</f>
        <v>5000</v>
      </c>
      <c r="K1002" s="5" t="str">
        <f t="shared" si="15"/>
        <v>within budget</v>
      </c>
    </row>
    <row r="1003" spans="1:11" x14ac:dyDescent="0.3">
      <c r="A1003" s="6">
        <v>45569</v>
      </c>
      <c r="B1003" s="5" t="s">
        <v>6</v>
      </c>
      <c r="C1003" s="5" t="s">
        <v>30</v>
      </c>
      <c r="D1003" s="5" t="s">
        <v>26</v>
      </c>
      <c r="E1003" s="5" t="s">
        <v>32</v>
      </c>
      <c r="F1003" s="5">
        <v>2377</v>
      </c>
      <c r="G1003" s="5" t="str">
        <f>VLOOKUP(C1003,Sheet2!$C$3:$D$12,2,0)</f>
        <v>Fixed</v>
      </c>
      <c r="H1003" s="5" t="str">
        <f>IFERROR(VLOOKUP(E1003,Sheet2!$G$3:$H$8,2,0),"unkwon")</f>
        <v>offline</v>
      </c>
      <c r="I1003" s="5">
        <f>VLOOKUP(B1003,Sheet2!$J$4:$K$15,2,0)</f>
        <v>10</v>
      </c>
      <c r="J1003" s="5">
        <f>IFERROR(VLOOKUP(C1003,Sheet2!$M$4:$N$12,2,0),0)</f>
        <v>3000</v>
      </c>
      <c r="K1003" s="5" t="str">
        <f t="shared" si="15"/>
        <v>within budget</v>
      </c>
    </row>
    <row r="1004" spans="1:11" x14ac:dyDescent="0.3">
      <c r="A1004" s="6">
        <v>45499</v>
      </c>
      <c r="B1004" s="5" t="s">
        <v>21</v>
      </c>
      <c r="C1004" s="5" t="s">
        <v>7</v>
      </c>
      <c r="D1004" s="5" t="s">
        <v>31</v>
      </c>
      <c r="E1004" s="5" t="s">
        <v>17</v>
      </c>
      <c r="F1004" s="5">
        <v>1349</v>
      </c>
      <c r="G1004" s="5" t="str">
        <f>VLOOKUP(C1004,Sheet2!$C$3:$D$12,2,0)</f>
        <v>Fixed</v>
      </c>
      <c r="H1004" s="5" t="str">
        <f>IFERROR(VLOOKUP(E1004,Sheet2!$G$3:$H$8,2,0),"unkwon")</f>
        <v>online</v>
      </c>
      <c r="I1004" s="5">
        <f>VLOOKUP(B1004,Sheet2!$J$4:$K$15,2,0)</f>
        <v>7</v>
      </c>
      <c r="J1004" s="5">
        <f>IFERROR(VLOOKUP(C1004,Sheet2!$M$4:$N$12,2,0),0)</f>
        <v>2000</v>
      </c>
      <c r="K1004" s="5" t="str">
        <f t="shared" si="15"/>
        <v>within budget</v>
      </c>
    </row>
    <row r="1005" spans="1:11" x14ac:dyDescent="0.3">
      <c r="A1005" s="6">
        <v>45318</v>
      </c>
      <c r="B1005" s="5" t="s">
        <v>37</v>
      </c>
      <c r="C1005" s="5" t="s">
        <v>41</v>
      </c>
      <c r="D1005" s="5" t="s">
        <v>14</v>
      </c>
      <c r="E1005" s="5" t="s">
        <v>15</v>
      </c>
      <c r="F1005" s="5">
        <v>1367</v>
      </c>
      <c r="G1005" s="5" t="str">
        <f>VLOOKUP(C1005,Sheet2!$C$3:$D$12,2,0)</f>
        <v>Variable</v>
      </c>
      <c r="H1005" s="5" t="str">
        <f>IFERROR(VLOOKUP(E1005,Sheet2!$G$3:$H$8,2,0),"unkwon")</f>
        <v>online</v>
      </c>
      <c r="I1005" s="5">
        <f>VLOOKUP(B1005,Sheet2!$J$4:$K$15,2,0)</f>
        <v>1</v>
      </c>
      <c r="J1005" s="5">
        <f>IFERROR(VLOOKUP(C1005,Sheet2!$M$4:$N$12,2,0),0)</f>
        <v>7000</v>
      </c>
      <c r="K1005" s="5" t="str">
        <f t="shared" si="15"/>
        <v>within budget</v>
      </c>
    </row>
    <row r="1006" spans="1:11" x14ac:dyDescent="0.3">
      <c r="A1006" s="6">
        <v>45362</v>
      </c>
      <c r="B1006" s="5" t="s">
        <v>19</v>
      </c>
      <c r="C1006" s="5" t="s">
        <v>10</v>
      </c>
      <c r="D1006" s="5" t="s">
        <v>14</v>
      </c>
      <c r="E1006" s="5" t="s">
        <v>12</v>
      </c>
      <c r="F1006" s="5">
        <v>3008</v>
      </c>
      <c r="G1006" s="5" t="str">
        <f>VLOOKUP(C1006,Sheet2!$C$3:$D$12,2,0)</f>
        <v>Variable</v>
      </c>
      <c r="H1006" s="5" t="str">
        <f>IFERROR(VLOOKUP(E1006,Sheet2!$G$3:$H$8,2,0),"unkwon")</f>
        <v>online</v>
      </c>
      <c r="I1006" s="5">
        <f>VLOOKUP(B1006,Sheet2!$J$4:$K$15,2,0)</f>
        <v>3</v>
      </c>
      <c r="J1006" s="5">
        <f>IFERROR(VLOOKUP(C1006,Sheet2!$M$4:$N$12,2,0),0)</f>
        <v>5000</v>
      </c>
      <c r="K1006" s="5" t="str">
        <f t="shared" si="15"/>
        <v>within budget</v>
      </c>
    </row>
    <row r="1007" spans="1:11" x14ac:dyDescent="0.3">
      <c r="A1007" s="6">
        <v>45487</v>
      </c>
      <c r="B1007" s="5" t="s">
        <v>21</v>
      </c>
      <c r="C1007" s="5" t="s">
        <v>30</v>
      </c>
      <c r="D1007" s="5" t="s">
        <v>14</v>
      </c>
      <c r="E1007" s="5" t="s">
        <v>17</v>
      </c>
      <c r="F1007" s="5">
        <v>1058</v>
      </c>
      <c r="G1007" s="5" t="str">
        <f>VLOOKUP(C1007,Sheet2!$C$3:$D$12,2,0)</f>
        <v>Fixed</v>
      </c>
      <c r="H1007" s="5" t="str">
        <f>IFERROR(VLOOKUP(E1007,Sheet2!$G$3:$H$8,2,0),"unkwon")</f>
        <v>online</v>
      </c>
      <c r="I1007" s="5">
        <f>VLOOKUP(B1007,Sheet2!$J$4:$K$15,2,0)</f>
        <v>7</v>
      </c>
      <c r="J1007" s="5">
        <f>IFERROR(VLOOKUP(C1007,Sheet2!$M$4:$N$12,2,0),0)</f>
        <v>3000</v>
      </c>
      <c r="K1007" s="5" t="str">
        <f t="shared" si="15"/>
        <v>within budget</v>
      </c>
    </row>
    <row r="1008" spans="1:11" x14ac:dyDescent="0.3">
      <c r="A1008" s="6">
        <v>45652</v>
      </c>
      <c r="B1008" s="5" t="s">
        <v>16</v>
      </c>
      <c r="C1008" s="5" t="s">
        <v>30</v>
      </c>
      <c r="D1008" s="5" t="s">
        <v>11</v>
      </c>
      <c r="E1008" s="5" t="s">
        <v>17</v>
      </c>
      <c r="F1008" s="5">
        <v>2923</v>
      </c>
      <c r="G1008" s="5" t="str">
        <f>VLOOKUP(C1008,Sheet2!$C$3:$D$12,2,0)</f>
        <v>Fixed</v>
      </c>
      <c r="H1008" s="5" t="str">
        <f>IFERROR(VLOOKUP(E1008,Sheet2!$G$3:$H$8,2,0),"unkwon")</f>
        <v>online</v>
      </c>
      <c r="I1008" s="5">
        <f>VLOOKUP(B1008,Sheet2!$J$4:$K$15,2,0)</f>
        <v>12</v>
      </c>
      <c r="J1008" s="5">
        <f>IFERROR(VLOOKUP(C1008,Sheet2!$M$4:$N$12,2,0),0)</f>
        <v>3000</v>
      </c>
      <c r="K1008" s="5" t="str">
        <f t="shared" si="15"/>
        <v>within budget</v>
      </c>
    </row>
    <row r="1009" spans="1:11" x14ac:dyDescent="0.3">
      <c r="A1009" s="6">
        <v>45506</v>
      </c>
      <c r="B1009" s="5" t="s">
        <v>25</v>
      </c>
      <c r="C1009" s="5" t="s">
        <v>30</v>
      </c>
      <c r="D1009" s="5" t="s">
        <v>23</v>
      </c>
      <c r="E1009" s="5" t="s">
        <v>17</v>
      </c>
      <c r="F1009" s="5">
        <v>2666</v>
      </c>
      <c r="G1009" s="5" t="str">
        <f>VLOOKUP(C1009,Sheet2!$C$3:$D$12,2,0)</f>
        <v>Fixed</v>
      </c>
      <c r="H1009" s="5" t="str">
        <f>IFERROR(VLOOKUP(E1009,Sheet2!$G$3:$H$8,2,0),"unkwon")</f>
        <v>online</v>
      </c>
      <c r="I1009" s="5">
        <f>VLOOKUP(B1009,Sheet2!$J$4:$K$15,2,0)</f>
        <v>8</v>
      </c>
      <c r="J1009" s="5">
        <f>IFERROR(VLOOKUP(C1009,Sheet2!$M$4:$N$12,2,0),0)</f>
        <v>3000</v>
      </c>
      <c r="K1009" s="5" t="str">
        <f t="shared" si="15"/>
        <v>within budget</v>
      </c>
    </row>
    <row r="1010" spans="1:11" x14ac:dyDescent="0.3">
      <c r="A1010" s="6">
        <v>45182</v>
      </c>
      <c r="B1010" s="5" t="s">
        <v>38</v>
      </c>
      <c r="C1010" s="5" t="s">
        <v>10</v>
      </c>
      <c r="D1010" s="5" t="s">
        <v>18</v>
      </c>
      <c r="E1010" s="5" t="s">
        <v>9</v>
      </c>
      <c r="F1010" s="5">
        <v>79</v>
      </c>
      <c r="G1010" s="5" t="str">
        <f>VLOOKUP(C1010,Sheet2!$C$3:$D$12,2,0)</f>
        <v>Variable</v>
      </c>
      <c r="H1010" s="5" t="str">
        <f>IFERROR(VLOOKUP(E1010,Sheet2!$G$3:$H$8,2,0),"unkwon")</f>
        <v>online</v>
      </c>
      <c r="I1010" s="5">
        <f>VLOOKUP(B1010,Sheet2!$J$4:$K$15,2,0)</f>
        <v>9</v>
      </c>
      <c r="J1010" s="5">
        <f>IFERROR(VLOOKUP(C1010,Sheet2!$M$4:$N$12,2,0),0)</f>
        <v>5000</v>
      </c>
      <c r="K1010" s="5" t="str">
        <f t="shared" si="15"/>
        <v>within budget</v>
      </c>
    </row>
    <row r="1011" spans="1:11" x14ac:dyDescent="0.3">
      <c r="A1011" s="6">
        <v>45353</v>
      </c>
      <c r="B1011" s="5" t="s">
        <v>19</v>
      </c>
      <c r="C1011" s="5" t="s">
        <v>35</v>
      </c>
      <c r="D1011" s="5" t="s">
        <v>18</v>
      </c>
      <c r="E1011" s="5" t="s">
        <v>17</v>
      </c>
      <c r="F1011" s="5">
        <v>4722</v>
      </c>
      <c r="G1011" s="5" t="str">
        <f>VLOOKUP(C1011,Sheet2!$C$3:$D$12,2,0)</f>
        <v>Fixed</v>
      </c>
      <c r="H1011" s="5" t="str">
        <f>IFERROR(VLOOKUP(E1011,Sheet2!$G$3:$H$8,2,0),"unkwon")</f>
        <v>online</v>
      </c>
      <c r="I1011" s="5">
        <f>VLOOKUP(B1011,Sheet2!$J$4:$K$15,2,0)</f>
        <v>3</v>
      </c>
      <c r="J1011" s="5">
        <f>IFERROR(VLOOKUP(C1011,Sheet2!$M$4:$N$12,2,0),0)</f>
        <v>5500</v>
      </c>
      <c r="K1011" s="5" t="str">
        <f t="shared" si="15"/>
        <v>within budget</v>
      </c>
    </row>
    <row r="1012" spans="1:11" x14ac:dyDescent="0.3">
      <c r="A1012" s="6">
        <v>44956</v>
      </c>
      <c r="B1012" s="5" t="s">
        <v>37</v>
      </c>
      <c r="C1012" s="5" t="s">
        <v>41</v>
      </c>
      <c r="D1012" s="5" t="s">
        <v>18</v>
      </c>
      <c r="E1012" s="5" t="s">
        <v>15</v>
      </c>
      <c r="F1012" s="5">
        <v>4005</v>
      </c>
      <c r="G1012" s="5" t="str">
        <f>VLOOKUP(C1012,Sheet2!$C$3:$D$12,2,0)</f>
        <v>Variable</v>
      </c>
      <c r="H1012" s="5" t="str">
        <f>IFERROR(VLOOKUP(E1012,Sheet2!$G$3:$H$8,2,0),"unkwon")</f>
        <v>online</v>
      </c>
      <c r="I1012" s="5">
        <f>VLOOKUP(B1012,Sheet2!$J$4:$K$15,2,0)</f>
        <v>1</v>
      </c>
      <c r="J1012" s="5">
        <f>IFERROR(VLOOKUP(C1012,Sheet2!$M$4:$N$12,2,0),0)</f>
        <v>7000</v>
      </c>
      <c r="K1012" s="5" t="str">
        <f t="shared" si="15"/>
        <v>within budget</v>
      </c>
    </row>
    <row r="1013" spans="1:11" x14ac:dyDescent="0.3">
      <c r="A1013" s="6">
        <v>45128</v>
      </c>
      <c r="B1013" s="5" t="s">
        <v>21</v>
      </c>
      <c r="C1013" s="5" t="s">
        <v>36</v>
      </c>
      <c r="D1013" s="5" t="s">
        <v>8</v>
      </c>
      <c r="E1013" s="5" t="s">
        <v>9</v>
      </c>
      <c r="F1013" s="5">
        <v>3342</v>
      </c>
      <c r="G1013" s="5" t="str">
        <f>VLOOKUP(C1013,Sheet2!$C$3:$D$12,2,0)</f>
        <v>Variable</v>
      </c>
      <c r="H1013" s="5" t="str">
        <f>IFERROR(VLOOKUP(E1013,Sheet2!$G$3:$H$8,2,0),"unkwon")</f>
        <v>online</v>
      </c>
      <c r="I1013" s="5">
        <f>VLOOKUP(B1013,Sheet2!$J$4:$K$15,2,0)</f>
        <v>7</v>
      </c>
      <c r="J1013" s="5">
        <f>IFERROR(VLOOKUP(C1013,Sheet2!$M$4:$N$12,2,0),0)</f>
        <v>10000</v>
      </c>
      <c r="K1013" s="5" t="str">
        <f t="shared" si="15"/>
        <v>within budget</v>
      </c>
    </row>
    <row r="1014" spans="1:11" x14ac:dyDescent="0.3">
      <c r="A1014" s="6">
        <v>45631</v>
      </c>
      <c r="B1014" s="5" t="s">
        <v>16</v>
      </c>
      <c r="C1014" s="5" t="s">
        <v>10</v>
      </c>
      <c r="D1014" s="5" t="s">
        <v>31</v>
      </c>
      <c r="E1014" s="5" t="s">
        <v>15</v>
      </c>
      <c r="F1014" s="5">
        <v>478</v>
      </c>
      <c r="G1014" s="5" t="str">
        <f>VLOOKUP(C1014,Sheet2!$C$3:$D$12,2,0)</f>
        <v>Variable</v>
      </c>
      <c r="H1014" s="5" t="str">
        <f>IFERROR(VLOOKUP(E1014,Sheet2!$G$3:$H$8,2,0),"unkwon")</f>
        <v>online</v>
      </c>
      <c r="I1014" s="5">
        <f>VLOOKUP(B1014,Sheet2!$J$4:$K$15,2,0)</f>
        <v>12</v>
      </c>
      <c r="J1014" s="5">
        <f>IFERROR(VLOOKUP(C1014,Sheet2!$M$4:$N$12,2,0),0)</f>
        <v>5000</v>
      </c>
      <c r="K1014" s="5" t="str">
        <f t="shared" si="15"/>
        <v>within budget</v>
      </c>
    </row>
    <row r="1015" spans="1:11" x14ac:dyDescent="0.3">
      <c r="A1015" s="6">
        <v>45476</v>
      </c>
      <c r="B1015" s="5" t="s">
        <v>21</v>
      </c>
      <c r="C1015" s="5" t="s">
        <v>35</v>
      </c>
      <c r="D1015" s="5" t="s">
        <v>20</v>
      </c>
      <c r="E1015" s="5" t="s">
        <v>12</v>
      </c>
      <c r="F1015" s="5">
        <v>2834</v>
      </c>
      <c r="G1015" s="5" t="str">
        <f>VLOOKUP(C1015,Sheet2!$C$3:$D$12,2,0)</f>
        <v>Fixed</v>
      </c>
      <c r="H1015" s="5" t="str">
        <f>IFERROR(VLOOKUP(E1015,Sheet2!$G$3:$H$8,2,0),"unkwon")</f>
        <v>online</v>
      </c>
      <c r="I1015" s="5">
        <f>VLOOKUP(B1015,Sheet2!$J$4:$K$15,2,0)</f>
        <v>7</v>
      </c>
      <c r="J1015" s="5">
        <f>IFERROR(VLOOKUP(C1015,Sheet2!$M$4:$N$12,2,0),0)</f>
        <v>5500</v>
      </c>
      <c r="K1015" s="5" t="str">
        <f t="shared" si="15"/>
        <v>within budget</v>
      </c>
    </row>
    <row r="1016" spans="1:11" x14ac:dyDescent="0.3">
      <c r="A1016" s="6">
        <v>45228</v>
      </c>
      <c r="B1016" s="5" t="s">
        <v>6</v>
      </c>
      <c r="C1016" s="5" t="s">
        <v>27</v>
      </c>
      <c r="D1016" s="5" t="s">
        <v>18</v>
      </c>
      <c r="E1016" s="5" t="s">
        <v>17</v>
      </c>
      <c r="F1016" s="5">
        <v>308</v>
      </c>
      <c r="G1016" s="5" t="str">
        <f>VLOOKUP(C1016,Sheet2!$C$3:$D$12,2,0)</f>
        <v>Variable</v>
      </c>
      <c r="H1016" s="5" t="str">
        <f>IFERROR(VLOOKUP(E1016,Sheet2!$G$3:$H$8,2,0),"unkwon")</f>
        <v>online</v>
      </c>
      <c r="I1016" s="5">
        <f>VLOOKUP(B1016,Sheet2!$J$4:$K$15,2,0)</f>
        <v>10</v>
      </c>
      <c r="J1016" s="5">
        <f>IFERROR(VLOOKUP(C1016,Sheet2!$M$4:$N$12,2,0),0)</f>
        <v>4000</v>
      </c>
      <c r="K1016" s="5" t="str">
        <f t="shared" si="15"/>
        <v>within budget</v>
      </c>
    </row>
    <row r="1017" spans="1:11" x14ac:dyDescent="0.3">
      <c r="A1017" s="6">
        <v>45405</v>
      </c>
      <c r="B1017" s="5" t="s">
        <v>29</v>
      </c>
      <c r="C1017" s="5" t="s">
        <v>7</v>
      </c>
      <c r="D1017" s="5" t="s">
        <v>18</v>
      </c>
      <c r="E1017" s="5" t="s">
        <v>9</v>
      </c>
      <c r="F1017" s="5">
        <v>4276</v>
      </c>
      <c r="G1017" s="5" t="str">
        <f>VLOOKUP(C1017,Sheet2!$C$3:$D$12,2,0)</f>
        <v>Fixed</v>
      </c>
      <c r="H1017" s="5" t="str">
        <f>IFERROR(VLOOKUP(E1017,Sheet2!$G$3:$H$8,2,0),"unkwon")</f>
        <v>online</v>
      </c>
      <c r="I1017" s="5">
        <f>VLOOKUP(B1017,Sheet2!$J$4:$K$15,2,0)</f>
        <v>4</v>
      </c>
      <c r="J1017" s="5">
        <f>IFERROR(VLOOKUP(C1017,Sheet2!$M$4:$N$12,2,0),0)</f>
        <v>2000</v>
      </c>
      <c r="K1017" s="5" t="str">
        <f t="shared" si="15"/>
        <v>over budget</v>
      </c>
    </row>
    <row r="1018" spans="1:11" x14ac:dyDescent="0.3">
      <c r="A1018" s="6">
        <v>45026</v>
      </c>
      <c r="B1018" s="5" t="s">
        <v>29</v>
      </c>
      <c r="C1018" s="5" t="s">
        <v>13</v>
      </c>
      <c r="D1018" s="5" t="s">
        <v>34</v>
      </c>
      <c r="E1018" s="5" t="s">
        <v>9</v>
      </c>
      <c r="F1018" s="5">
        <v>3015</v>
      </c>
      <c r="G1018" s="5" t="str">
        <f>VLOOKUP(C1018,Sheet2!$C$3:$D$12,2,0)</f>
        <v>Variable</v>
      </c>
      <c r="H1018" s="5" t="str">
        <f>IFERROR(VLOOKUP(E1018,Sheet2!$G$3:$H$8,2,0),"unkwon")</f>
        <v>online</v>
      </c>
      <c r="I1018" s="5">
        <f>VLOOKUP(B1018,Sheet2!$J$4:$K$15,2,0)</f>
        <v>4</v>
      </c>
      <c r="J1018" s="5">
        <f>IFERROR(VLOOKUP(C1018,Sheet2!$M$4:$N$12,2,0),0)</f>
        <v>5000</v>
      </c>
      <c r="K1018" s="5" t="str">
        <f t="shared" si="15"/>
        <v>within budget</v>
      </c>
    </row>
    <row r="1019" spans="1:11" x14ac:dyDescent="0.3">
      <c r="A1019" s="6">
        <v>45543</v>
      </c>
      <c r="B1019" s="5" t="s">
        <v>38</v>
      </c>
      <c r="C1019" s="5" t="s">
        <v>27</v>
      </c>
      <c r="D1019" s="5" t="s">
        <v>14</v>
      </c>
      <c r="E1019" s="5" t="s">
        <v>9</v>
      </c>
      <c r="F1019" s="5">
        <v>4945</v>
      </c>
      <c r="G1019" s="5" t="str">
        <f>VLOOKUP(C1019,Sheet2!$C$3:$D$12,2,0)</f>
        <v>Variable</v>
      </c>
      <c r="H1019" s="5" t="str">
        <f>IFERROR(VLOOKUP(E1019,Sheet2!$G$3:$H$8,2,0),"unkwon")</f>
        <v>online</v>
      </c>
      <c r="I1019" s="5">
        <f>VLOOKUP(B1019,Sheet2!$J$4:$K$15,2,0)</f>
        <v>9</v>
      </c>
      <c r="J1019" s="5">
        <f>IFERROR(VLOOKUP(C1019,Sheet2!$M$4:$N$12,2,0),0)</f>
        <v>4000</v>
      </c>
      <c r="K1019" s="5" t="str">
        <f t="shared" si="15"/>
        <v>over budget</v>
      </c>
    </row>
    <row r="1020" spans="1:11" x14ac:dyDescent="0.3">
      <c r="A1020" s="6">
        <v>45474</v>
      </c>
      <c r="B1020" s="5" t="s">
        <v>21</v>
      </c>
      <c r="C1020" s="5" t="s">
        <v>13</v>
      </c>
      <c r="D1020" s="5" t="s">
        <v>34</v>
      </c>
      <c r="E1020" s="5" t="s">
        <v>12</v>
      </c>
      <c r="F1020" s="5">
        <v>1894</v>
      </c>
      <c r="G1020" s="5" t="str">
        <f>VLOOKUP(C1020,Sheet2!$C$3:$D$12,2,0)</f>
        <v>Variable</v>
      </c>
      <c r="H1020" s="5" t="str">
        <f>IFERROR(VLOOKUP(E1020,Sheet2!$G$3:$H$8,2,0),"unkwon")</f>
        <v>online</v>
      </c>
      <c r="I1020" s="5">
        <f>VLOOKUP(B1020,Sheet2!$J$4:$K$15,2,0)</f>
        <v>7</v>
      </c>
      <c r="J1020" s="5">
        <f>IFERROR(VLOOKUP(C1020,Sheet2!$M$4:$N$12,2,0),0)</f>
        <v>5000</v>
      </c>
      <c r="K1020" s="5" t="str">
        <f t="shared" si="15"/>
        <v>within budget</v>
      </c>
    </row>
    <row r="1021" spans="1:11" x14ac:dyDescent="0.3">
      <c r="A1021" s="6">
        <v>45134</v>
      </c>
      <c r="B1021" s="5" t="s">
        <v>21</v>
      </c>
      <c r="C1021" s="5" t="s">
        <v>13</v>
      </c>
      <c r="D1021" s="5" t="s">
        <v>11</v>
      </c>
      <c r="E1021" s="5" t="s">
        <v>17</v>
      </c>
      <c r="F1021" s="5">
        <v>602</v>
      </c>
      <c r="G1021" s="5" t="str">
        <f>VLOOKUP(C1021,Sheet2!$C$3:$D$12,2,0)</f>
        <v>Variable</v>
      </c>
      <c r="H1021" s="5" t="str">
        <f>IFERROR(VLOOKUP(E1021,Sheet2!$G$3:$H$8,2,0),"unkwon")</f>
        <v>online</v>
      </c>
      <c r="I1021" s="5">
        <f>VLOOKUP(B1021,Sheet2!$J$4:$K$15,2,0)</f>
        <v>7</v>
      </c>
      <c r="J1021" s="5">
        <f>IFERROR(VLOOKUP(C1021,Sheet2!$M$4:$N$12,2,0),0)</f>
        <v>5000</v>
      </c>
      <c r="K1021" s="5" t="str">
        <f t="shared" si="15"/>
        <v>within budget</v>
      </c>
    </row>
    <row r="1022" spans="1:11" x14ac:dyDescent="0.3">
      <c r="A1022" s="6">
        <v>45542</v>
      </c>
      <c r="B1022" s="5" t="s">
        <v>38</v>
      </c>
      <c r="C1022" s="5" t="s">
        <v>36</v>
      </c>
      <c r="D1022" s="5" t="s">
        <v>34</v>
      </c>
      <c r="E1022" s="5" t="s">
        <v>12</v>
      </c>
      <c r="F1022" s="5">
        <v>3833</v>
      </c>
      <c r="G1022" s="5" t="str">
        <f>VLOOKUP(C1022,Sheet2!$C$3:$D$12,2,0)</f>
        <v>Variable</v>
      </c>
      <c r="H1022" s="5" t="str">
        <f>IFERROR(VLOOKUP(E1022,Sheet2!$G$3:$H$8,2,0),"unkwon")</f>
        <v>online</v>
      </c>
      <c r="I1022" s="5">
        <f>VLOOKUP(B1022,Sheet2!$J$4:$K$15,2,0)</f>
        <v>9</v>
      </c>
      <c r="J1022" s="5">
        <f>IFERROR(VLOOKUP(C1022,Sheet2!$M$4:$N$12,2,0),0)</f>
        <v>10000</v>
      </c>
      <c r="K1022" s="5" t="str">
        <f t="shared" si="15"/>
        <v>within budget</v>
      </c>
    </row>
    <row r="1023" spans="1:11" x14ac:dyDescent="0.3">
      <c r="A1023" s="6">
        <v>45435</v>
      </c>
      <c r="B1023" s="5" t="s">
        <v>28</v>
      </c>
      <c r="C1023" s="5" t="s">
        <v>41</v>
      </c>
      <c r="D1023" s="5" t="s">
        <v>18</v>
      </c>
      <c r="E1023" s="5" t="s">
        <v>15</v>
      </c>
      <c r="F1023" s="5">
        <v>1818</v>
      </c>
      <c r="G1023" s="5" t="str">
        <f>VLOOKUP(C1023,Sheet2!$C$3:$D$12,2,0)</f>
        <v>Variable</v>
      </c>
      <c r="H1023" s="5" t="str">
        <f>IFERROR(VLOOKUP(E1023,Sheet2!$G$3:$H$8,2,0),"unkwon")</f>
        <v>online</v>
      </c>
      <c r="I1023" s="5">
        <f>VLOOKUP(B1023,Sheet2!$J$4:$K$15,2,0)</f>
        <v>5</v>
      </c>
      <c r="J1023" s="5">
        <f>IFERROR(VLOOKUP(C1023,Sheet2!$M$4:$N$12,2,0),0)</f>
        <v>7000</v>
      </c>
      <c r="K1023" s="5" t="str">
        <f t="shared" si="15"/>
        <v>within budget</v>
      </c>
    </row>
    <row r="1024" spans="1:11" x14ac:dyDescent="0.3">
      <c r="A1024" s="6">
        <v>45385</v>
      </c>
      <c r="B1024" s="5" t="s">
        <v>29</v>
      </c>
      <c r="C1024" s="5" t="s">
        <v>27</v>
      </c>
      <c r="D1024" s="5" t="s">
        <v>20</v>
      </c>
      <c r="E1024" s="5" t="s">
        <v>17</v>
      </c>
      <c r="F1024" s="5">
        <v>1246</v>
      </c>
      <c r="G1024" s="5" t="str">
        <f>VLOOKUP(C1024,Sheet2!$C$3:$D$12,2,0)</f>
        <v>Variable</v>
      </c>
      <c r="H1024" s="5" t="str">
        <f>IFERROR(VLOOKUP(E1024,Sheet2!$G$3:$H$8,2,0),"unkwon")</f>
        <v>online</v>
      </c>
      <c r="I1024" s="5">
        <f>VLOOKUP(B1024,Sheet2!$J$4:$K$15,2,0)</f>
        <v>4</v>
      </c>
      <c r="J1024" s="5">
        <f>IFERROR(VLOOKUP(C1024,Sheet2!$M$4:$N$12,2,0),0)</f>
        <v>4000</v>
      </c>
      <c r="K1024" s="5" t="str">
        <f t="shared" si="15"/>
        <v>within budget</v>
      </c>
    </row>
    <row r="1025" spans="1:11" x14ac:dyDescent="0.3">
      <c r="A1025" s="6">
        <v>45477</v>
      </c>
      <c r="B1025" s="5" t="s">
        <v>21</v>
      </c>
      <c r="C1025" s="5" t="s">
        <v>10</v>
      </c>
      <c r="D1025" s="5" t="s">
        <v>18</v>
      </c>
      <c r="E1025" s="5" t="s">
        <v>17</v>
      </c>
      <c r="F1025" s="5">
        <v>1153</v>
      </c>
      <c r="G1025" s="5" t="str">
        <f>VLOOKUP(C1025,Sheet2!$C$3:$D$12,2,0)</f>
        <v>Variable</v>
      </c>
      <c r="H1025" s="5" t="str">
        <f>IFERROR(VLOOKUP(E1025,Sheet2!$G$3:$H$8,2,0),"unkwon")</f>
        <v>online</v>
      </c>
      <c r="I1025" s="5">
        <f>VLOOKUP(B1025,Sheet2!$J$4:$K$15,2,0)</f>
        <v>7</v>
      </c>
      <c r="J1025" s="5">
        <f>IFERROR(VLOOKUP(C1025,Sheet2!$M$4:$N$12,2,0),0)</f>
        <v>5000</v>
      </c>
      <c r="K1025" s="5" t="str">
        <f t="shared" si="15"/>
        <v>within budget</v>
      </c>
    </row>
    <row r="1026" spans="1:11" x14ac:dyDescent="0.3">
      <c r="A1026" s="6">
        <v>45605</v>
      </c>
      <c r="B1026" s="5" t="s">
        <v>40</v>
      </c>
      <c r="C1026" s="5" t="s">
        <v>22</v>
      </c>
      <c r="D1026" s="5" t="s">
        <v>34</v>
      </c>
      <c r="E1026" s="5" t="s">
        <v>9</v>
      </c>
      <c r="F1026" s="5">
        <v>1327</v>
      </c>
      <c r="G1026" s="5" t="str">
        <f>VLOOKUP(C1026,Sheet2!$C$3:$D$12,2,0)</f>
        <v>Variable</v>
      </c>
      <c r="H1026" s="5" t="str">
        <f>IFERROR(VLOOKUP(E1026,Sheet2!$G$3:$H$8,2,0),"unkwon")</f>
        <v>online</v>
      </c>
      <c r="I1026" s="5">
        <f>VLOOKUP(B1026,Sheet2!$J$4:$K$15,2,0)</f>
        <v>11</v>
      </c>
      <c r="J1026" s="5">
        <f>IFERROR(VLOOKUP(C1026,Sheet2!$M$4:$N$12,2,0),0)</f>
        <v>1000</v>
      </c>
      <c r="K1026" s="5" t="str">
        <f t="shared" si="15"/>
        <v>over budget</v>
      </c>
    </row>
    <row r="1027" spans="1:11" x14ac:dyDescent="0.3">
      <c r="A1027" s="6">
        <v>45002</v>
      </c>
      <c r="B1027" s="5" t="s">
        <v>19</v>
      </c>
      <c r="C1027" s="5" t="s">
        <v>7</v>
      </c>
      <c r="D1027" s="5" t="s">
        <v>24</v>
      </c>
      <c r="E1027" s="5" t="s">
        <v>9</v>
      </c>
      <c r="F1027" s="5">
        <v>467</v>
      </c>
      <c r="G1027" s="5" t="str">
        <f>VLOOKUP(C1027,Sheet2!$C$3:$D$12,2,0)</f>
        <v>Fixed</v>
      </c>
      <c r="H1027" s="5" t="str">
        <f>IFERROR(VLOOKUP(E1027,Sheet2!$G$3:$H$8,2,0),"unkwon")</f>
        <v>online</v>
      </c>
      <c r="I1027" s="5">
        <f>VLOOKUP(B1027,Sheet2!$J$4:$K$15,2,0)</f>
        <v>3</v>
      </c>
      <c r="J1027" s="5">
        <f>IFERROR(VLOOKUP(C1027,Sheet2!$M$4:$N$12,2,0),0)</f>
        <v>2000</v>
      </c>
      <c r="K1027" s="5" t="str">
        <f t="shared" ref="K1027:K1090" si="16">IF(F1027&gt;J1027,"over budget","within budget")</f>
        <v>within budget</v>
      </c>
    </row>
    <row r="1028" spans="1:11" x14ac:dyDescent="0.3">
      <c r="A1028" s="6">
        <v>45451</v>
      </c>
      <c r="B1028" s="5" t="s">
        <v>39</v>
      </c>
      <c r="C1028" s="5" t="s">
        <v>36</v>
      </c>
      <c r="D1028" s="5" t="s">
        <v>14</v>
      </c>
      <c r="E1028" s="5" t="s">
        <v>15</v>
      </c>
      <c r="F1028" s="5">
        <v>3331</v>
      </c>
      <c r="G1028" s="5" t="str">
        <f>VLOOKUP(C1028,Sheet2!$C$3:$D$12,2,0)</f>
        <v>Variable</v>
      </c>
      <c r="H1028" s="5" t="str">
        <f>IFERROR(VLOOKUP(E1028,Sheet2!$G$3:$H$8,2,0),"unkwon")</f>
        <v>online</v>
      </c>
      <c r="I1028" s="5">
        <f>VLOOKUP(B1028,Sheet2!$J$4:$K$15,2,0)</f>
        <v>6</v>
      </c>
      <c r="J1028" s="5">
        <f>IFERROR(VLOOKUP(C1028,Sheet2!$M$4:$N$12,2,0),0)</f>
        <v>10000</v>
      </c>
      <c r="K1028" s="5" t="str">
        <f t="shared" si="16"/>
        <v>within budget</v>
      </c>
    </row>
    <row r="1029" spans="1:11" x14ac:dyDescent="0.3">
      <c r="A1029" s="6">
        <v>45575</v>
      </c>
      <c r="B1029" s="5" t="s">
        <v>6</v>
      </c>
      <c r="C1029" s="5" t="s">
        <v>10</v>
      </c>
      <c r="D1029" s="5" t="s">
        <v>18</v>
      </c>
      <c r="E1029" s="5" t="s">
        <v>15</v>
      </c>
      <c r="F1029" s="5">
        <v>360</v>
      </c>
      <c r="G1029" s="5" t="str">
        <f>VLOOKUP(C1029,Sheet2!$C$3:$D$12,2,0)</f>
        <v>Variable</v>
      </c>
      <c r="H1029" s="5" t="str">
        <f>IFERROR(VLOOKUP(E1029,Sheet2!$G$3:$H$8,2,0),"unkwon")</f>
        <v>online</v>
      </c>
      <c r="I1029" s="5">
        <f>VLOOKUP(B1029,Sheet2!$J$4:$K$15,2,0)</f>
        <v>10</v>
      </c>
      <c r="J1029" s="5">
        <f>IFERROR(VLOOKUP(C1029,Sheet2!$M$4:$N$12,2,0),0)</f>
        <v>5000</v>
      </c>
      <c r="K1029" s="5" t="str">
        <f t="shared" si="16"/>
        <v>within budget</v>
      </c>
    </row>
    <row r="1030" spans="1:11" x14ac:dyDescent="0.3">
      <c r="A1030" s="6">
        <v>45628</v>
      </c>
      <c r="B1030" s="5" t="s">
        <v>16</v>
      </c>
      <c r="C1030" s="5" t="s">
        <v>13</v>
      </c>
      <c r="D1030" s="5" t="s">
        <v>18</v>
      </c>
      <c r="E1030" s="5" t="s">
        <v>15</v>
      </c>
      <c r="F1030" s="5">
        <v>603</v>
      </c>
      <c r="G1030" s="5" t="str">
        <f>VLOOKUP(C1030,Sheet2!$C$3:$D$12,2,0)</f>
        <v>Variable</v>
      </c>
      <c r="H1030" s="5" t="str">
        <f>IFERROR(VLOOKUP(E1030,Sheet2!$G$3:$H$8,2,0),"unkwon")</f>
        <v>online</v>
      </c>
      <c r="I1030" s="5">
        <f>VLOOKUP(B1030,Sheet2!$J$4:$K$15,2,0)</f>
        <v>12</v>
      </c>
      <c r="J1030" s="5">
        <f>IFERROR(VLOOKUP(C1030,Sheet2!$M$4:$N$12,2,0),0)</f>
        <v>5000</v>
      </c>
      <c r="K1030" s="5" t="str">
        <f t="shared" si="16"/>
        <v>within budget</v>
      </c>
    </row>
    <row r="1031" spans="1:11" x14ac:dyDescent="0.3">
      <c r="A1031" s="6">
        <v>45330</v>
      </c>
      <c r="B1031" s="5" t="s">
        <v>33</v>
      </c>
      <c r="C1031" s="5" t="s">
        <v>22</v>
      </c>
      <c r="D1031" s="5" t="s">
        <v>24</v>
      </c>
      <c r="E1031" s="5" t="s">
        <v>17</v>
      </c>
      <c r="F1031" s="5">
        <v>660</v>
      </c>
      <c r="G1031" s="5" t="str">
        <f>VLOOKUP(C1031,Sheet2!$C$3:$D$12,2,0)</f>
        <v>Variable</v>
      </c>
      <c r="H1031" s="5" t="str">
        <f>IFERROR(VLOOKUP(E1031,Sheet2!$G$3:$H$8,2,0),"unkwon")</f>
        <v>online</v>
      </c>
      <c r="I1031" s="5">
        <f>VLOOKUP(B1031,Sheet2!$J$4:$K$15,2,0)</f>
        <v>2</v>
      </c>
      <c r="J1031" s="5">
        <f>IFERROR(VLOOKUP(C1031,Sheet2!$M$4:$N$12,2,0),0)</f>
        <v>1000</v>
      </c>
      <c r="K1031" s="5" t="str">
        <f t="shared" si="16"/>
        <v>within budget</v>
      </c>
    </row>
    <row r="1032" spans="1:11" x14ac:dyDescent="0.3">
      <c r="A1032" s="6">
        <v>45313</v>
      </c>
      <c r="B1032" s="5" t="s">
        <v>37</v>
      </c>
      <c r="C1032" s="5" t="s">
        <v>27</v>
      </c>
      <c r="D1032" s="5" t="s">
        <v>20</v>
      </c>
      <c r="E1032" s="5" t="s">
        <v>17</v>
      </c>
      <c r="F1032" s="5">
        <v>1575</v>
      </c>
      <c r="G1032" s="5" t="str">
        <f>VLOOKUP(C1032,Sheet2!$C$3:$D$12,2,0)</f>
        <v>Variable</v>
      </c>
      <c r="H1032" s="5" t="str">
        <f>IFERROR(VLOOKUP(E1032,Sheet2!$G$3:$H$8,2,0),"unkwon")</f>
        <v>online</v>
      </c>
      <c r="I1032" s="5">
        <f>VLOOKUP(B1032,Sheet2!$J$4:$K$15,2,0)</f>
        <v>1</v>
      </c>
      <c r="J1032" s="5">
        <f>IFERROR(VLOOKUP(C1032,Sheet2!$M$4:$N$12,2,0),0)</f>
        <v>4000</v>
      </c>
      <c r="K1032" s="5" t="str">
        <f t="shared" si="16"/>
        <v>within budget</v>
      </c>
    </row>
    <row r="1033" spans="1:11" x14ac:dyDescent="0.3">
      <c r="A1033" s="6">
        <v>45280</v>
      </c>
      <c r="B1033" s="5" t="s">
        <v>16</v>
      </c>
      <c r="C1033" s="5" t="s">
        <v>35</v>
      </c>
      <c r="D1033" s="5" t="s">
        <v>31</v>
      </c>
      <c r="E1033" s="5" t="s">
        <v>17</v>
      </c>
      <c r="F1033" s="5">
        <v>1960</v>
      </c>
      <c r="G1033" s="5" t="str">
        <f>VLOOKUP(C1033,Sheet2!$C$3:$D$12,2,0)</f>
        <v>Fixed</v>
      </c>
      <c r="H1033" s="5" t="str">
        <f>IFERROR(VLOOKUP(E1033,Sheet2!$G$3:$H$8,2,0),"unkwon")</f>
        <v>online</v>
      </c>
      <c r="I1033" s="5">
        <f>VLOOKUP(B1033,Sheet2!$J$4:$K$15,2,0)</f>
        <v>12</v>
      </c>
      <c r="J1033" s="5">
        <f>IFERROR(VLOOKUP(C1033,Sheet2!$M$4:$N$12,2,0),0)</f>
        <v>5500</v>
      </c>
      <c r="K1033" s="5" t="str">
        <f t="shared" si="16"/>
        <v>within budget</v>
      </c>
    </row>
    <row r="1034" spans="1:11" x14ac:dyDescent="0.3">
      <c r="A1034" s="6">
        <v>45390</v>
      </c>
      <c r="B1034" s="5" t="s">
        <v>29</v>
      </c>
      <c r="C1034" s="5" t="s">
        <v>30</v>
      </c>
      <c r="D1034" s="5" t="s">
        <v>11</v>
      </c>
      <c r="E1034" s="5" t="s">
        <v>12</v>
      </c>
      <c r="F1034" s="5">
        <v>4757</v>
      </c>
      <c r="G1034" s="5" t="str">
        <f>VLOOKUP(C1034,Sheet2!$C$3:$D$12,2,0)</f>
        <v>Fixed</v>
      </c>
      <c r="H1034" s="5" t="str">
        <f>IFERROR(VLOOKUP(E1034,Sheet2!$G$3:$H$8,2,0),"unkwon")</f>
        <v>online</v>
      </c>
      <c r="I1034" s="5">
        <f>VLOOKUP(B1034,Sheet2!$J$4:$K$15,2,0)</f>
        <v>4</v>
      </c>
      <c r="J1034" s="5">
        <f>IFERROR(VLOOKUP(C1034,Sheet2!$M$4:$N$12,2,0),0)</f>
        <v>3000</v>
      </c>
      <c r="K1034" s="5" t="str">
        <f t="shared" si="16"/>
        <v>over budget</v>
      </c>
    </row>
    <row r="1035" spans="1:11" x14ac:dyDescent="0.3">
      <c r="A1035" s="6">
        <v>45051</v>
      </c>
      <c r="B1035" s="5" t="s">
        <v>28</v>
      </c>
      <c r="C1035" s="5" t="s">
        <v>22</v>
      </c>
      <c r="D1035" s="5" t="s">
        <v>18</v>
      </c>
      <c r="E1035" s="5" t="s">
        <v>15</v>
      </c>
      <c r="F1035" s="5">
        <v>3553</v>
      </c>
      <c r="G1035" s="5" t="str">
        <f>VLOOKUP(C1035,Sheet2!$C$3:$D$12,2,0)</f>
        <v>Variable</v>
      </c>
      <c r="H1035" s="5" t="str">
        <f>IFERROR(VLOOKUP(E1035,Sheet2!$G$3:$H$8,2,0),"unkwon")</f>
        <v>online</v>
      </c>
      <c r="I1035" s="5">
        <f>VLOOKUP(B1035,Sheet2!$J$4:$K$15,2,0)</f>
        <v>5</v>
      </c>
      <c r="J1035" s="5">
        <f>IFERROR(VLOOKUP(C1035,Sheet2!$M$4:$N$12,2,0),0)</f>
        <v>1000</v>
      </c>
      <c r="K1035" s="5" t="str">
        <f t="shared" si="16"/>
        <v>over budget</v>
      </c>
    </row>
    <row r="1036" spans="1:11" x14ac:dyDescent="0.3">
      <c r="A1036" s="6">
        <v>45363</v>
      </c>
      <c r="B1036" s="5" t="s">
        <v>19</v>
      </c>
      <c r="C1036" s="5" t="s">
        <v>22</v>
      </c>
      <c r="D1036" s="5" t="s">
        <v>8</v>
      </c>
      <c r="E1036" s="5" t="s">
        <v>9</v>
      </c>
      <c r="F1036" s="5">
        <v>2191</v>
      </c>
      <c r="G1036" s="5" t="str">
        <f>VLOOKUP(C1036,Sheet2!$C$3:$D$12,2,0)</f>
        <v>Variable</v>
      </c>
      <c r="H1036" s="5" t="str">
        <f>IFERROR(VLOOKUP(E1036,Sheet2!$G$3:$H$8,2,0),"unkwon")</f>
        <v>online</v>
      </c>
      <c r="I1036" s="5">
        <f>VLOOKUP(B1036,Sheet2!$J$4:$K$15,2,0)</f>
        <v>3</v>
      </c>
      <c r="J1036" s="5">
        <f>IFERROR(VLOOKUP(C1036,Sheet2!$M$4:$N$12,2,0),0)</f>
        <v>1000</v>
      </c>
      <c r="K1036" s="5" t="str">
        <f t="shared" si="16"/>
        <v>over budget</v>
      </c>
    </row>
    <row r="1037" spans="1:11" x14ac:dyDescent="0.3">
      <c r="A1037" s="6">
        <v>45500</v>
      </c>
      <c r="B1037" s="5" t="s">
        <v>21</v>
      </c>
      <c r="C1037" s="5" t="s">
        <v>7</v>
      </c>
      <c r="D1037" s="5" t="s">
        <v>23</v>
      </c>
      <c r="E1037" s="5" t="s">
        <v>17</v>
      </c>
      <c r="F1037" s="5">
        <v>3950</v>
      </c>
      <c r="G1037" s="5" t="str">
        <f>VLOOKUP(C1037,Sheet2!$C$3:$D$12,2,0)</f>
        <v>Fixed</v>
      </c>
      <c r="H1037" s="5" t="str">
        <f>IFERROR(VLOOKUP(E1037,Sheet2!$G$3:$H$8,2,0),"unkwon")</f>
        <v>online</v>
      </c>
      <c r="I1037" s="5">
        <f>VLOOKUP(B1037,Sheet2!$J$4:$K$15,2,0)</f>
        <v>7</v>
      </c>
      <c r="J1037" s="5">
        <f>IFERROR(VLOOKUP(C1037,Sheet2!$M$4:$N$12,2,0),0)</f>
        <v>2000</v>
      </c>
      <c r="K1037" s="5" t="str">
        <f t="shared" si="16"/>
        <v>over budget</v>
      </c>
    </row>
    <row r="1038" spans="1:11" x14ac:dyDescent="0.3">
      <c r="A1038" s="6">
        <v>45389</v>
      </c>
      <c r="B1038" s="5" t="s">
        <v>29</v>
      </c>
      <c r="C1038" s="5" t="s">
        <v>27</v>
      </c>
      <c r="D1038" s="5" t="s">
        <v>34</v>
      </c>
      <c r="E1038" s="5" t="s">
        <v>15</v>
      </c>
      <c r="F1038" s="5">
        <v>1935</v>
      </c>
      <c r="G1038" s="5" t="str">
        <f>VLOOKUP(C1038,Sheet2!$C$3:$D$12,2,0)</f>
        <v>Variable</v>
      </c>
      <c r="H1038" s="5" t="str">
        <f>IFERROR(VLOOKUP(E1038,Sheet2!$G$3:$H$8,2,0),"unkwon")</f>
        <v>online</v>
      </c>
      <c r="I1038" s="5">
        <f>VLOOKUP(B1038,Sheet2!$J$4:$K$15,2,0)</f>
        <v>4</v>
      </c>
      <c r="J1038" s="5">
        <f>IFERROR(VLOOKUP(C1038,Sheet2!$M$4:$N$12,2,0),0)</f>
        <v>4000</v>
      </c>
      <c r="K1038" s="5" t="str">
        <f t="shared" si="16"/>
        <v>within budget</v>
      </c>
    </row>
    <row r="1039" spans="1:11" x14ac:dyDescent="0.3">
      <c r="A1039" s="6">
        <v>45455</v>
      </c>
      <c r="B1039" s="5" t="s">
        <v>39</v>
      </c>
      <c r="C1039" s="5" t="s">
        <v>22</v>
      </c>
      <c r="D1039" s="5" t="s">
        <v>26</v>
      </c>
      <c r="E1039" s="5" t="s">
        <v>17</v>
      </c>
      <c r="F1039" s="5">
        <v>2110</v>
      </c>
      <c r="G1039" s="5" t="str">
        <f>VLOOKUP(C1039,Sheet2!$C$3:$D$12,2,0)</f>
        <v>Variable</v>
      </c>
      <c r="H1039" s="5" t="str">
        <f>IFERROR(VLOOKUP(E1039,Sheet2!$G$3:$H$8,2,0),"unkwon")</f>
        <v>online</v>
      </c>
      <c r="I1039" s="5">
        <f>VLOOKUP(B1039,Sheet2!$J$4:$K$15,2,0)</f>
        <v>6</v>
      </c>
      <c r="J1039" s="5">
        <f>IFERROR(VLOOKUP(C1039,Sheet2!$M$4:$N$12,2,0),0)</f>
        <v>1000</v>
      </c>
      <c r="K1039" s="5" t="str">
        <f t="shared" si="16"/>
        <v>over budget</v>
      </c>
    </row>
    <row r="1040" spans="1:11" x14ac:dyDescent="0.3">
      <c r="A1040" s="6">
        <v>45642</v>
      </c>
      <c r="B1040" s="5" t="s">
        <v>16</v>
      </c>
      <c r="C1040" s="5" t="s">
        <v>36</v>
      </c>
      <c r="D1040" s="5" t="s">
        <v>23</v>
      </c>
      <c r="E1040" s="5" t="s">
        <v>9</v>
      </c>
      <c r="F1040" s="5">
        <v>2108</v>
      </c>
      <c r="G1040" s="5" t="str">
        <f>VLOOKUP(C1040,Sheet2!$C$3:$D$12,2,0)</f>
        <v>Variable</v>
      </c>
      <c r="H1040" s="5" t="str">
        <f>IFERROR(VLOOKUP(E1040,Sheet2!$G$3:$H$8,2,0),"unkwon")</f>
        <v>online</v>
      </c>
      <c r="I1040" s="5">
        <f>VLOOKUP(B1040,Sheet2!$J$4:$K$15,2,0)</f>
        <v>12</v>
      </c>
      <c r="J1040" s="5">
        <f>IFERROR(VLOOKUP(C1040,Sheet2!$M$4:$N$12,2,0),0)</f>
        <v>10000</v>
      </c>
      <c r="K1040" s="5" t="str">
        <f t="shared" si="16"/>
        <v>within budget</v>
      </c>
    </row>
    <row r="1041" spans="1:11" x14ac:dyDescent="0.3">
      <c r="A1041" s="6">
        <v>45318</v>
      </c>
      <c r="B1041" s="5" t="s">
        <v>37</v>
      </c>
      <c r="C1041" s="5" t="s">
        <v>10</v>
      </c>
      <c r="D1041" s="5" t="s">
        <v>20</v>
      </c>
      <c r="E1041" s="5" t="s">
        <v>17</v>
      </c>
      <c r="F1041" s="5">
        <v>631</v>
      </c>
      <c r="G1041" s="5" t="str">
        <f>VLOOKUP(C1041,Sheet2!$C$3:$D$12,2,0)</f>
        <v>Variable</v>
      </c>
      <c r="H1041" s="5" t="str">
        <f>IFERROR(VLOOKUP(E1041,Sheet2!$G$3:$H$8,2,0),"unkwon")</f>
        <v>online</v>
      </c>
      <c r="I1041" s="5">
        <f>VLOOKUP(B1041,Sheet2!$J$4:$K$15,2,0)</f>
        <v>1</v>
      </c>
      <c r="J1041" s="5">
        <f>IFERROR(VLOOKUP(C1041,Sheet2!$M$4:$N$12,2,0),0)</f>
        <v>5000</v>
      </c>
      <c r="K1041" s="5" t="str">
        <f t="shared" si="16"/>
        <v>within budget</v>
      </c>
    </row>
    <row r="1042" spans="1:11" x14ac:dyDescent="0.3">
      <c r="A1042" s="6">
        <v>44963</v>
      </c>
      <c r="B1042" s="5" t="s">
        <v>33</v>
      </c>
      <c r="C1042" s="5" t="s">
        <v>35</v>
      </c>
      <c r="D1042" s="5" t="s">
        <v>26</v>
      </c>
      <c r="E1042" s="5" t="s">
        <v>17</v>
      </c>
      <c r="F1042" s="5">
        <v>1998</v>
      </c>
      <c r="G1042" s="5" t="str">
        <f>VLOOKUP(C1042,Sheet2!$C$3:$D$12,2,0)</f>
        <v>Fixed</v>
      </c>
      <c r="H1042" s="5" t="str">
        <f>IFERROR(VLOOKUP(E1042,Sheet2!$G$3:$H$8,2,0),"unkwon")</f>
        <v>online</v>
      </c>
      <c r="I1042" s="5">
        <f>VLOOKUP(B1042,Sheet2!$J$4:$K$15,2,0)</f>
        <v>2</v>
      </c>
      <c r="J1042" s="5">
        <f>IFERROR(VLOOKUP(C1042,Sheet2!$M$4:$N$12,2,0),0)</f>
        <v>5500</v>
      </c>
      <c r="K1042" s="5" t="str">
        <f t="shared" si="16"/>
        <v>within budget</v>
      </c>
    </row>
    <row r="1043" spans="1:11" x14ac:dyDescent="0.3">
      <c r="A1043" s="6">
        <v>45229</v>
      </c>
      <c r="B1043" s="5" t="s">
        <v>6</v>
      </c>
      <c r="C1043" s="5" t="s">
        <v>10</v>
      </c>
      <c r="D1043" s="5" t="s">
        <v>14</v>
      </c>
      <c r="E1043" s="5" t="s">
        <v>15</v>
      </c>
      <c r="F1043" s="5">
        <v>4130</v>
      </c>
      <c r="G1043" s="5" t="str">
        <f>VLOOKUP(C1043,Sheet2!$C$3:$D$12,2,0)</f>
        <v>Variable</v>
      </c>
      <c r="H1043" s="5" t="str">
        <f>IFERROR(VLOOKUP(E1043,Sheet2!$G$3:$H$8,2,0),"unkwon")</f>
        <v>online</v>
      </c>
      <c r="I1043" s="5">
        <f>VLOOKUP(B1043,Sheet2!$J$4:$K$15,2,0)</f>
        <v>10</v>
      </c>
      <c r="J1043" s="5">
        <f>IFERROR(VLOOKUP(C1043,Sheet2!$M$4:$N$12,2,0),0)</f>
        <v>5000</v>
      </c>
      <c r="K1043" s="5" t="str">
        <f t="shared" si="16"/>
        <v>within budget</v>
      </c>
    </row>
    <row r="1044" spans="1:11" x14ac:dyDescent="0.3">
      <c r="A1044" s="6">
        <v>45333</v>
      </c>
      <c r="B1044" s="5" t="s">
        <v>33</v>
      </c>
      <c r="C1044" s="5" t="s">
        <v>36</v>
      </c>
      <c r="D1044" s="5" t="s">
        <v>23</v>
      </c>
      <c r="E1044" s="5" t="s">
        <v>12</v>
      </c>
      <c r="F1044" s="5">
        <v>3846</v>
      </c>
      <c r="G1044" s="5" t="str">
        <f>VLOOKUP(C1044,Sheet2!$C$3:$D$12,2,0)</f>
        <v>Variable</v>
      </c>
      <c r="H1044" s="5" t="str">
        <f>IFERROR(VLOOKUP(E1044,Sheet2!$G$3:$H$8,2,0),"unkwon")</f>
        <v>online</v>
      </c>
      <c r="I1044" s="5">
        <f>VLOOKUP(B1044,Sheet2!$J$4:$K$15,2,0)</f>
        <v>2</v>
      </c>
      <c r="J1044" s="5">
        <f>IFERROR(VLOOKUP(C1044,Sheet2!$M$4:$N$12,2,0),0)</f>
        <v>10000</v>
      </c>
      <c r="K1044" s="5" t="str">
        <f t="shared" si="16"/>
        <v>within budget</v>
      </c>
    </row>
    <row r="1045" spans="1:11" x14ac:dyDescent="0.3">
      <c r="A1045" s="6">
        <v>45356</v>
      </c>
      <c r="B1045" s="5" t="s">
        <v>19</v>
      </c>
      <c r="C1045" s="5" t="s">
        <v>7</v>
      </c>
      <c r="D1045" s="5" t="s">
        <v>26</v>
      </c>
      <c r="E1045" s="5" t="s">
        <v>32</v>
      </c>
      <c r="F1045" s="5">
        <v>3998</v>
      </c>
      <c r="G1045" s="5" t="str">
        <f>VLOOKUP(C1045,Sheet2!$C$3:$D$12,2,0)</f>
        <v>Fixed</v>
      </c>
      <c r="H1045" s="5" t="str">
        <f>IFERROR(VLOOKUP(E1045,Sheet2!$G$3:$H$8,2,0),"unkwon")</f>
        <v>offline</v>
      </c>
      <c r="I1045" s="5">
        <f>VLOOKUP(B1045,Sheet2!$J$4:$K$15,2,0)</f>
        <v>3</v>
      </c>
      <c r="J1045" s="5">
        <f>IFERROR(VLOOKUP(C1045,Sheet2!$M$4:$N$12,2,0),0)</f>
        <v>2000</v>
      </c>
      <c r="K1045" s="5" t="str">
        <f t="shared" si="16"/>
        <v>over budget</v>
      </c>
    </row>
    <row r="1046" spans="1:11" x14ac:dyDescent="0.3">
      <c r="A1046" s="6">
        <v>45127</v>
      </c>
      <c r="B1046" s="5" t="s">
        <v>21</v>
      </c>
      <c r="C1046" s="5" t="s">
        <v>30</v>
      </c>
      <c r="D1046" s="5" t="s">
        <v>31</v>
      </c>
      <c r="E1046" s="5" t="s">
        <v>32</v>
      </c>
      <c r="F1046" s="5">
        <v>3761</v>
      </c>
      <c r="G1046" s="5" t="str">
        <f>VLOOKUP(C1046,Sheet2!$C$3:$D$12,2,0)</f>
        <v>Fixed</v>
      </c>
      <c r="H1046" s="5" t="str">
        <f>IFERROR(VLOOKUP(E1046,Sheet2!$G$3:$H$8,2,0),"unkwon")</f>
        <v>offline</v>
      </c>
      <c r="I1046" s="5">
        <f>VLOOKUP(B1046,Sheet2!$J$4:$K$15,2,0)</f>
        <v>7</v>
      </c>
      <c r="J1046" s="5">
        <f>IFERROR(VLOOKUP(C1046,Sheet2!$M$4:$N$12,2,0),0)</f>
        <v>3000</v>
      </c>
      <c r="K1046" s="5" t="str">
        <f t="shared" si="16"/>
        <v>over budget</v>
      </c>
    </row>
    <row r="1047" spans="1:11" x14ac:dyDescent="0.3">
      <c r="A1047" s="6">
        <v>45226</v>
      </c>
      <c r="B1047" s="5" t="s">
        <v>6</v>
      </c>
      <c r="C1047" s="5" t="s">
        <v>10</v>
      </c>
      <c r="D1047" s="5" t="s">
        <v>26</v>
      </c>
      <c r="E1047" s="5" t="s">
        <v>12</v>
      </c>
      <c r="F1047" s="5">
        <v>583</v>
      </c>
      <c r="G1047" s="5" t="str">
        <f>VLOOKUP(C1047,Sheet2!$C$3:$D$12,2,0)</f>
        <v>Variable</v>
      </c>
      <c r="H1047" s="5" t="str">
        <f>IFERROR(VLOOKUP(E1047,Sheet2!$G$3:$H$8,2,0),"unkwon")</f>
        <v>online</v>
      </c>
      <c r="I1047" s="5">
        <f>VLOOKUP(B1047,Sheet2!$J$4:$K$15,2,0)</f>
        <v>10</v>
      </c>
      <c r="J1047" s="5">
        <f>IFERROR(VLOOKUP(C1047,Sheet2!$M$4:$N$12,2,0),0)</f>
        <v>5000</v>
      </c>
      <c r="K1047" s="5" t="str">
        <f t="shared" si="16"/>
        <v>within budget</v>
      </c>
    </row>
    <row r="1048" spans="1:11" x14ac:dyDescent="0.3">
      <c r="A1048" s="6">
        <v>45637</v>
      </c>
      <c r="B1048" s="5" t="s">
        <v>16</v>
      </c>
      <c r="C1048" s="5" t="s">
        <v>10</v>
      </c>
      <c r="D1048" s="5" t="s">
        <v>24</v>
      </c>
      <c r="E1048" s="5" t="s">
        <v>17</v>
      </c>
      <c r="F1048" s="5">
        <v>1120</v>
      </c>
      <c r="G1048" s="5" t="str">
        <f>VLOOKUP(C1048,Sheet2!$C$3:$D$12,2,0)</f>
        <v>Variable</v>
      </c>
      <c r="H1048" s="5" t="str">
        <f>IFERROR(VLOOKUP(E1048,Sheet2!$G$3:$H$8,2,0),"unkwon")</f>
        <v>online</v>
      </c>
      <c r="I1048" s="5">
        <f>VLOOKUP(B1048,Sheet2!$J$4:$K$15,2,0)</f>
        <v>12</v>
      </c>
      <c r="J1048" s="5">
        <f>IFERROR(VLOOKUP(C1048,Sheet2!$M$4:$N$12,2,0),0)</f>
        <v>5000</v>
      </c>
      <c r="K1048" s="5" t="str">
        <f t="shared" si="16"/>
        <v>within budget</v>
      </c>
    </row>
    <row r="1049" spans="1:11" x14ac:dyDescent="0.3">
      <c r="A1049" s="6">
        <v>45001</v>
      </c>
      <c r="B1049" s="5" t="s">
        <v>19</v>
      </c>
      <c r="C1049" s="5" t="s">
        <v>22</v>
      </c>
      <c r="D1049" s="5" t="s">
        <v>8</v>
      </c>
      <c r="E1049" s="5" t="s">
        <v>12</v>
      </c>
      <c r="F1049" s="5">
        <v>2112</v>
      </c>
      <c r="G1049" s="5" t="str">
        <f>VLOOKUP(C1049,Sheet2!$C$3:$D$12,2,0)</f>
        <v>Variable</v>
      </c>
      <c r="H1049" s="5" t="str">
        <f>IFERROR(VLOOKUP(E1049,Sheet2!$G$3:$H$8,2,0),"unkwon")</f>
        <v>online</v>
      </c>
      <c r="I1049" s="5">
        <f>VLOOKUP(B1049,Sheet2!$J$4:$K$15,2,0)</f>
        <v>3</v>
      </c>
      <c r="J1049" s="5">
        <f>IFERROR(VLOOKUP(C1049,Sheet2!$M$4:$N$12,2,0),0)</f>
        <v>1000</v>
      </c>
      <c r="K1049" s="5" t="str">
        <f t="shared" si="16"/>
        <v>over budget</v>
      </c>
    </row>
    <row r="1050" spans="1:11" x14ac:dyDescent="0.3">
      <c r="A1050" s="6">
        <v>45571</v>
      </c>
      <c r="B1050" s="5" t="s">
        <v>6</v>
      </c>
      <c r="C1050" s="5" t="s">
        <v>30</v>
      </c>
      <c r="D1050" s="5" t="s">
        <v>23</v>
      </c>
      <c r="E1050" s="5" t="s">
        <v>17</v>
      </c>
      <c r="F1050" s="5">
        <v>3671</v>
      </c>
      <c r="G1050" s="5" t="str">
        <f>VLOOKUP(C1050,Sheet2!$C$3:$D$12,2,0)</f>
        <v>Fixed</v>
      </c>
      <c r="H1050" s="5" t="str">
        <f>IFERROR(VLOOKUP(E1050,Sheet2!$G$3:$H$8,2,0),"unkwon")</f>
        <v>online</v>
      </c>
      <c r="I1050" s="5">
        <f>VLOOKUP(B1050,Sheet2!$J$4:$K$15,2,0)</f>
        <v>10</v>
      </c>
      <c r="J1050" s="5">
        <f>IFERROR(VLOOKUP(C1050,Sheet2!$M$4:$N$12,2,0),0)</f>
        <v>3000</v>
      </c>
      <c r="K1050" s="5" t="str">
        <f t="shared" si="16"/>
        <v>over budget</v>
      </c>
    </row>
    <row r="1051" spans="1:11" x14ac:dyDescent="0.3">
      <c r="A1051" s="6">
        <v>45298</v>
      </c>
      <c r="B1051" s="5" t="s">
        <v>37</v>
      </c>
      <c r="C1051" s="5" t="s">
        <v>27</v>
      </c>
      <c r="D1051" s="5" t="s">
        <v>24</v>
      </c>
      <c r="E1051" s="5" t="s">
        <v>9</v>
      </c>
      <c r="F1051" s="5">
        <v>2923</v>
      </c>
      <c r="G1051" s="5" t="str">
        <f>VLOOKUP(C1051,Sheet2!$C$3:$D$12,2,0)</f>
        <v>Variable</v>
      </c>
      <c r="H1051" s="5" t="str">
        <f>IFERROR(VLOOKUP(E1051,Sheet2!$G$3:$H$8,2,0),"unkwon")</f>
        <v>online</v>
      </c>
      <c r="I1051" s="5">
        <f>VLOOKUP(B1051,Sheet2!$J$4:$K$15,2,0)</f>
        <v>1</v>
      </c>
      <c r="J1051" s="5">
        <f>IFERROR(VLOOKUP(C1051,Sheet2!$M$4:$N$12,2,0),0)</f>
        <v>4000</v>
      </c>
      <c r="K1051" s="5" t="str">
        <f t="shared" si="16"/>
        <v>within budget</v>
      </c>
    </row>
    <row r="1052" spans="1:11" x14ac:dyDescent="0.3">
      <c r="A1052" s="6">
        <v>45178</v>
      </c>
      <c r="B1052" s="5" t="s">
        <v>38</v>
      </c>
      <c r="C1052" s="5" t="s">
        <v>35</v>
      </c>
      <c r="D1052" s="5" t="s">
        <v>8</v>
      </c>
      <c r="E1052" s="5" t="s">
        <v>9</v>
      </c>
      <c r="F1052" s="5">
        <v>3375</v>
      </c>
      <c r="G1052" s="5" t="str">
        <f>VLOOKUP(C1052,Sheet2!$C$3:$D$12,2,0)</f>
        <v>Fixed</v>
      </c>
      <c r="H1052" s="5" t="str">
        <f>IFERROR(VLOOKUP(E1052,Sheet2!$G$3:$H$8,2,0),"unkwon")</f>
        <v>online</v>
      </c>
      <c r="I1052" s="5">
        <f>VLOOKUP(B1052,Sheet2!$J$4:$K$15,2,0)</f>
        <v>9</v>
      </c>
      <c r="J1052" s="5">
        <f>IFERROR(VLOOKUP(C1052,Sheet2!$M$4:$N$12,2,0),0)</f>
        <v>5500</v>
      </c>
      <c r="K1052" s="5" t="str">
        <f t="shared" si="16"/>
        <v>within budget</v>
      </c>
    </row>
    <row r="1053" spans="1:11" x14ac:dyDescent="0.3">
      <c r="A1053" s="6">
        <v>44937</v>
      </c>
      <c r="B1053" s="5" t="s">
        <v>37</v>
      </c>
      <c r="C1053" s="5" t="s">
        <v>41</v>
      </c>
      <c r="D1053" s="5" t="s">
        <v>20</v>
      </c>
      <c r="E1053" s="5" t="s">
        <v>9</v>
      </c>
      <c r="F1053" s="5">
        <v>1720</v>
      </c>
      <c r="G1053" s="5" t="str">
        <f>VLOOKUP(C1053,Sheet2!$C$3:$D$12,2,0)</f>
        <v>Variable</v>
      </c>
      <c r="H1053" s="5" t="str">
        <f>IFERROR(VLOOKUP(E1053,Sheet2!$G$3:$H$8,2,0),"unkwon")</f>
        <v>online</v>
      </c>
      <c r="I1053" s="5">
        <f>VLOOKUP(B1053,Sheet2!$J$4:$K$15,2,0)</f>
        <v>1</v>
      </c>
      <c r="J1053" s="5">
        <f>IFERROR(VLOOKUP(C1053,Sheet2!$M$4:$N$12,2,0),0)</f>
        <v>7000</v>
      </c>
      <c r="K1053" s="5" t="str">
        <f t="shared" si="16"/>
        <v>within budget</v>
      </c>
    </row>
    <row r="1054" spans="1:11" x14ac:dyDescent="0.3">
      <c r="A1054" s="6">
        <v>45545</v>
      </c>
      <c r="B1054" s="5" t="s">
        <v>38</v>
      </c>
      <c r="C1054" s="5" t="s">
        <v>41</v>
      </c>
      <c r="D1054" s="5" t="s">
        <v>18</v>
      </c>
      <c r="E1054" s="5" t="s">
        <v>32</v>
      </c>
      <c r="F1054" s="5">
        <v>1376</v>
      </c>
      <c r="G1054" s="5" t="str">
        <f>VLOOKUP(C1054,Sheet2!$C$3:$D$12,2,0)</f>
        <v>Variable</v>
      </c>
      <c r="H1054" s="5" t="str">
        <f>IFERROR(VLOOKUP(E1054,Sheet2!$G$3:$H$8,2,0),"unkwon")</f>
        <v>offline</v>
      </c>
      <c r="I1054" s="5">
        <f>VLOOKUP(B1054,Sheet2!$J$4:$K$15,2,0)</f>
        <v>9</v>
      </c>
      <c r="J1054" s="5">
        <f>IFERROR(VLOOKUP(C1054,Sheet2!$M$4:$N$12,2,0),0)</f>
        <v>7000</v>
      </c>
      <c r="K1054" s="5" t="str">
        <f t="shared" si="16"/>
        <v>within budget</v>
      </c>
    </row>
    <row r="1055" spans="1:11" x14ac:dyDescent="0.3">
      <c r="A1055" s="6">
        <v>44964</v>
      </c>
      <c r="B1055" s="5" t="s">
        <v>33</v>
      </c>
      <c r="C1055" s="5" t="s">
        <v>35</v>
      </c>
      <c r="D1055" s="5" t="s">
        <v>24</v>
      </c>
      <c r="E1055" s="5" t="s">
        <v>17</v>
      </c>
      <c r="F1055" s="5">
        <v>98</v>
      </c>
      <c r="G1055" s="5" t="str">
        <f>VLOOKUP(C1055,Sheet2!$C$3:$D$12,2,0)</f>
        <v>Fixed</v>
      </c>
      <c r="H1055" s="5" t="str">
        <f>IFERROR(VLOOKUP(E1055,Sheet2!$G$3:$H$8,2,0),"unkwon")</f>
        <v>online</v>
      </c>
      <c r="I1055" s="5">
        <f>VLOOKUP(B1055,Sheet2!$J$4:$K$15,2,0)</f>
        <v>2</v>
      </c>
      <c r="J1055" s="5">
        <f>IFERROR(VLOOKUP(C1055,Sheet2!$M$4:$N$12,2,0),0)</f>
        <v>5500</v>
      </c>
      <c r="K1055" s="5" t="str">
        <f t="shared" si="16"/>
        <v>within budget</v>
      </c>
    </row>
    <row r="1056" spans="1:11" x14ac:dyDescent="0.3">
      <c r="A1056" s="6">
        <v>45224</v>
      </c>
      <c r="B1056" s="5" t="s">
        <v>6</v>
      </c>
      <c r="C1056" s="5" t="s">
        <v>10</v>
      </c>
      <c r="D1056" s="5" t="s">
        <v>8</v>
      </c>
      <c r="E1056" s="5" t="s">
        <v>17</v>
      </c>
      <c r="F1056" s="5">
        <v>3650</v>
      </c>
      <c r="G1056" s="5" t="str">
        <f>VLOOKUP(C1056,Sheet2!$C$3:$D$12,2,0)</f>
        <v>Variable</v>
      </c>
      <c r="H1056" s="5" t="str">
        <f>IFERROR(VLOOKUP(E1056,Sheet2!$G$3:$H$8,2,0),"unkwon")</f>
        <v>online</v>
      </c>
      <c r="I1056" s="5">
        <f>VLOOKUP(B1056,Sheet2!$J$4:$K$15,2,0)</f>
        <v>10</v>
      </c>
      <c r="J1056" s="5">
        <f>IFERROR(VLOOKUP(C1056,Sheet2!$M$4:$N$12,2,0),0)</f>
        <v>5000</v>
      </c>
      <c r="K1056" s="5" t="str">
        <f t="shared" si="16"/>
        <v>within budget</v>
      </c>
    </row>
    <row r="1057" spans="1:11" x14ac:dyDescent="0.3">
      <c r="A1057" s="6">
        <v>45108</v>
      </c>
      <c r="B1057" s="5" t="s">
        <v>21</v>
      </c>
      <c r="C1057" s="5" t="s">
        <v>35</v>
      </c>
      <c r="D1057" s="5" t="s">
        <v>18</v>
      </c>
      <c r="E1057" s="5" t="s">
        <v>9</v>
      </c>
      <c r="F1057" s="5">
        <v>963</v>
      </c>
      <c r="G1057" s="5" t="str">
        <f>VLOOKUP(C1057,Sheet2!$C$3:$D$12,2,0)</f>
        <v>Fixed</v>
      </c>
      <c r="H1057" s="5" t="str">
        <f>IFERROR(VLOOKUP(E1057,Sheet2!$G$3:$H$8,2,0),"unkwon")</f>
        <v>online</v>
      </c>
      <c r="I1057" s="5">
        <f>VLOOKUP(B1057,Sheet2!$J$4:$K$15,2,0)</f>
        <v>7</v>
      </c>
      <c r="J1057" s="5">
        <f>IFERROR(VLOOKUP(C1057,Sheet2!$M$4:$N$12,2,0),0)</f>
        <v>5500</v>
      </c>
      <c r="K1057" s="5" t="str">
        <f t="shared" si="16"/>
        <v>within budget</v>
      </c>
    </row>
    <row r="1058" spans="1:11" x14ac:dyDescent="0.3">
      <c r="A1058" s="6">
        <v>45617</v>
      </c>
      <c r="B1058" s="5" t="s">
        <v>40</v>
      </c>
      <c r="C1058" s="5" t="s">
        <v>13</v>
      </c>
      <c r="D1058" s="5" t="s">
        <v>23</v>
      </c>
      <c r="E1058" s="5" t="s">
        <v>12</v>
      </c>
      <c r="F1058" s="5">
        <v>4755</v>
      </c>
      <c r="G1058" s="5" t="str">
        <f>VLOOKUP(C1058,Sheet2!$C$3:$D$12,2,0)</f>
        <v>Variable</v>
      </c>
      <c r="H1058" s="5" t="str">
        <f>IFERROR(VLOOKUP(E1058,Sheet2!$G$3:$H$8,2,0),"unkwon")</f>
        <v>online</v>
      </c>
      <c r="I1058" s="5">
        <f>VLOOKUP(B1058,Sheet2!$J$4:$K$15,2,0)</f>
        <v>11</v>
      </c>
      <c r="J1058" s="5">
        <f>IFERROR(VLOOKUP(C1058,Sheet2!$M$4:$N$12,2,0),0)</f>
        <v>5000</v>
      </c>
      <c r="K1058" s="5" t="str">
        <f t="shared" si="16"/>
        <v>within budget</v>
      </c>
    </row>
    <row r="1059" spans="1:11" x14ac:dyDescent="0.3">
      <c r="A1059" s="6">
        <v>44961</v>
      </c>
      <c r="B1059" s="5" t="s">
        <v>33</v>
      </c>
      <c r="C1059" s="5" t="s">
        <v>22</v>
      </c>
      <c r="D1059" s="5" t="s">
        <v>8</v>
      </c>
      <c r="E1059" s="5" t="s">
        <v>17</v>
      </c>
      <c r="F1059" s="5">
        <v>1530</v>
      </c>
      <c r="G1059" s="5" t="str">
        <f>VLOOKUP(C1059,Sheet2!$C$3:$D$12,2,0)</f>
        <v>Variable</v>
      </c>
      <c r="H1059" s="5" t="str">
        <f>IFERROR(VLOOKUP(E1059,Sheet2!$G$3:$H$8,2,0),"unkwon")</f>
        <v>online</v>
      </c>
      <c r="I1059" s="5">
        <f>VLOOKUP(B1059,Sheet2!$J$4:$K$15,2,0)</f>
        <v>2</v>
      </c>
      <c r="J1059" s="5">
        <f>IFERROR(VLOOKUP(C1059,Sheet2!$M$4:$N$12,2,0),0)</f>
        <v>1000</v>
      </c>
      <c r="K1059" s="5" t="str">
        <f t="shared" si="16"/>
        <v>over budget</v>
      </c>
    </row>
    <row r="1060" spans="1:11" x14ac:dyDescent="0.3">
      <c r="A1060" s="6">
        <v>44932</v>
      </c>
      <c r="B1060" s="5" t="s">
        <v>37</v>
      </c>
      <c r="C1060" s="5" t="s">
        <v>41</v>
      </c>
      <c r="D1060" s="5" t="s">
        <v>20</v>
      </c>
      <c r="E1060" s="5" t="s">
        <v>17</v>
      </c>
      <c r="F1060" s="5">
        <v>3421</v>
      </c>
      <c r="G1060" s="5" t="str">
        <f>VLOOKUP(C1060,Sheet2!$C$3:$D$12,2,0)</f>
        <v>Variable</v>
      </c>
      <c r="H1060" s="5" t="str">
        <f>IFERROR(VLOOKUP(E1060,Sheet2!$G$3:$H$8,2,0),"unkwon")</f>
        <v>online</v>
      </c>
      <c r="I1060" s="5">
        <f>VLOOKUP(B1060,Sheet2!$J$4:$K$15,2,0)</f>
        <v>1</v>
      </c>
      <c r="J1060" s="5">
        <f>IFERROR(VLOOKUP(C1060,Sheet2!$M$4:$N$12,2,0),0)</f>
        <v>7000</v>
      </c>
      <c r="K1060" s="5" t="str">
        <f t="shared" si="16"/>
        <v>within budget</v>
      </c>
    </row>
    <row r="1061" spans="1:11" x14ac:dyDescent="0.3">
      <c r="A1061" s="6">
        <v>45588</v>
      </c>
      <c r="B1061" s="5" t="s">
        <v>6</v>
      </c>
      <c r="C1061" s="5" t="s">
        <v>30</v>
      </c>
      <c r="D1061" s="5" t="s">
        <v>23</v>
      </c>
      <c r="E1061" s="5" t="s">
        <v>17</v>
      </c>
      <c r="F1061" s="5">
        <v>1189</v>
      </c>
      <c r="G1061" s="5" t="str">
        <f>VLOOKUP(C1061,Sheet2!$C$3:$D$12,2,0)</f>
        <v>Fixed</v>
      </c>
      <c r="H1061" s="5" t="str">
        <f>IFERROR(VLOOKUP(E1061,Sheet2!$G$3:$H$8,2,0),"unkwon")</f>
        <v>online</v>
      </c>
      <c r="I1061" s="5">
        <f>VLOOKUP(B1061,Sheet2!$J$4:$K$15,2,0)</f>
        <v>10</v>
      </c>
      <c r="J1061" s="5">
        <f>IFERROR(VLOOKUP(C1061,Sheet2!$M$4:$N$12,2,0),0)</f>
        <v>3000</v>
      </c>
      <c r="K1061" s="5" t="str">
        <f t="shared" si="16"/>
        <v>within budget</v>
      </c>
    </row>
    <row r="1062" spans="1:11" x14ac:dyDescent="0.3">
      <c r="A1062" s="6">
        <v>45001</v>
      </c>
      <c r="B1062" s="5" t="s">
        <v>19</v>
      </c>
      <c r="C1062" s="5" t="s">
        <v>10</v>
      </c>
      <c r="D1062" s="5" t="s">
        <v>11</v>
      </c>
      <c r="E1062" s="5" t="s">
        <v>32</v>
      </c>
      <c r="F1062" s="5">
        <v>3413</v>
      </c>
      <c r="G1062" s="5" t="str">
        <f>VLOOKUP(C1062,Sheet2!$C$3:$D$12,2,0)</f>
        <v>Variable</v>
      </c>
      <c r="H1062" s="5" t="str">
        <f>IFERROR(VLOOKUP(E1062,Sheet2!$G$3:$H$8,2,0),"unkwon")</f>
        <v>offline</v>
      </c>
      <c r="I1062" s="5">
        <f>VLOOKUP(B1062,Sheet2!$J$4:$K$15,2,0)</f>
        <v>3</v>
      </c>
      <c r="J1062" s="5">
        <f>IFERROR(VLOOKUP(C1062,Sheet2!$M$4:$N$12,2,0),0)</f>
        <v>5000</v>
      </c>
      <c r="K1062" s="5" t="str">
        <f t="shared" si="16"/>
        <v>within budget</v>
      </c>
    </row>
    <row r="1063" spans="1:11" x14ac:dyDescent="0.3">
      <c r="A1063" s="6">
        <v>44937</v>
      </c>
      <c r="B1063" s="5" t="s">
        <v>37</v>
      </c>
      <c r="C1063" s="5" t="s">
        <v>30</v>
      </c>
      <c r="D1063" s="5" t="s">
        <v>23</v>
      </c>
      <c r="E1063" s="5" t="s">
        <v>32</v>
      </c>
      <c r="F1063" s="5">
        <v>1906</v>
      </c>
      <c r="G1063" s="5" t="str">
        <f>VLOOKUP(C1063,Sheet2!$C$3:$D$12,2,0)</f>
        <v>Fixed</v>
      </c>
      <c r="H1063" s="5" t="str">
        <f>IFERROR(VLOOKUP(E1063,Sheet2!$G$3:$H$8,2,0),"unkwon")</f>
        <v>offline</v>
      </c>
      <c r="I1063" s="5">
        <f>VLOOKUP(B1063,Sheet2!$J$4:$K$15,2,0)</f>
        <v>1</v>
      </c>
      <c r="J1063" s="5">
        <f>IFERROR(VLOOKUP(C1063,Sheet2!$M$4:$N$12,2,0),0)</f>
        <v>3000</v>
      </c>
      <c r="K1063" s="5" t="str">
        <f t="shared" si="16"/>
        <v>within budget</v>
      </c>
    </row>
    <row r="1064" spans="1:11" x14ac:dyDescent="0.3">
      <c r="A1064" s="6">
        <v>45430</v>
      </c>
      <c r="B1064" s="5" t="s">
        <v>28</v>
      </c>
      <c r="C1064" s="5" t="s">
        <v>7</v>
      </c>
      <c r="D1064" s="5" t="s">
        <v>18</v>
      </c>
      <c r="E1064" s="5" t="s">
        <v>15</v>
      </c>
      <c r="F1064" s="5">
        <v>2246</v>
      </c>
      <c r="G1064" s="5" t="str">
        <f>VLOOKUP(C1064,Sheet2!$C$3:$D$12,2,0)</f>
        <v>Fixed</v>
      </c>
      <c r="H1064" s="5" t="str">
        <f>IFERROR(VLOOKUP(E1064,Sheet2!$G$3:$H$8,2,0),"unkwon")</f>
        <v>online</v>
      </c>
      <c r="I1064" s="5">
        <f>VLOOKUP(B1064,Sheet2!$J$4:$K$15,2,0)</f>
        <v>5</v>
      </c>
      <c r="J1064" s="5">
        <f>IFERROR(VLOOKUP(C1064,Sheet2!$M$4:$N$12,2,0),0)</f>
        <v>2000</v>
      </c>
      <c r="K1064" s="5" t="str">
        <f t="shared" si="16"/>
        <v>over budget</v>
      </c>
    </row>
    <row r="1065" spans="1:11" x14ac:dyDescent="0.3">
      <c r="A1065" s="6">
        <v>45231</v>
      </c>
      <c r="B1065" s="5" t="s">
        <v>40</v>
      </c>
      <c r="C1065" s="5" t="s">
        <v>41</v>
      </c>
      <c r="D1065" s="5" t="s">
        <v>11</v>
      </c>
      <c r="E1065" s="5" t="s">
        <v>17</v>
      </c>
      <c r="F1065" s="5">
        <v>2053</v>
      </c>
      <c r="G1065" s="5" t="str">
        <f>VLOOKUP(C1065,Sheet2!$C$3:$D$12,2,0)</f>
        <v>Variable</v>
      </c>
      <c r="H1065" s="5" t="str">
        <f>IFERROR(VLOOKUP(E1065,Sheet2!$G$3:$H$8,2,0),"unkwon")</f>
        <v>online</v>
      </c>
      <c r="I1065" s="5">
        <f>VLOOKUP(B1065,Sheet2!$J$4:$K$15,2,0)</f>
        <v>11</v>
      </c>
      <c r="J1065" s="5">
        <f>IFERROR(VLOOKUP(C1065,Sheet2!$M$4:$N$12,2,0),0)</f>
        <v>7000</v>
      </c>
      <c r="K1065" s="5" t="str">
        <f t="shared" si="16"/>
        <v>within budget</v>
      </c>
    </row>
    <row r="1066" spans="1:11" x14ac:dyDescent="0.3">
      <c r="A1066" s="6">
        <v>45268</v>
      </c>
      <c r="B1066" s="5" t="s">
        <v>16</v>
      </c>
      <c r="C1066" s="5" t="s">
        <v>22</v>
      </c>
      <c r="D1066" s="5" t="s">
        <v>20</v>
      </c>
      <c r="E1066" s="5" t="s">
        <v>32</v>
      </c>
      <c r="F1066" s="5">
        <v>2926</v>
      </c>
      <c r="G1066" s="5" t="str">
        <f>VLOOKUP(C1066,Sheet2!$C$3:$D$12,2,0)</f>
        <v>Variable</v>
      </c>
      <c r="H1066" s="5" t="str">
        <f>IFERROR(VLOOKUP(E1066,Sheet2!$G$3:$H$8,2,0),"unkwon")</f>
        <v>offline</v>
      </c>
      <c r="I1066" s="5">
        <f>VLOOKUP(B1066,Sheet2!$J$4:$K$15,2,0)</f>
        <v>12</v>
      </c>
      <c r="J1066" s="5">
        <f>IFERROR(VLOOKUP(C1066,Sheet2!$M$4:$N$12,2,0),0)</f>
        <v>1000</v>
      </c>
      <c r="K1066" s="5" t="str">
        <f t="shared" si="16"/>
        <v>over budget</v>
      </c>
    </row>
    <row r="1067" spans="1:11" x14ac:dyDescent="0.3">
      <c r="A1067" s="6">
        <v>45575</v>
      </c>
      <c r="B1067" s="5" t="s">
        <v>6</v>
      </c>
      <c r="C1067" s="5" t="s">
        <v>10</v>
      </c>
      <c r="D1067" s="5" t="s">
        <v>20</v>
      </c>
      <c r="E1067" s="5" t="s">
        <v>15</v>
      </c>
      <c r="F1067" s="5">
        <v>2637</v>
      </c>
      <c r="G1067" s="5" t="str">
        <f>VLOOKUP(C1067,Sheet2!$C$3:$D$12,2,0)</f>
        <v>Variable</v>
      </c>
      <c r="H1067" s="5" t="str">
        <f>IFERROR(VLOOKUP(E1067,Sheet2!$G$3:$H$8,2,0),"unkwon")</f>
        <v>online</v>
      </c>
      <c r="I1067" s="5">
        <f>VLOOKUP(B1067,Sheet2!$J$4:$K$15,2,0)</f>
        <v>10</v>
      </c>
      <c r="J1067" s="5">
        <f>IFERROR(VLOOKUP(C1067,Sheet2!$M$4:$N$12,2,0),0)</f>
        <v>5000</v>
      </c>
      <c r="K1067" s="5" t="str">
        <f t="shared" si="16"/>
        <v>within budget</v>
      </c>
    </row>
    <row r="1068" spans="1:11" x14ac:dyDescent="0.3">
      <c r="A1068" s="6">
        <v>45518</v>
      </c>
      <c r="B1068" s="5" t="s">
        <v>25</v>
      </c>
      <c r="C1068" s="5" t="s">
        <v>41</v>
      </c>
      <c r="D1068" s="5" t="s">
        <v>20</v>
      </c>
      <c r="E1068" s="5" t="s">
        <v>12</v>
      </c>
      <c r="F1068" s="5">
        <v>463</v>
      </c>
      <c r="G1068" s="5" t="str">
        <f>VLOOKUP(C1068,Sheet2!$C$3:$D$12,2,0)</f>
        <v>Variable</v>
      </c>
      <c r="H1068" s="5" t="str">
        <f>IFERROR(VLOOKUP(E1068,Sheet2!$G$3:$H$8,2,0),"unkwon")</f>
        <v>online</v>
      </c>
      <c r="I1068" s="5">
        <f>VLOOKUP(B1068,Sheet2!$J$4:$K$15,2,0)</f>
        <v>8</v>
      </c>
      <c r="J1068" s="5">
        <f>IFERROR(VLOOKUP(C1068,Sheet2!$M$4:$N$12,2,0),0)</f>
        <v>7000</v>
      </c>
      <c r="K1068" s="5" t="str">
        <f t="shared" si="16"/>
        <v>within budget</v>
      </c>
    </row>
    <row r="1069" spans="1:11" x14ac:dyDescent="0.3">
      <c r="A1069" s="6">
        <v>45071</v>
      </c>
      <c r="B1069" s="5" t="s">
        <v>28</v>
      </c>
      <c r="C1069" s="5" t="s">
        <v>22</v>
      </c>
      <c r="D1069" s="5" t="s">
        <v>8</v>
      </c>
      <c r="E1069" s="5" t="s">
        <v>32</v>
      </c>
      <c r="F1069" s="5">
        <v>2284</v>
      </c>
      <c r="G1069" s="5" t="str">
        <f>VLOOKUP(C1069,Sheet2!$C$3:$D$12,2,0)</f>
        <v>Variable</v>
      </c>
      <c r="H1069" s="5" t="str">
        <f>IFERROR(VLOOKUP(E1069,Sheet2!$G$3:$H$8,2,0),"unkwon")</f>
        <v>offline</v>
      </c>
      <c r="I1069" s="5">
        <f>VLOOKUP(B1069,Sheet2!$J$4:$K$15,2,0)</f>
        <v>5</v>
      </c>
      <c r="J1069" s="5">
        <f>IFERROR(VLOOKUP(C1069,Sheet2!$M$4:$N$12,2,0),0)</f>
        <v>1000</v>
      </c>
      <c r="K1069" s="5" t="str">
        <f t="shared" si="16"/>
        <v>over budget</v>
      </c>
    </row>
    <row r="1070" spans="1:11" x14ac:dyDescent="0.3">
      <c r="A1070" s="6">
        <v>45165</v>
      </c>
      <c r="B1070" s="5" t="s">
        <v>25</v>
      </c>
      <c r="C1070" s="5" t="s">
        <v>13</v>
      </c>
      <c r="D1070" s="5" t="s">
        <v>31</v>
      </c>
      <c r="E1070" s="5" t="s">
        <v>12</v>
      </c>
      <c r="F1070" s="5">
        <v>1690</v>
      </c>
      <c r="G1070" s="5" t="str">
        <f>VLOOKUP(C1070,Sheet2!$C$3:$D$12,2,0)</f>
        <v>Variable</v>
      </c>
      <c r="H1070" s="5" t="str">
        <f>IFERROR(VLOOKUP(E1070,Sheet2!$G$3:$H$8,2,0),"unkwon")</f>
        <v>online</v>
      </c>
      <c r="I1070" s="5">
        <f>VLOOKUP(B1070,Sheet2!$J$4:$K$15,2,0)</f>
        <v>8</v>
      </c>
      <c r="J1070" s="5">
        <f>IFERROR(VLOOKUP(C1070,Sheet2!$M$4:$N$12,2,0),0)</f>
        <v>5000</v>
      </c>
      <c r="K1070" s="5" t="str">
        <f t="shared" si="16"/>
        <v>within budget</v>
      </c>
    </row>
    <row r="1071" spans="1:11" x14ac:dyDescent="0.3">
      <c r="A1071" s="6">
        <v>45309</v>
      </c>
      <c r="B1071" s="5" t="s">
        <v>37</v>
      </c>
      <c r="C1071" s="5" t="s">
        <v>10</v>
      </c>
      <c r="D1071" s="5" t="s">
        <v>14</v>
      </c>
      <c r="E1071" s="5" t="s">
        <v>15</v>
      </c>
      <c r="F1071" s="5">
        <v>1446</v>
      </c>
      <c r="G1071" s="5" t="str">
        <f>VLOOKUP(C1071,Sheet2!$C$3:$D$12,2,0)</f>
        <v>Variable</v>
      </c>
      <c r="H1071" s="5" t="str">
        <f>IFERROR(VLOOKUP(E1071,Sheet2!$G$3:$H$8,2,0),"unkwon")</f>
        <v>online</v>
      </c>
      <c r="I1071" s="5">
        <f>VLOOKUP(B1071,Sheet2!$J$4:$K$15,2,0)</f>
        <v>1</v>
      </c>
      <c r="J1071" s="5">
        <f>IFERROR(VLOOKUP(C1071,Sheet2!$M$4:$N$12,2,0),0)</f>
        <v>5000</v>
      </c>
      <c r="K1071" s="5" t="str">
        <f t="shared" si="16"/>
        <v>within budget</v>
      </c>
    </row>
    <row r="1072" spans="1:11" x14ac:dyDescent="0.3">
      <c r="A1072" s="6">
        <v>45460</v>
      </c>
      <c r="B1072" s="5" t="s">
        <v>39</v>
      </c>
      <c r="C1072" s="5" t="s">
        <v>30</v>
      </c>
      <c r="D1072" s="5" t="s">
        <v>34</v>
      </c>
      <c r="E1072" s="5" t="s">
        <v>17</v>
      </c>
      <c r="F1072" s="5">
        <v>1849</v>
      </c>
      <c r="G1072" s="5" t="str">
        <f>VLOOKUP(C1072,Sheet2!$C$3:$D$12,2,0)</f>
        <v>Fixed</v>
      </c>
      <c r="H1072" s="5" t="str">
        <f>IFERROR(VLOOKUP(E1072,Sheet2!$G$3:$H$8,2,0),"unkwon")</f>
        <v>online</v>
      </c>
      <c r="I1072" s="5">
        <f>VLOOKUP(B1072,Sheet2!$J$4:$K$15,2,0)</f>
        <v>6</v>
      </c>
      <c r="J1072" s="5">
        <f>IFERROR(VLOOKUP(C1072,Sheet2!$M$4:$N$12,2,0),0)</f>
        <v>3000</v>
      </c>
      <c r="K1072" s="5" t="str">
        <f t="shared" si="16"/>
        <v>within budget</v>
      </c>
    </row>
    <row r="1073" spans="1:11" x14ac:dyDescent="0.3">
      <c r="A1073" s="6">
        <v>45211</v>
      </c>
      <c r="B1073" s="5" t="s">
        <v>6</v>
      </c>
      <c r="C1073" s="5" t="s">
        <v>7</v>
      </c>
      <c r="D1073" s="5" t="s">
        <v>24</v>
      </c>
      <c r="E1073" s="5" t="s">
        <v>32</v>
      </c>
      <c r="F1073" s="5">
        <v>4017</v>
      </c>
      <c r="G1073" s="5" t="str">
        <f>VLOOKUP(C1073,Sheet2!$C$3:$D$12,2,0)</f>
        <v>Fixed</v>
      </c>
      <c r="H1073" s="5" t="str">
        <f>IFERROR(VLOOKUP(E1073,Sheet2!$G$3:$H$8,2,0),"unkwon")</f>
        <v>offline</v>
      </c>
      <c r="I1073" s="5">
        <f>VLOOKUP(B1073,Sheet2!$J$4:$K$15,2,0)</f>
        <v>10</v>
      </c>
      <c r="J1073" s="5">
        <f>IFERROR(VLOOKUP(C1073,Sheet2!$M$4:$N$12,2,0),0)</f>
        <v>2000</v>
      </c>
      <c r="K1073" s="5" t="str">
        <f t="shared" si="16"/>
        <v>over budget</v>
      </c>
    </row>
    <row r="1074" spans="1:11" x14ac:dyDescent="0.3">
      <c r="A1074" s="6">
        <v>45423</v>
      </c>
      <c r="B1074" s="5" t="s">
        <v>28</v>
      </c>
      <c r="C1074" s="5" t="s">
        <v>22</v>
      </c>
      <c r="D1074" s="5" t="s">
        <v>18</v>
      </c>
      <c r="E1074" s="5" t="s">
        <v>32</v>
      </c>
      <c r="F1074" s="5">
        <v>3113</v>
      </c>
      <c r="G1074" s="5" t="str">
        <f>VLOOKUP(C1074,Sheet2!$C$3:$D$12,2,0)</f>
        <v>Variable</v>
      </c>
      <c r="H1074" s="5" t="str">
        <f>IFERROR(VLOOKUP(E1074,Sheet2!$G$3:$H$8,2,0),"unkwon")</f>
        <v>offline</v>
      </c>
      <c r="I1074" s="5">
        <f>VLOOKUP(B1074,Sheet2!$J$4:$K$15,2,0)</f>
        <v>5</v>
      </c>
      <c r="J1074" s="5">
        <f>IFERROR(VLOOKUP(C1074,Sheet2!$M$4:$N$12,2,0),0)</f>
        <v>1000</v>
      </c>
      <c r="K1074" s="5" t="str">
        <f t="shared" si="16"/>
        <v>over budget</v>
      </c>
    </row>
    <row r="1075" spans="1:11" x14ac:dyDescent="0.3">
      <c r="A1075" s="6">
        <v>45287</v>
      </c>
      <c r="B1075" s="5" t="s">
        <v>16</v>
      </c>
      <c r="C1075" s="5" t="s">
        <v>30</v>
      </c>
      <c r="D1075" s="5" t="s">
        <v>18</v>
      </c>
      <c r="E1075" s="5" t="s">
        <v>9</v>
      </c>
      <c r="F1075" s="5">
        <v>4120</v>
      </c>
      <c r="G1075" s="5" t="str">
        <f>VLOOKUP(C1075,Sheet2!$C$3:$D$12,2,0)</f>
        <v>Fixed</v>
      </c>
      <c r="H1075" s="5" t="str">
        <f>IFERROR(VLOOKUP(E1075,Sheet2!$G$3:$H$8,2,0),"unkwon")</f>
        <v>online</v>
      </c>
      <c r="I1075" s="5">
        <f>VLOOKUP(B1075,Sheet2!$J$4:$K$15,2,0)</f>
        <v>12</v>
      </c>
      <c r="J1075" s="5">
        <f>IFERROR(VLOOKUP(C1075,Sheet2!$M$4:$N$12,2,0),0)</f>
        <v>3000</v>
      </c>
      <c r="K1075" s="5" t="str">
        <f t="shared" si="16"/>
        <v>over budget</v>
      </c>
    </row>
    <row r="1076" spans="1:11" x14ac:dyDescent="0.3">
      <c r="A1076" s="6">
        <v>44971</v>
      </c>
      <c r="B1076" s="5" t="s">
        <v>33</v>
      </c>
      <c r="C1076" s="5" t="s">
        <v>41</v>
      </c>
      <c r="D1076" s="5" t="s">
        <v>14</v>
      </c>
      <c r="E1076" s="5" t="s">
        <v>32</v>
      </c>
      <c r="F1076" s="5">
        <v>3963</v>
      </c>
      <c r="G1076" s="5" t="str">
        <f>VLOOKUP(C1076,Sheet2!$C$3:$D$12,2,0)</f>
        <v>Variable</v>
      </c>
      <c r="H1076" s="5" t="str">
        <f>IFERROR(VLOOKUP(E1076,Sheet2!$G$3:$H$8,2,0),"unkwon")</f>
        <v>offline</v>
      </c>
      <c r="I1076" s="5">
        <f>VLOOKUP(B1076,Sheet2!$J$4:$K$15,2,0)</f>
        <v>2</v>
      </c>
      <c r="J1076" s="5">
        <f>IFERROR(VLOOKUP(C1076,Sheet2!$M$4:$N$12,2,0),0)</f>
        <v>7000</v>
      </c>
      <c r="K1076" s="5" t="str">
        <f t="shared" si="16"/>
        <v>within budget</v>
      </c>
    </row>
    <row r="1077" spans="1:11" x14ac:dyDescent="0.3">
      <c r="A1077" s="6">
        <v>45479</v>
      </c>
      <c r="B1077" s="5" t="s">
        <v>21</v>
      </c>
      <c r="C1077" s="5" t="s">
        <v>30</v>
      </c>
      <c r="D1077" s="5" t="s">
        <v>20</v>
      </c>
      <c r="E1077" s="5" t="s">
        <v>32</v>
      </c>
      <c r="F1077" s="5">
        <v>3416</v>
      </c>
      <c r="G1077" s="5" t="str">
        <f>VLOOKUP(C1077,Sheet2!$C$3:$D$12,2,0)</f>
        <v>Fixed</v>
      </c>
      <c r="H1077" s="5" t="str">
        <f>IFERROR(VLOOKUP(E1077,Sheet2!$G$3:$H$8,2,0),"unkwon")</f>
        <v>offline</v>
      </c>
      <c r="I1077" s="5">
        <f>VLOOKUP(B1077,Sheet2!$J$4:$K$15,2,0)</f>
        <v>7</v>
      </c>
      <c r="J1077" s="5">
        <f>IFERROR(VLOOKUP(C1077,Sheet2!$M$4:$N$12,2,0),0)</f>
        <v>3000</v>
      </c>
      <c r="K1077" s="5" t="str">
        <f t="shared" si="16"/>
        <v>over budget</v>
      </c>
    </row>
    <row r="1078" spans="1:11" x14ac:dyDescent="0.3">
      <c r="A1078" s="6">
        <v>45164</v>
      </c>
      <c r="B1078" s="5" t="s">
        <v>25</v>
      </c>
      <c r="C1078" s="5" t="s">
        <v>22</v>
      </c>
      <c r="D1078" s="5" t="s">
        <v>18</v>
      </c>
      <c r="E1078" s="5" t="s">
        <v>12</v>
      </c>
      <c r="F1078" s="5">
        <v>3682</v>
      </c>
      <c r="G1078" s="5" t="str">
        <f>VLOOKUP(C1078,Sheet2!$C$3:$D$12,2,0)</f>
        <v>Variable</v>
      </c>
      <c r="H1078" s="5" t="str">
        <f>IFERROR(VLOOKUP(E1078,Sheet2!$G$3:$H$8,2,0),"unkwon")</f>
        <v>online</v>
      </c>
      <c r="I1078" s="5">
        <f>VLOOKUP(B1078,Sheet2!$J$4:$K$15,2,0)</f>
        <v>8</v>
      </c>
      <c r="J1078" s="5">
        <f>IFERROR(VLOOKUP(C1078,Sheet2!$M$4:$N$12,2,0),0)</f>
        <v>1000</v>
      </c>
      <c r="K1078" s="5" t="str">
        <f t="shared" si="16"/>
        <v>over budget</v>
      </c>
    </row>
    <row r="1079" spans="1:11" x14ac:dyDescent="0.3">
      <c r="A1079" s="6">
        <v>45569</v>
      </c>
      <c r="B1079" s="5" t="s">
        <v>6</v>
      </c>
      <c r="C1079" s="5" t="s">
        <v>10</v>
      </c>
      <c r="D1079" s="5" t="s">
        <v>18</v>
      </c>
      <c r="E1079" s="5" t="s">
        <v>17</v>
      </c>
      <c r="F1079" s="5">
        <v>3683</v>
      </c>
      <c r="G1079" s="5" t="str">
        <f>VLOOKUP(C1079,Sheet2!$C$3:$D$12,2,0)</f>
        <v>Variable</v>
      </c>
      <c r="H1079" s="5" t="str">
        <f>IFERROR(VLOOKUP(E1079,Sheet2!$G$3:$H$8,2,0),"unkwon")</f>
        <v>online</v>
      </c>
      <c r="I1079" s="5">
        <f>VLOOKUP(B1079,Sheet2!$J$4:$K$15,2,0)</f>
        <v>10</v>
      </c>
      <c r="J1079" s="5">
        <f>IFERROR(VLOOKUP(C1079,Sheet2!$M$4:$N$12,2,0),0)</f>
        <v>5000</v>
      </c>
      <c r="K1079" s="5" t="str">
        <f t="shared" si="16"/>
        <v>within budget</v>
      </c>
    </row>
    <row r="1080" spans="1:11" x14ac:dyDescent="0.3">
      <c r="A1080" s="6">
        <v>45258</v>
      </c>
      <c r="B1080" s="5" t="s">
        <v>40</v>
      </c>
      <c r="C1080" s="5" t="s">
        <v>27</v>
      </c>
      <c r="D1080" s="5" t="s">
        <v>18</v>
      </c>
      <c r="E1080" s="5" t="s">
        <v>9</v>
      </c>
      <c r="F1080" s="5">
        <v>3182</v>
      </c>
      <c r="G1080" s="5" t="str">
        <f>VLOOKUP(C1080,Sheet2!$C$3:$D$12,2,0)</f>
        <v>Variable</v>
      </c>
      <c r="H1080" s="5" t="str">
        <f>IFERROR(VLOOKUP(E1080,Sheet2!$G$3:$H$8,2,0),"unkwon")</f>
        <v>online</v>
      </c>
      <c r="I1080" s="5">
        <f>VLOOKUP(B1080,Sheet2!$J$4:$K$15,2,0)</f>
        <v>11</v>
      </c>
      <c r="J1080" s="5">
        <f>IFERROR(VLOOKUP(C1080,Sheet2!$M$4:$N$12,2,0),0)</f>
        <v>4000</v>
      </c>
      <c r="K1080" s="5" t="str">
        <f t="shared" si="16"/>
        <v>within budget</v>
      </c>
    </row>
    <row r="1081" spans="1:11" x14ac:dyDescent="0.3">
      <c r="A1081" s="6">
        <v>45308</v>
      </c>
      <c r="B1081" s="5" t="s">
        <v>37</v>
      </c>
      <c r="C1081" s="5" t="s">
        <v>41</v>
      </c>
      <c r="D1081" s="5" t="s">
        <v>31</v>
      </c>
      <c r="E1081" s="5" t="s">
        <v>17</v>
      </c>
      <c r="F1081" s="5">
        <v>452</v>
      </c>
      <c r="G1081" s="5" t="str">
        <f>VLOOKUP(C1081,Sheet2!$C$3:$D$12,2,0)</f>
        <v>Variable</v>
      </c>
      <c r="H1081" s="5" t="str">
        <f>IFERROR(VLOOKUP(E1081,Sheet2!$G$3:$H$8,2,0),"unkwon")</f>
        <v>online</v>
      </c>
      <c r="I1081" s="5">
        <f>VLOOKUP(B1081,Sheet2!$J$4:$K$15,2,0)</f>
        <v>1</v>
      </c>
      <c r="J1081" s="5">
        <f>IFERROR(VLOOKUP(C1081,Sheet2!$M$4:$N$12,2,0),0)</f>
        <v>7000</v>
      </c>
      <c r="K1081" s="5" t="str">
        <f t="shared" si="16"/>
        <v>within budget</v>
      </c>
    </row>
    <row r="1082" spans="1:11" x14ac:dyDescent="0.3">
      <c r="A1082" s="6">
        <v>44949</v>
      </c>
      <c r="B1082" s="5" t="s">
        <v>37</v>
      </c>
      <c r="C1082" s="5" t="s">
        <v>13</v>
      </c>
      <c r="D1082" s="5" t="s">
        <v>11</v>
      </c>
      <c r="E1082" s="5" t="s">
        <v>32</v>
      </c>
      <c r="F1082" s="5">
        <v>2882</v>
      </c>
      <c r="G1082" s="5" t="str">
        <f>VLOOKUP(C1082,Sheet2!$C$3:$D$12,2,0)</f>
        <v>Variable</v>
      </c>
      <c r="H1082" s="5" t="str">
        <f>IFERROR(VLOOKUP(E1082,Sheet2!$G$3:$H$8,2,0),"unkwon")</f>
        <v>offline</v>
      </c>
      <c r="I1082" s="5">
        <f>VLOOKUP(B1082,Sheet2!$J$4:$K$15,2,0)</f>
        <v>1</v>
      </c>
      <c r="J1082" s="5">
        <f>IFERROR(VLOOKUP(C1082,Sheet2!$M$4:$N$12,2,0),0)</f>
        <v>5000</v>
      </c>
      <c r="K1082" s="5" t="str">
        <f t="shared" si="16"/>
        <v>within budget</v>
      </c>
    </row>
    <row r="1083" spans="1:11" x14ac:dyDescent="0.3">
      <c r="A1083" s="6">
        <v>45572</v>
      </c>
      <c r="B1083" s="5" t="s">
        <v>6</v>
      </c>
      <c r="C1083" s="5" t="s">
        <v>36</v>
      </c>
      <c r="D1083" s="5" t="s">
        <v>23</v>
      </c>
      <c r="E1083" s="5" t="s">
        <v>12</v>
      </c>
      <c r="F1083" s="5">
        <v>2905</v>
      </c>
      <c r="G1083" s="5" t="str">
        <f>VLOOKUP(C1083,Sheet2!$C$3:$D$12,2,0)</f>
        <v>Variable</v>
      </c>
      <c r="H1083" s="5" t="str">
        <f>IFERROR(VLOOKUP(E1083,Sheet2!$G$3:$H$8,2,0),"unkwon")</f>
        <v>online</v>
      </c>
      <c r="I1083" s="5">
        <f>VLOOKUP(B1083,Sheet2!$J$4:$K$15,2,0)</f>
        <v>10</v>
      </c>
      <c r="J1083" s="5">
        <f>IFERROR(VLOOKUP(C1083,Sheet2!$M$4:$N$12,2,0),0)</f>
        <v>10000</v>
      </c>
      <c r="K1083" s="5" t="str">
        <f t="shared" si="16"/>
        <v>within budget</v>
      </c>
    </row>
    <row r="1084" spans="1:11" x14ac:dyDescent="0.3">
      <c r="A1084" s="6">
        <v>44950</v>
      </c>
      <c r="B1084" s="5" t="s">
        <v>37</v>
      </c>
      <c r="C1084" s="5" t="s">
        <v>13</v>
      </c>
      <c r="D1084" s="5" t="s">
        <v>20</v>
      </c>
      <c r="E1084" s="5" t="s">
        <v>9</v>
      </c>
      <c r="F1084" s="5">
        <v>3374</v>
      </c>
      <c r="G1084" s="5" t="str">
        <f>VLOOKUP(C1084,Sheet2!$C$3:$D$12,2,0)</f>
        <v>Variable</v>
      </c>
      <c r="H1084" s="5" t="str">
        <f>IFERROR(VLOOKUP(E1084,Sheet2!$G$3:$H$8,2,0),"unkwon")</f>
        <v>online</v>
      </c>
      <c r="I1084" s="5">
        <f>VLOOKUP(B1084,Sheet2!$J$4:$K$15,2,0)</f>
        <v>1</v>
      </c>
      <c r="J1084" s="5">
        <f>IFERROR(VLOOKUP(C1084,Sheet2!$M$4:$N$12,2,0),0)</f>
        <v>5000</v>
      </c>
      <c r="K1084" s="5" t="str">
        <f t="shared" si="16"/>
        <v>within budget</v>
      </c>
    </row>
    <row r="1085" spans="1:11" x14ac:dyDescent="0.3">
      <c r="A1085" s="6">
        <v>45300</v>
      </c>
      <c r="B1085" s="5" t="s">
        <v>37</v>
      </c>
      <c r="C1085" s="5" t="s">
        <v>27</v>
      </c>
      <c r="D1085" s="5" t="s">
        <v>18</v>
      </c>
      <c r="E1085" s="5" t="s">
        <v>9</v>
      </c>
      <c r="F1085" s="5">
        <v>1313</v>
      </c>
      <c r="G1085" s="5" t="str">
        <f>VLOOKUP(C1085,Sheet2!$C$3:$D$12,2,0)</f>
        <v>Variable</v>
      </c>
      <c r="H1085" s="5" t="str">
        <f>IFERROR(VLOOKUP(E1085,Sheet2!$G$3:$H$8,2,0),"unkwon")</f>
        <v>online</v>
      </c>
      <c r="I1085" s="5">
        <f>VLOOKUP(B1085,Sheet2!$J$4:$K$15,2,0)</f>
        <v>1</v>
      </c>
      <c r="J1085" s="5">
        <f>IFERROR(VLOOKUP(C1085,Sheet2!$M$4:$N$12,2,0),0)</f>
        <v>4000</v>
      </c>
      <c r="K1085" s="5" t="str">
        <f t="shared" si="16"/>
        <v>within budget</v>
      </c>
    </row>
    <row r="1086" spans="1:11" x14ac:dyDescent="0.3">
      <c r="A1086" s="6">
        <v>45262</v>
      </c>
      <c r="B1086" s="5" t="s">
        <v>16</v>
      </c>
      <c r="C1086" s="5" t="s">
        <v>36</v>
      </c>
      <c r="D1086" s="5" t="s">
        <v>26</v>
      </c>
      <c r="E1086" s="5" t="s">
        <v>9</v>
      </c>
      <c r="F1086" s="5">
        <v>2886</v>
      </c>
      <c r="G1086" s="5" t="str">
        <f>VLOOKUP(C1086,Sheet2!$C$3:$D$12,2,0)</f>
        <v>Variable</v>
      </c>
      <c r="H1086" s="5" t="str">
        <f>IFERROR(VLOOKUP(E1086,Sheet2!$G$3:$H$8,2,0),"unkwon")</f>
        <v>online</v>
      </c>
      <c r="I1086" s="5">
        <f>VLOOKUP(B1086,Sheet2!$J$4:$K$15,2,0)</f>
        <v>12</v>
      </c>
      <c r="J1086" s="5">
        <f>IFERROR(VLOOKUP(C1086,Sheet2!$M$4:$N$12,2,0),0)</f>
        <v>10000</v>
      </c>
      <c r="K1086" s="5" t="str">
        <f t="shared" si="16"/>
        <v>within budget</v>
      </c>
    </row>
    <row r="1087" spans="1:11" x14ac:dyDescent="0.3">
      <c r="A1087" s="6">
        <v>44977</v>
      </c>
      <c r="B1087" s="5" t="s">
        <v>33</v>
      </c>
      <c r="C1087" s="5" t="s">
        <v>22</v>
      </c>
      <c r="D1087" s="5" t="s">
        <v>26</v>
      </c>
      <c r="E1087" s="5" t="s">
        <v>12</v>
      </c>
      <c r="F1087" s="5">
        <v>4041</v>
      </c>
      <c r="G1087" s="5" t="str">
        <f>VLOOKUP(C1087,Sheet2!$C$3:$D$12,2,0)</f>
        <v>Variable</v>
      </c>
      <c r="H1087" s="5" t="str">
        <f>IFERROR(VLOOKUP(E1087,Sheet2!$G$3:$H$8,2,0),"unkwon")</f>
        <v>online</v>
      </c>
      <c r="I1087" s="5">
        <f>VLOOKUP(B1087,Sheet2!$J$4:$K$15,2,0)</f>
        <v>2</v>
      </c>
      <c r="J1087" s="5">
        <f>IFERROR(VLOOKUP(C1087,Sheet2!$M$4:$N$12,2,0),0)</f>
        <v>1000</v>
      </c>
      <c r="K1087" s="5" t="str">
        <f t="shared" si="16"/>
        <v>over budget</v>
      </c>
    </row>
    <row r="1088" spans="1:11" x14ac:dyDescent="0.3">
      <c r="A1088" s="6">
        <v>45490</v>
      </c>
      <c r="B1088" s="5" t="s">
        <v>21</v>
      </c>
      <c r="C1088" s="5" t="s">
        <v>27</v>
      </c>
      <c r="D1088" s="5" t="s">
        <v>26</v>
      </c>
      <c r="E1088" s="5" t="s">
        <v>12</v>
      </c>
      <c r="F1088" s="5">
        <v>1861</v>
      </c>
      <c r="G1088" s="5" t="str">
        <f>VLOOKUP(C1088,Sheet2!$C$3:$D$12,2,0)</f>
        <v>Variable</v>
      </c>
      <c r="H1088" s="5" t="str">
        <f>IFERROR(VLOOKUP(E1088,Sheet2!$G$3:$H$8,2,0),"unkwon")</f>
        <v>online</v>
      </c>
      <c r="I1088" s="5">
        <f>VLOOKUP(B1088,Sheet2!$J$4:$K$15,2,0)</f>
        <v>7</v>
      </c>
      <c r="J1088" s="5">
        <f>IFERROR(VLOOKUP(C1088,Sheet2!$M$4:$N$12,2,0),0)</f>
        <v>4000</v>
      </c>
      <c r="K1088" s="5" t="str">
        <f t="shared" si="16"/>
        <v>within budget</v>
      </c>
    </row>
    <row r="1089" spans="1:11" x14ac:dyDescent="0.3">
      <c r="A1089" s="6">
        <v>45539</v>
      </c>
      <c r="B1089" s="5" t="s">
        <v>38</v>
      </c>
      <c r="C1089" s="5" t="s">
        <v>30</v>
      </c>
      <c r="D1089" s="5" t="s">
        <v>26</v>
      </c>
      <c r="E1089" s="5" t="s">
        <v>32</v>
      </c>
      <c r="F1089" s="5">
        <v>3051</v>
      </c>
      <c r="G1089" s="5" t="str">
        <f>VLOOKUP(C1089,Sheet2!$C$3:$D$12,2,0)</f>
        <v>Fixed</v>
      </c>
      <c r="H1089" s="5" t="str">
        <f>IFERROR(VLOOKUP(E1089,Sheet2!$G$3:$H$8,2,0),"unkwon")</f>
        <v>offline</v>
      </c>
      <c r="I1089" s="5">
        <f>VLOOKUP(B1089,Sheet2!$J$4:$K$15,2,0)</f>
        <v>9</v>
      </c>
      <c r="J1089" s="5">
        <f>IFERROR(VLOOKUP(C1089,Sheet2!$M$4:$N$12,2,0),0)</f>
        <v>3000</v>
      </c>
      <c r="K1089" s="5" t="str">
        <f t="shared" si="16"/>
        <v>over budget</v>
      </c>
    </row>
    <row r="1090" spans="1:11" x14ac:dyDescent="0.3">
      <c r="A1090" s="6">
        <v>45645</v>
      </c>
      <c r="B1090" s="5" t="s">
        <v>16</v>
      </c>
      <c r="C1090" s="5" t="s">
        <v>7</v>
      </c>
      <c r="D1090" s="5" t="s">
        <v>11</v>
      </c>
      <c r="E1090" s="5" t="s">
        <v>12</v>
      </c>
      <c r="F1090" s="5">
        <v>3611</v>
      </c>
      <c r="G1090" s="5" t="str">
        <f>VLOOKUP(C1090,Sheet2!$C$3:$D$12,2,0)</f>
        <v>Fixed</v>
      </c>
      <c r="H1090" s="5" t="str">
        <f>IFERROR(VLOOKUP(E1090,Sheet2!$G$3:$H$8,2,0),"unkwon")</f>
        <v>online</v>
      </c>
      <c r="I1090" s="5">
        <f>VLOOKUP(B1090,Sheet2!$J$4:$K$15,2,0)</f>
        <v>12</v>
      </c>
      <c r="J1090" s="5">
        <f>IFERROR(VLOOKUP(C1090,Sheet2!$M$4:$N$12,2,0),0)</f>
        <v>2000</v>
      </c>
      <c r="K1090" s="5" t="str">
        <f t="shared" si="16"/>
        <v>over budget</v>
      </c>
    </row>
    <row r="1091" spans="1:11" x14ac:dyDescent="0.3">
      <c r="A1091" s="6">
        <v>45241</v>
      </c>
      <c r="B1091" s="5" t="s">
        <v>40</v>
      </c>
      <c r="C1091" s="5" t="s">
        <v>22</v>
      </c>
      <c r="D1091" s="5" t="s">
        <v>34</v>
      </c>
      <c r="E1091" s="5" t="s">
        <v>9</v>
      </c>
      <c r="F1091" s="5">
        <v>146</v>
      </c>
      <c r="G1091" s="5" t="str">
        <f>VLOOKUP(C1091,Sheet2!$C$3:$D$12,2,0)</f>
        <v>Variable</v>
      </c>
      <c r="H1091" s="5" t="str">
        <f>IFERROR(VLOOKUP(E1091,Sheet2!$G$3:$H$8,2,0),"unkwon")</f>
        <v>online</v>
      </c>
      <c r="I1091" s="5">
        <f>VLOOKUP(B1091,Sheet2!$J$4:$K$15,2,0)</f>
        <v>11</v>
      </c>
      <c r="J1091" s="5">
        <f>IFERROR(VLOOKUP(C1091,Sheet2!$M$4:$N$12,2,0),0)</f>
        <v>1000</v>
      </c>
      <c r="K1091" s="5" t="str">
        <f t="shared" ref="K1091:K1154" si="17">IF(F1091&gt;J1091,"over budget","within budget")</f>
        <v>within budget</v>
      </c>
    </row>
    <row r="1092" spans="1:11" x14ac:dyDescent="0.3">
      <c r="A1092" s="6">
        <v>44939</v>
      </c>
      <c r="B1092" s="5" t="s">
        <v>37</v>
      </c>
      <c r="C1092" s="5" t="s">
        <v>36</v>
      </c>
      <c r="D1092" s="5" t="s">
        <v>8</v>
      </c>
      <c r="E1092" s="5" t="s">
        <v>15</v>
      </c>
      <c r="F1092" s="5">
        <v>4525</v>
      </c>
      <c r="G1092" s="5" t="str">
        <f>VLOOKUP(C1092,Sheet2!$C$3:$D$12,2,0)</f>
        <v>Variable</v>
      </c>
      <c r="H1092" s="5" t="str">
        <f>IFERROR(VLOOKUP(E1092,Sheet2!$G$3:$H$8,2,0),"unkwon")</f>
        <v>online</v>
      </c>
      <c r="I1092" s="5">
        <f>VLOOKUP(B1092,Sheet2!$J$4:$K$15,2,0)</f>
        <v>1</v>
      </c>
      <c r="J1092" s="5">
        <f>IFERROR(VLOOKUP(C1092,Sheet2!$M$4:$N$12,2,0),0)</f>
        <v>10000</v>
      </c>
      <c r="K1092" s="5" t="str">
        <f t="shared" si="17"/>
        <v>within budget</v>
      </c>
    </row>
    <row r="1093" spans="1:11" x14ac:dyDescent="0.3">
      <c r="A1093" s="6">
        <v>45276</v>
      </c>
      <c r="B1093" s="5" t="s">
        <v>16</v>
      </c>
      <c r="C1093" s="5" t="s">
        <v>13</v>
      </c>
      <c r="D1093" s="5" t="s">
        <v>14</v>
      </c>
      <c r="E1093" s="5" t="s">
        <v>32</v>
      </c>
      <c r="F1093" s="5">
        <v>4650</v>
      </c>
      <c r="G1093" s="5" t="str">
        <f>VLOOKUP(C1093,Sheet2!$C$3:$D$12,2,0)</f>
        <v>Variable</v>
      </c>
      <c r="H1093" s="5" t="str">
        <f>IFERROR(VLOOKUP(E1093,Sheet2!$G$3:$H$8,2,0),"unkwon")</f>
        <v>offline</v>
      </c>
      <c r="I1093" s="5">
        <f>VLOOKUP(B1093,Sheet2!$J$4:$K$15,2,0)</f>
        <v>12</v>
      </c>
      <c r="J1093" s="5">
        <f>IFERROR(VLOOKUP(C1093,Sheet2!$M$4:$N$12,2,0),0)</f>
        <v>5000</v>
      </c>
      <c r="K1093" s="5" t="str">
        <f t="shared" si="17"/>
        <v>within budget</v>
      </c>
    </row>
    <row r="1094" spans="1:11" x14ac:dyDescent="0.3">
      <c r="A1094" s="6">
        <v>45016</v>
      </c>
      <c r="B1094" s="5" t="s">
        <v>19</v>
      </c>
      <c r="C1094" s="5" t="s">
        <v>13</v>
      </c>
      <c r="D1094" s="5" t="s">
        <v>24</v>
      </c>
      <c r="E1094" s="5" t="s">
        <v>32</v>
      </c>
      <c r="F1094" s="5">
        <v>2143</v>
      </c>
      <c r="G1094" s="5" t="str">
        <f>VLOOKUP(C1094,Sheet2!$C$3:$D$12,2,0)</f>
        <v>Variable</v>
      </c>
      <c r="H1094" s="5" t="str">
        <f>IFERROR(VLOOKUP(E1094,Sheet2!$G$3:$H$8,2,0),"unkwon")</f>
        <v>offline</v>
      </c>
      <c r="I1094" s="5">
        <f>VLOOKUP(B1094,Sheet2!$J$4:$K$15,2,0)</f>
        <v>3</v>
      </c>
      <c r="J1094" s="5">
        <f>IFERROR(VLOOKUP(C1094,Sheet2!$M$4:$N$12,2,0),0)</f>
        <v>5000</v>
      </c>
      <c r="K1094" s="5" t="str">
        <f t="shared" si="17"/>
        <v>within budget</v>
      </c>
    </row>
    <row r="1095" spans="1:11" x14ac:dyDescent="0.3">
      <c r="A1095" s="6">
        <v>45025</v>
      </c>
      <c r="B1095" s="5" t="s">
        <v>29</v>
      </c>
      <c r="C1095" s="5" t="s">
        <v>27</v>
      </c>
      <c r="D1095" s="5" t="s">
        <v>24</v>
      </c>
      <c r="E1095" s="5" t="s">
        <v>15</v>
      </c>
      <c r="F1095" s="5">
        <v>433</v>
      </c>
      <c r="G1095" s="5" t="str">
        <f>VLOOKUP(C1095,Sheet2!$C$3:$D$12,2,0)</f>
        <v>Variable</v>
      </c>
      <c r="H1095" s="5" t="str">
        <f>IFERROR(VLOOKUP(E1095,Sheet2!$G$3:$H$8,2,0),"unkwon")</f>
        <v>online</v>
      </c>
      <c r="I1095" s="5">
        <f>VLOOKUP(B1095,Sheet2!$J$4:$K$15,2,0)</f>
        <v>4</v>
      </c>
      <c r="J1095" s="5">
        <f>IFERROR(VLOOKUP(C1095,Sheet2!$M$4:$N$12,2,0),0)</f>
        <v>4000</v>
      </c>
      <c r="K1095" s="5" t="str">
        <f t="shared" si="17"/>
        <v>within budget</v>
      </c>
    </row>
    <row r="1096" spans="1:11" x14ac:dyDescent="0.3">
      <c r="A1096" s="6">
        <v>45206</v>
      </c>
      <c r="B1096" s="5" t="s">
        <v>6</v>
      </c>
      <c r="C1096" s="5" t="s">
        <v>36</v>
      </c>
      <c r="D1096" s="5" t="s">
        <v>14</v>
      </c>
      <c r="E1096" s="5" t="s">
        <v>17</v>
      </c>
      <c r="F1096" s="5">
        <v>4002</v>
      </c>
      <c r="G1096" s="5" t="str">
        <f>VLOOKUP(C1096,Sheet2!$C$3:$D$12,2,0)</f>
        <v>Variable</v>
      </c>
      <c r="H1096" s="5" t="str">
        <f>IFERROR(VLOOKUP(E1096,Sheet2!$G$3:$H$8,2,0),"unkwon")</f>
        <v>online</v>
      </c>
      <c r="I1096" s="5">
        <f>VLOOKUP(B1096,Sheet2!$J$4:$K$15,2,0)</f>
        <v>10</v>
      </c>
      <c r="J1096" s="5">
        <f>IFERROR(VLOOKUP(C1096,Sheet2!$M$4:$N$12,2,0),0)</f>
        <v>10000</v>
      </c>
      <c r="K1096" s="5" t="str">
        <f t="shared" si="17"/>
        <v>within budget</v>
      </c>
    </row>
    <row r="1097" spans="1:11" x14ac:dyDescent="0.3">
      <c r="A1097" s="6">
        <v>45508</v>
      </c>
      <c r="B1097" s="5" t="s">
        <v>25</v>
      </c>
      <c r="C1097" s="5" t="s">
        <v>30</v>
      </c>
      <c r="D1097" s="5" t="s">
        <v>20</v>
      </c>
      <c r="E1097" s="5" t="s">
        <v>15</v>
      </c>
      <c r="F1097" s="5">
        <v>1616</v>
      </c>
      <c r="G1097" s="5" t="str">
        <f>VLOOKUP(C1097,Sheet2!$C$3:$D$12,2,0)</f>
        <v>Fixed</v>
      </c>
      <c r="H1097" s="5" t="str">
        <f>IFERROR(VLOOKUP(E1097,Sheet2!$G$3:$H$8,2,0),"unkwon")</f>
        <v>online</v>
      </c>
      <c r="I1097" s="5">
        <f>VLOOKUP(B1097,Sheet2!$J$4:$K$15,2,0)</f>
        <v>8</v>
      </c>
      <c r="J1097" s="5">
        <f>IFERROR(VLOOKUP(C1097,Sheet2!$M$4:$N$12,2,0),0)</f>
        <v>3000</v>
      </c>
      <c r="K1097" s="5" t="str">
        <f t="shared" si="17"/>
        <v>within budget</v>
      </c>
    </row>
    <row r="1098" spans="1:11" x14ac:dyDescent="0.3">
      <c r="A1098" s="6">
        <v>44961</v>
      </c>
      <c r="B1098" s="5" t="s">
        <v>33</v>
      </c>
      <c r="C1098" s="5" t="s">
        <v>27</v>
      </c>
      <c r="D1098" s="5" t="s">
        <v>26</v>
      </c>
      <c r="E1098" s="5" t="s">
        <v>17</v>
      </c>
      <c r="F1098" s="5">
        <v>894</v>
      </c>
      <c r="G1098" s="5" t="str">
        <f>VLOOKUP(C1098,Sheet2!$C$3:$D$12,2,0)</f>
        <v>Variable</v>
      </c>
      <c r="H1098" s="5" t="str">
        <f>IFERROR(VLOOKUP(E1098,Sheet2!$G$3:$H$8,2,0),"unkwon")</f>
        <v>online</v>
      </c>
      <c r="I1098" s="5">
        <f>VLOOKUP(B1098,Sheet2!$J$4:$K$15,2,0)</f>
        <v>2</v>
      </c>
      <c r="J1098" s="5">
        <f>IFERROR(VLOOKUP(C1098,Sheet2!$M$4:$N$12,2,0),0)</f>
        <v>4000</v>
      </c>
      <c r="K1098" s="5" t="str">
        <f t="shared" si="17"/>
        <v>within budget</v>
      </c>
    </row>
    <row r="1099" spans="1:11" x14ac:dyDescent="0.3">
      <c r="A1099" s="6">
        <v>45260</v>
      </c>
      <c r="B1099" s="5" t="s">
        <v>40</v>
      </c>
      <c r="C1099" s="5" t="s">
        <v>35</v>
      </c>
      <c r="D1099" s="5" t="s">
        <v>18</v>
      </c>
      <c r="E1099" s="5" t="s">
        <v>32</v>
      </c>
      <c r="F1099" s="5">
        <v>1098</v>
      </c>
      <c r="G1099" s="5" t="str">
        <f>VLOOKUP(C1099,Sheet2!$C$3:$D$12,2,0)</f>
        <v>Fixed</v>
      </c>
      <c r="H1099" s="5" t="str">
        <f>IFERROR(VLOOKUP(E1099,Sheet2!$G$3:$H$8,2,0),"unkwon")</f>
        <v>offline</v>
      </c>
      <c r="I1099" s="5">
        <f>VLOOKUP(B1099,Sheet2!$J$4:$K$15,2,0)</f>
        <v>11</v>
      </c>
      <c r="J1099" s="5">
        <f>IFERROR(VLOOKUP(C1099,Sheet2!$M$4:$N$12,2,0),0)</f>
        <v>5500</v>
      </c>
      <c r="K1099" s="5" t="str">
        <f t="shared" si="17"/>
        <v>within budget</v>
      </c>
    </row>
    <row r="1100" spans="1:11" x14ac:dyDescent="0.3">
      <c r="A1100" s="6">
        <v>45468</v>
      </c>
      <c r="B1100" s="5" t="s">
        <v>39</v>
      </c>
      <c r="C1100" s="5" t="s">
        <v>27</v>
      </c>
      <c r="D1100" s="5" t="s">
        <v>23</v>
      </c>
      <c r="E1100" s="5" t="s">
        <v>12</v>
      </c>
      <c r="F1100" s="5">
        <v>1727</v>
      </c>
      <c r="G1100" s="5" t="str">
        <f>VLOOKUP(C1100,Sheet2!$C$3:$D$12,2,0)</f>
        <v>Variable</v>
      </c>
      <c r="H1100" s="5" t="str">
        <f>IFERROR(VLOOKUP(E1100,Sheet2!$G$3:$H$8,2,0),"unkwon")</f>
        <v>online</v>
      </c>
      <c r="I1100" s="5">
        <f>VLOOKUP(B1100,Sheet2!$J$4:$K$15,2,0)</f>
        <v>6</v>
      </c>
      <c r="J1100" s="5">
        <f>IFERROR(VLOOKUP(C1100,Sheet2!$M$4:$N$12,2,0),0)</f>
        <v>4000</v>
      </c>
      <c r="K1100" s="5" t="str">
        <f t="shared" si="17"/>
        <v>within budget</v>
      </c>
    </row>
    <row r="1101" spans="1:11" x14ac:dyDescent="0.3">
      <c r="A1101" s="6">
        <v>45150</v>
      </c>
      <c r="B1101" s="5" t="s">
        <v>25</v>
      </c>
      <c r="C1101" s="5" t="s">
        <v>30</v>
      </c>
      <c r="D1101" s="5" t="s">
        <v>11</v>
      </c>
      <c r="E1101" s="5" t="s">
        <v>32</v>
      </c>
      <c r="F1101" s="5">
        <v>904</v>
      </c>
      <c r="G1101" s="5" t="str">
        <f>VLOOKUP(C1101,Sheet2!$C$3:$D$12,2,0)</f>
        <v>Fixed</v>
      </c>
      <c r="H1101" s="5" t="str">
        <f>IFERROR(VLOOKUP(E1101,Sheet2!$G$3:$H$8,2,0),"unkwon")</f>
        <v>offline</v>
      </c>
      <c r="I1101" s="5">
        <f>VLOOKUP(B1101,Sheet2!$J$4:$K$15,2,0)</f>
        <v>8</v>
      </c>
      <c r="J1101" s="5">
        <f>IFERROR(VLOOKUP(C1101,Sheet2!$M$4:$N$12,2,0),0)</f>
        <v>3000</v>
      </c>
      <c r="K1101" s="5" t="str">
        <f t="shared" si="17"/>
        <v>within budget</v>
      </c>
    </row>
    <row r="1102" spans="1:11" x14ac:dyDescent="0.3">
      <c r="A1102" s="6">
        <v>45575</v>
      </c>
      <c r="B1102" s="5" t="s">
        <v>6</v>
      </c>
      <c r="C1102" s="5" t="s">
        <v>41</v>
      </c>
      <c r="D1102" s="5" t="s">
        <v>24</v>
      </c>
      <c r="E1102" s="5" t="s">
        <v>9</v>
      </c>
      <c r="F1102" s="5">
        <v>533</v>
      </c>
      <c r="G1102" s="5" t="str">
        <f>VLOOKUP(C1102,Sheet2!$C$3:$D$12,2,0)</f>
        <v>Variable</v>
      </c>
      <c r="H1102" s="5" t="str">
        <f>IFERROR(VLOOKUP(E1102,Sheet2!$G$3:$H$8,2,0),"unkwon")</f>
        <v>online</v>
      </c>
      <c r="I1102" s="5">
        <f>VLOOKUP(B1102,Sheet2!$J$4:$K$15,2,0)</f>
        <v>10</v>
      </c>
      <c r="J1102" s="5">
        <f>IFERROR(VLOOKUP(C1102,Sheet2!$M$4:$N$12,2,0),0)</f>
        <v>7000</v>
      </c>
      <c r="K1102" s="5" t="str">
        <f t="shared" si="17"/>
        <v>within budget</v>
      </c>
    </row>
    <row r="1103" spans="1:11" x14ac:dyDescent="0.3">
      <c r="A1103" s="6">
        <v>45434</v>
      </c>
      <c r="B1103" s="5" t="s">
        <v>28</v>
      </c>
      <c r="C1103" s="5" t="s">
        <v>13</v>
      </c>
      <c r="D1103" s="5" t="s">
        <v>8</v>
      </c>
      <c r="E1103" s="5" t="s">
        <v>32</v>
      </c>
      <c r="F1103" s="5">
        <v>1572</v>
      </c>
      <c r="G1103" s="5" t="str">
        <f>VLOOKUP(C1103,Sheet2!$C$3:$D$12,2,0)</f>
        <v>Variable</v>
      </c>
      <c r="H1103" s="5" t="str">
        <f>IFERROR(VLOOKUP(E1103,Sheet2!$G$3:$H$8,2,0),"unkwon")</f>
        <v>offline</v>
      </c>
      <c r="I1103" s="5">
        <f>VLOOKUP(B1103,Sheet2!$J$4:$K$15,2,0)</f>
        <v>5</v>
      </c>
      <c r="J1103" s="5">
        <f>IFERROR(VLOOKUP(C1103,Sheet2!$M$4:$N$12,2,0),0)</f>
        <v>5000</v>
      </c>
      <c r="K1103" s="5" t="str">
        <f t="shared" si="17"/>
        <v>within budget</v>
      </c>
    </row>
    <row r="1104" spans="1:11" x14ac:dyDescent="0.3">
      <c r="A1104" s="6">
        <v>45141</v>
      </c>
      <c r="B1104" s="5" t="s">
        <v>25</v>
      </c>
      <c r="C1104" s="5" t="s">
        <v>36</v>
      </c>
      <c r="D1104" s="5" t="s">
        <v>8</v>
      </c>
      <c r="E1104" s="5" t="s">
        <v>17</v>
      </c>
      <c r="F1104" s="5">
        <v>1397</v>
      </c>
      <c r="G1104" s="5" t="str">
        <f>VLOOKUP(C1104,Sheet2!$C$3:$D$12,2,0)</f>
        <v>Variable</v>
      </c>
      <c r="H1104" s="5" t="str">
        <f>IFERROR(VLOOKUP(E1104,Sheet2!$G$3:$H$8,2,0),"unkwon")</f>
        <v>online</v>
      </c>
      <c r="I1104" s="5">
        <f>VLOOKUP(B1104,Sheet2!$J$4:$K$15,2,0)</f>
        <v>8</v>
      </c>
      <c r="J1104" s="5">
        <f>IFERROR(VLOOKUP(C1104,Sheet2!$M$4:$N$12,2,0),0)</f>
        <v>10000</v>
      </c>
      <c r="K1104" s="5" t="str">
        <f t="shared" si="17"/>
        <v>within budget</v>
      </c>
    </row>
    <row r="1105" spans="1:11" x14ac:dyDescent="0.3">
      <c r="A1105" s="6">
        <v>45081</v>
      </c>
      <c r="B1105" s="5" t="s">
        <v>39</v>
      </c>
      <c r="C1105" s="5" t="s">
        <v>22</v>
      </c>
      <c r="D1105" s="5" t="s">
        <v>14</v>
      </c>
      <c r="E1105" s="5" t="s">
        <v>32</v>
      </c>
      <c r="F1105" s="5">
        <v>3200</v>
      </c>
      <c r="G1105" s="5" t="str">
        <f>VLOOKUP(C1105,Sheet2!$C$3:$D$12,2,0)</f>
        <v>Variable</v>
      </c>
      <c r="H1105" s="5" t="str">
        <f>IFERROR(VLOOKUP(E1105,Sheet2!$G$3:$H$8,2,0),"unkwon")</f>
        <v>offline</v>
      </c>
      <c r="I1105" s="5">
        <f>VLOOKUP(B1105,Sheet2!$J$4:$K$15,2,0)</f>
        <v>6</v>
      </c>
      <c r="J1105" s="5">
        <f>IFERROR(VLOOKUP(C1105,Sheet2!$M$4:$N$12,2,0),0)</f>
        <v>1000</v>
      </c>
      <c r="K1105" s="5" t="str">
        <f t="shared" si="17"/>
        <v>over budget</v>
      </c>
    </row>
    <row r="1106" spans="1:11" x14ac:dyDescent="0.3">
      <c r="A1106" s="6">
        <v>45220</v>
      </c>
      <c r="B1106" s="5" t="s">
        <v>6</v>
      </c>
      <c r="C1106" s="5" t="s">
        <v>27</v>
      </c>
      <c r="D1106" s="5" t="s">
        <v>8</v>
      </c>
      <c r="E1106" s="5" t="s">
        <v>17</v>
      </c>
      <c r="F1106" s="5">
        <v>2728</v>
      </c>
      <c r="G1106" s="5" t="str">
        <f>VLOOKUP(C1106,Sheet2!$C$3:$D$12,2,0)</f>
        <v>Variable</v>
      </c>
      <c r="H1106" s="5" t="str">
        <f>IFERROR(VLOOKUP(E1106,Sheet2!$G$3:$H$8,2,0),"unkwon")</f>
        <v>online</v>
      </c>
      <c r="I1106" s="5">
        <f>VLOOKUP(B1106,Sheet2!$J$4:$K$15,2,0)</f>
        <v>10</v>
      </c>
      <c r="J1106" s="5">
        <f>IFERROR(VLOOKUP(C1106,Sheet2!$M$4:$N$12,2,0),0)</f>
        <v>4000</v>
      </c>
      <c r="K1106" s="5" t="str">
        <f t="shared" si="17"/>
        <v>within budget</v>
      </c>
    </row>
    <row r="1107" spans="1:11" x14ac:dyDescent="0.3">
      <c r="A1107" s="6">
        <v>45553</v>
      </c>
      <c r="B1107" s="5" t="s">
        <v>38</v>
      </c>
      <c r="C1107" s="5" t="s">
        <v>22</v>
      </c>
      <c r="D1107" s="5" t="s">
        <v>23</v>
      </c>
      <c r="E1107" s="5" t="s">
        <v>9</v>
      </c>
      <c r="F1107" s="5">
        <v>2746</v>
      </c>
      <c r="G1107" s="5" t="str">
        <f>VLOOKUP(C1107,Sheet2!$C$3:$D$12,2,0)</f>
        <v>Variable</v>
      </c>
      <c r="H1107" s="5" t="str">
        <f>IFERROR(VLOOKUP(E1107,Sheet2!$G$3:$H$8,2,0),"unkwon")</f>
        <v>online</v>
      </c>
      <c r="I1107" s="5">
        <f>VLOOKUP(B1107,Sheet2!$J$4:$K$15,2,0)</f>
        <v>9</v>
      </c>
      <c r="J1107" s="5">
        <f>IFERROR(VLOOKUP(C1107,Sheet2!$M$4:$N$12,2,0),0)</f>
        <v>1000</v>
      </c>
      <c r="K1107" s="5" t="str">
        <f t="shared" si="17"/>
        <v>over budget</v>
      </c>
    </row>
    <row r="1108" spans="1:11" x14ac:dyDescent="0.3">
      <c r="A1108" s="6">
        <v>44965</v>
      </c>
      <c r="B1108" s="5" t="s">
        <v>33</v>
      </c>
      <c r="C1108" s="5" t="s">
        <v>27</v>
      </c>
      <c r="D1108" s="5" t="s">
        <v>26</v>
      </c>
      <c r="E1108" s="5" t="s">
        <v>17</v>
      </c>
      <c r="F1108" s="5">
        <v>3255</v>
      </c>
      <c r="G1108" s="5" t="str">
        <f>VLOOKUP(C1108,Sheet2!$C$3:$D$12,2,0)</f>
        <v>Variable</v>
      </c>
      <c r="H1108" s="5" t="str">
        <f>IFERROR(VLOOKUP(E1108,Sheet2!$G$3:$H$8,2,0),"unkwon")</f>
        <v>online</v>
      </c>
      <c r="I1108" s="5">
        <f>VLOOKUP(B1108,Sheet2!$J$4:$K$15,2,0)</f>
        <v>2</v>
      </c>
      <c r="J1108" s="5">
        <f>IFERROR(VLOOKUP(C1108,Sheet2!$M$4:$N$12,2,0),0)</f>
        <v>4000</v>
      </c>
      <c r="K1108" s="5" t="str">
        <f t="shared" si="17"/>
        <v>within budget</v>
      </c>
    </row>
    <row r="1109" spans="1:11" x14ac:dyDescent="0.3">
      <c r="A1109" s="6">
        <v>45401</v>
      </c>
      <c r="B1109" s="5" t="s">
        <v>29</v>
      </c>
      <c r="C1109" s="5" t="s">
        <v>22</v>
      </c>
      <c r="D1109" s="5" t="s">
        <v>14</v>
      </c>
      <c r="E1109" s="5" t="s">
        <v>9</v>
      </c>
      <c r="F1109" s="5">
        <v>738</v>
      </c>
      <c r="G1109" s="5" t="str">
        <f>VLOOKUP(C1109,Sheet2!$C$3:$D$12,2,0)</f>
        <v>Variable</v>
      </c>
      <c r="H1109" s="5" t="str">
        <f>IFERROR(VLOOKUP(E1109,Sheet2!$G$3:$H$8,2,0),"unkwon")</f>
        <v>online</v>
      </c>
      <c r="I1109" s="5">
        <f>VLOOKUP(B1109,Sheet2!$J$4:$K$15,2,0)</f>
        <v>4</v>
      </c>
      <c r="J1109" s="5">
        <f>IFERROR(VLOOKUP(C1109,Sheet2!$M$4:$N$12,2,0),0)</f>
        <v>1000</v>
      </c>
      <c r="K1109" s="5" t="str">
        <f t="shared" si="17"/>
        <v>within budget</v>
      </c>
    </row>
    <row r="1110" spans="1:11" x14ac:dyDescent="0.3">
      <c r="A1110" s="6">
        <v>45558</v>
      </c>
      <c r="B1110" s="5" t="s">
        <v>38</v>
      </c>
      <c r="C1110" s="5" t="s">
        <v>7</v>
      </c>
      <c r="D1110" s="5" t="s">
        <v>34</v>
      </c>
      <c r="E1110" s="5" t="s">
        <v>9</v>
      </c>
      <c r="F1110" s="5">
        <v>1495</v>
      </c>
      <c r="G1110" s="5" t="str">
        <f>VLOOKUP(C1110,Sheet2!$C$3:$D$12,2,0)</f>
        <v>Fixed</v>
      </c>
      <c r="H1110" s="5" t="str">
        <f>IFERROR(VLOOKUP(E1110,Sheet2!$G$3:$H$8,2,0),"unkwon")</f>
        <v>online</v>
      </c>
      <c r="I1110" s="5">
        <f>VLOOKUP(B1110,Sheet2!$J$4:$K$15,2,0)</f>
        <v>9</v>
      </c>
      <c r="J1110" s="5">
        <f>IFERROR(VLOOKUP(C1110,Sheet2!$M$4:$N$12,2,0),0)</f>
        <v>2000</v>
      </c>
      <c r="K1110" s="5" t="str">
        <f t="shared" si="17"/>
        <v>within budget</v>
      </c>
    </row>
    <row r="1111" spans="1:11" x14ac:dyDescent="0.3">
      <c r="A1111" s="6">
        <v>45231</v>
      </c>
      <c r="B1111" s="5" t="s">
        <v>40</v>
      </c>
      <c r="C1111" s="5" t="s">
        <v>7</v>
      </c>
      <c r="D1111" s="5" t="s">
        <v>20</v>
      </c>
      <c r="E1111" s="5" t="s">
        <v>32</v>
      </c>
      <c r="F1111" s="5">
        <v>3785</v>
      </c>
      <c r="G1111" s="5" t="str">
        <f>VLOOKUP(C1111,Sheet2!$C$3:$D$12,2,0)</f>
        <v>Fixed</v>
      </c>
      <c r="H1111" s="5" t="str">
        <f>IFERROR(VLOOKUP(E1111,Sheet2!$G$3:$H$8,2,0),"unkwon")</f>
        <v>offline</v>
      </c>
      <c r="I1111" s="5">
        <f>VLOOKUP(B1111,Sheet2!$J$4:$K$15,2,0)</f>
        <v>11</v>
      </c>
      <c r="J1111" s="5">
        <f>IFERROR(VLOOKUP(C1111,Sheet2!$M$4:$N$12,2,0),0)</f>
        <v>2000</v>
      </c>
      <c r="K1111" s="5" t="str">
        <f t="shared" si="17"/>
        <v>over budget</v>
      </c>
    </row>
    <row r="1112" spans="1:11" x14ac:dyDescent="0.3">
      <c r="A1112" s="6">
        <v>44996</v>
      </c>
      <c r="B1112" s="5" t="s">
        <v>19</v>
      </c>
      <c r="C1112" s="5" t="s">
        <v>13</v>
      </c>
      <c r="D1112" s="5" t="s">
        <v>26</v>
      </c>
      <c r="E1112" s="5" t="s">
        <v>9</v>
      </c>
      <c r="F1112" s="5">
        <v>4565</v>
      </c>
      <c r="G1112" s="5" t="str">
        <f>VLOOKUP(C1112,Sheet2!$C$3:$D$12,2,0)</f>
        <v>Variable</v>
      </c>
      <c r="H1112" s="5" t="str">
        <f>IFERROR(VLOOKUP(E1112,Sheet2!$G$3:$H$8,2,0),"unkwon")</f>
        <v>online</v>
      </c>
      <c r="I1112" s="5">
        <f>VLOOKUP(B1112,Sheet2!$J$4:$K$15,2,0)</f>
        <v>3</v>
      </c>
      <c r="J1112" s="5">
        <f>IFERROR(VLOOKUP(C1112,Sheet2!$M$4:$N$12,2,0),0)</f>
        <v>5000</v>
      </c>
      <c r="K1112" s="5" t="str">
        <f t="shared" si="17"/>
        <v>within budget</v>
      </c>
    </row>
    <row r="1113" spans="1:11" x14ac:dyDescent="0.3">
      <c r="A1113" s="6">
        <v>45438</v>
      </c>
      <c r="B1113" s="5" t="s">
        <v>28</v>
      </c>
      <c r="C1113" s="5" t="s">
        <v>27</v>
      </c>
      <c r="D1113" s="5" t="s">
        <v>34</v>
      </c>
      <c r="E1113" s="5" t="s">
        <v>15</v>
      </c>
      <c r="F1113" s="5">
        <v>1245</v>
      </c>
      <c r="G1113" s="5" t="str">
        <f>VLOOKUP(C1113,Sheet2!$C$3:$D$12,2,0)</f>
        <v>Variable</v>
      </c>
      <c r="H1113" s="5" t="str">
        <f>IFERROR(VLOOKUP(E1113,Sheet2!$G$3:$H$8,2,0),"unkwon")</f>
        <v>online</v>
      </c>
      <c r="I1113" s="5">
        <f>VLOOKUP(B1113,Sheet2!$J$4:$K$15,2,0)</f>
        <v>5</v>
      </c>
      <c r="J1113" s="5">
        <f>IFERROR(VLOOKUP(C1113,Sheet2!$M$4:$N$12,2,0),0)</f>
        <v>4000</v>
      </c>
      <c r="K1113" s="5" t="str">
        <f t="shared" si="17"/>
        <v>within budget</v>
      </c>
    </row>
    <row r="1114" spans="1:11" x14ac:dyDescent="0.3">
      <c r="A1114" s="6">
        <v>45297</v>
      </c>
      <c r="B1114" s="5" t="s">
        <v>37</v>
      </c>
      <c r="C1114" s="5" t="s">
        <v>41</v>
      </c>
      <c r="D1114" s="5" t="s">
        <v>11</v>
      </c>
      <c r="E1114" s="5" t="s">
        <v>12</v>
      </c>
      <c r="F1114" s="5">
        <v>331</v>
      </c>
      <c r="G1114" s="5" t="str">
        <f>VLOOKUP(C1114,Sheet2!$C$3:$D$12,2,0)</f>
        <v>Variable</v>
      </c>
      <c r="H1114" s="5" t="str">
        <f>IFERROR(VLOOKUP(E1114,Sheet2!$G$3:$H$8,2,0),"unkwon")</f>
        <v>online</v>
      </c>
      <c r="I1114" s="5">
        <f>VLOOKUP(B1114,Sheet2!$J$4:$K$15,2,0)</f>
        <v>1</v>
      </c>
      <c r="J1114" s="5">
        <f>IFERROR(VLOOKUP(C1114,Sheet2!$M$4:$N$12,2,0),0)</f>
        <v>7000</v>
      </c>
      <c r="K1114" s="5" t="str">
        <f t="shared" si="17"/>
        <v>within budget</v>
      </c>
    </row>
    <row r="1115" spans="1:11" x14ac:dyDescent="0.3">
      <c r="A1115" s="6">
        <v>45218</v>
      </c>
      <c r="B1115" s="5" t="s">
        <v>6</v>
      </c>
      <c r="C1115" s="5" t="s">
        <v>7</v>
      </c>
      <c r="D1115" s="5" t="s">
        <v>20</v>
      </c>
      <c r="E1115" s="5" t="s">
        <v>12</v>
      </c>
      <c r="F1115" s="5">
        <v>559</v>
      </c>
      <c r="G1115" s="5" t="str">
        <f>VLOOKUP(C1115,Sheet2!$C$3:$D$12,2,0)</f>
        <v>Fixed</v>
      </c>
      <c r="H1115" s="5" t="str">
        <f>IFERROR(VLOOKUP(E1115,Sheet2!$G$3:$H$8,2,0),"unkwon")</f>
        <v>online</v>
      </c>
      <c r="I1115" s="5">
        <f>VLOOKUP(B1115,Sheet2!$J$4:$K$15,2,0)</f>
        <v>10</v>
      </c>
      <c r="J1115" s="5">
        <f>IFERROR(VLOOKUP(C1115,Sheet2!$M$4:$N$12,2,0),0)</f>
        <v>2000</v>
      </c>
      <c r="K1115" s="5" t="str">
        <f t="shared" si="17"/>
        <v>within budget</v>
      </c>
    </row>
    <row r="1116" spans="1:11" x14ac:dyDescent="0.3">
      <c r="A1116" s="6">
        <v>44974</v>
      </c>
      <c r="B1116" s="5" t="s">
        <v>33</v>
      </c>
      <c r="C1116" s="5" t="s">
        <v>27</v>
      </c>
      <c r="D1116" s="5" t="s">
        <v>26</v>
      </c>
      <c r="E1116" s="5" t="s">
        <v>15</v>
      </c>
      <c r="F1116" s="5">
        <v>656</v>
      </c>
      <c r="G1116" s="5" t="str">
        <f>VLOOKUP(C1116,Sheet2!$C$3:$D$12,2,0)</f>
        <v>Variable</v>
      </c>
      <c r="H1116" s="5" t="str">
        <f>IFERROR(VLOOKUP(E1116,Sheet2!$G$3:$H$8,2,0),"unkwon")</f>
        <v>online</v>
      </c>
      <c r="I1116" s="5">
        <f>VLOOKUP(B1116,Sheet2!$J$4:$K$15,2,0)</f>
        <v>2</v>
      </c>
      <c r="J1116" s="5">
        <f>IFERROR(VLOOKUP(C1116,Sheet2!$M$4:$N$12,2,0),0)</f>
        <v>4000</v>
      </c>
      <c r="K1116" s="5" t="str">
        <f t="shared" si="17"/>
        <v>within budget</v>
      </c>
    </row>
    <row r="1117" spans="1:11" x14ac:dyDescent="0.3">
      <c r="A1117" s="6">
        <v>45511</v>
      </c>
      <c r="B1117" s="5" t="s">
        <v>25</v>
      </c>
      <c r="C1117" s="5" t="s">
        <v>7</v>
      </c>
      <c r="D1117" s="5" t="s">
        <v>23</v>
      </c>
      <c r="E1117" s="5" t="s">
        <v>12</v>
      </c>
      <c r="F1117" s="5">
        <v>3570</v>
      </c>
      <c r="G1117" s="5" t="str">
        <f>VLOOKUP(C1117,Sheet2!$C$3:$D$12,2,0)</f>
        <v>Fixed</v>
      </c>
      <c r="H1117" s="5" t="str">
        <f>IFERROR(VLOOKUP(E1117,Sheet2!$G$3:$H$8,2,0),"unkwon")</f>
        <v>online</v>
      </c>
      <c r="I1117" s="5">
        <f>VLOOKUP(B1117,Sheet2!$J$4:$K$15,2,0)</f>
        <v>8</v>
      </c>
      <c r="J1117" s="5">
        <f>IFERROR(VLOOKUP(C1117,Sheet2!$M$4:$N$12,2,0),0)</f>
        <v>2000</v>
      </c>
      <c r="K1117" s="5" t="str">
        <f t="shared" si="17"/>
        <v>over budget</v>
      </c>
    </row>
    <row r="1118" spans="1:11" x14ac:dyDescent="0.3">
      <c r="A1118" s="6">
        <v>44964</v>
      </c>
      <c r="B1118" s="5" t="s">
        <v>33</v>
      </c>
      <c r="C1118" s="5" t="s">
        <v>35</v>
      </c>
      <c r="D1118" s="5" t="s">
        <v>24</v>
      </c>
      <c r="E1118" s="5" t="s">
        <v>17</v>
      </c>
      <c r="F1118" s="5">
        <v>3534</v>
      </c>
      <c r="G1118" s="5" t="str">
        <f>VLOOKUP(C1118,Sheet2!$C$3:$D$12,2,0)</f>
        <v>Fixed</v>
      </c>
      <c r="H1118" s="5" t="str">
        <f>IFERROR(VLOOKUP(E1118,Sheet2!$G$3:$H$8,2,0),"unkwon")</f>
        <v>online</v>
      </c>
      <c r="I1118" s="5">
        <f>VLOOKUP(B1118,Sheet2!$J$4:$K$15,2,0)</f>
        <v>2</v>
      </c>
      <c r="J1118" s="5">
        <f>IFERROR(VLOOKUP(C1118,Sheet2!$M$4:$N$12,2,0),0)</f>
        <v>5500</v>
      </c>
      <c r="K1118" s="5" t="str">
        <f t="shared" si="17"/>
        <v>within budget</v>
      </c>
    </row>
    <row r="1119" spans="1:11" x14ac:dyDescent="0.3">
      <c r="A1119" s="6">
        <v>45240</v>
      </c>
      <c r="B1119" s="5" t="s">
        <v>40</v>
      </c>
      <c r="C1119" s="5" t="s">
        <v>35</v>
      </c>
      <c r="D1119" s="5" t="s">
        <v>23</v>
      </c>
      <c r="E1119" s="5" t="s">
        <v>9</v>
      </c>
      <c r="F1119" s="5">
        <v>1959</v>
      </c>
      <c r="G1119" s="5" t="str">
        <f>VLOOKUP(C1119,Sheet2!$C$3:$D$12,2,0)</f>
        <v>Fixed</v>
      </c>
      <c r="H1119" s="5" t="str">
        <f>IFERROR(VLOOKUP(E1119,Sheet2!$G$3:$H$8,2,0),"unkwon")</f>
        <v>online</v>
      </c>
      <c r="I1119" s="5">
        <f>VLOOKUP(B1119,Sheet2!$J$4:$K$15,2,0)</f>
        <v>11</v>
      </c>
      <c r="J1119" s="5">
        <f>IFERROR(VLOOKUP(C1119,Sheet2!$M$4:$N$12,2,0),0)</f>
        <v>5500</v>
      </c>
      <c r="K1119" s="5" t="str">
        <f t="shared" si="17"/>
        <v>within budget</v>
      </c>
    </row>
    <row r="1120" spans="1:11" x14ac:dyDescent="0.3">
      <c r="A1120" s="6">
        <v>45171</v>
      </c>
      <c r="B1120" s="5" t="s">
        <v>38</v>
      </c>
      <c r="C1120" s="5" t="s">
        <v>22</v>
      </c>
      <c r="D1120" s="5" t="s">
        <v>24</v>
      </c>
      <c r="E1120" s="5" t="s">
        <v>12</v>
      </c>
      <c r="F1120" s="5">
        <v>629</v>
      </c>
      <c r="G1120" s="5" t="str">
        <f>VLOOKUP(C1120,Sheet2!$C$3:$D$12,2,0)</f>
        <v>Variable</v>
      </c>
      <c r="H1120" s="5" t="str">
        <f>IFERROR(VLOOKUP(E1120,Sheet2!$G$3:$H$8,2,0),"unkwon")</f>
        <v>online</v>
      </c>
      <c r="I1120" s="5">
        <f>VLOOKUP(B1120,Sheet2!$J$4:$K$15,2,0)</f>
        <v>9</v>
      </c>
      <c r="J1120" s="5">
        <f>IFERROR(VLOOKUP(C1120,Sheet2!$M$4:$N$12,2,0),0)</f>
        <v>1000</v>
      </c>
      <c r="K1120" s="5" t="str">
        <f t="shared" si="17"/>
        <v>within budget</v>
      </c>
    </row>
    <row r="1121" spans="1:11" x14ac:dyDescent="0.3">
      <c r="A1121" s="6">
        <v>45541</v>
      </c>
      <c r="B1121" s="5" t="s">
        <v>38</v>
      </c>
      <c r="C1121" s="5" t="s">
        <v>22</v>
      </c>
      <c r="D1121" s="5" t="s">
        <v>24</v>
      </c>
      <c r="E1121" s="5" t="s">
        <v>17</v>
      </c>
      <c r="F1121" s="5">
        <v>1560</v>
      </c>
      <c r="G1121" s="5" t="str">
        <f>VLOOKUP(C1121,Sheet2!$C$3:$D$12,2,0)</f>
        <v>Variable</v>
      </c>
      <c r="H1121" s="5" t="str">
        <f>IFERROR(VLOOKUP(E1121,Sheet2!$G$3:$H$8,2,0),"unkwon")</f>
        <v>online</v>
      </c>
      <c r="I1121" s="5">
        <f>VLOOKUP(B1121,Sheet2!$J$4:$K$15,2,0)</f>
        <v>9</v>
      </c>
      <c r="J1121" s="5">
        <f>IFERROR(VLOOKUP(C1121,Sheet2!$M$4:$N$12,2,0),0)</f>
        <v>1000</v>
      </c>
      <c r="K1121" s="5" t="str">
        <f t="shared" si="17"/>
        <v>over budget</v>
      </c>
    </row>
    <row r="1122" spans="1:11" x14ac:dyDescent="0.3">
      <c r="A1122" s="6">
        <v>45242</v>
      </c>
      <c r="B1122" s="5" t="s">
        <v>40</v>
      </c>
      <c r="C1122" s="5" t="s">
        <v>13</v>
      </c>
      <c r="D1122" s="5" t="s">
        <v>34</v>
      </c>
      <c r="E1122" s="5" t="s">
        <v>17</v>
      </c>
      <c r="F1122" s="5">
        <v>699</v>
      </c>
      <c r="G1122" s="5" t="str">
        <f>VLOOKUP(C1122,Sheet2!$C$3:$D$12,2,0)</f>
        <v>Variable</v>
      </c>
      <c r="H1122" s="5" t="str">
        <f>IFERROR(VLOOKUP(E1122,Sheet2!$G$3:$H$8,2,0),"unkwon")</f>
        <v>online</v>
      </c>
      <c r="I1122" s="5">
        <f>VLOOKUP(B1122,Sheet2!$J$4:$K$15,2,0)</f>
        <v>11</v>
      </c>
      <c r="J1122" s="5">
        <f>IFERROR(VLOOKUP(C1122,Sheet2!$M$4:$N$12,2,0),0)</f>
        <v>5000</v>
      </c>
      <c r="K1122" s="5" t="str">
        <f t="shared" si="17"/>
        <v>within budget</v>
      </c>
    </row>
    <row r="1123" spans="1:11" x14ac:dyDescent="0.3">
      <c r="A1123" s="6">
        <v>45009</v>
      </c>
      <c r="B1123" s="5" t="s">
        <v>19</v>
      </c>
      <c r="C1123" s="5" t="s">
        <v>10</v>
      </c>
      <c r="D1123" s="5" t="s">
        <v>14</v>
      </c>
      <c r="E1123" s="5" t="s">
        <v>15</v>
      </c>
      <c r="F1123" s="5">
        <v>1041</v>
      </c>
      <c r="G1123" s="5" t="str">
        <f>VLOOKUP(C1123,Sheet2!$C$3:$D$12,2,0)</f>
        <v>Variable</v>
      </c>
      <c r="H1123" s="5" t="str">
        <f>IFERROR(VLOOKUP(E1123,Sheet2!$G$3:$H$8,2,0),"unkwon")</f>
        <v>online</v>
      </c>
      <c r="I1123" s="5">
        <f>VLOOKUP(B1123,Sheet2!$J$4:$K$15,2,0)</f>
        <v>3</v>
      </c>
      <c r="J1123" s="5">
        <f>IFERROR(VLOOKUP(C1123,Sheet2!$M$4:$N$12,2,0),0)</f>
        <v>5000</v>
      </c>
      <c r="K1123" s="5" t="str">
        <f t="shared" si="17"/>
        <v>within budget</v>
      </c>
    </row>
    <row r="1124" spans="1:11" x14ac:dyDescent="0.3">
      <c r="A1124" s="6">
        <v>45095</v>
      </c>
      <c r="B1124" s="5" t="s">
        <v>39</v>
      </c>
      <c r="C1124" s="5" t="s">
        <v>36</v>
      </c>
      <c r="D1124" s="5" t="s">
        <v>26</v>
      </c>
      <c r="E1124" s="5" t="s">
        <v>17</v>
      </c>
      <c r="F1124" s="5">
        <v>178</v>
      </c>
      <c r="G1124" s="5" t="str">
        <f>VLOOKUP(C1124,Sheet2!$C$3:$D$12,2,0)</f>
        <v>Variable</v>
      </c>
      <c r="H1124" s="5" t="str">
        <f>IFERROR(VLOOKUP(E1124,Sheet2!$G$3:$H$8,2,0),"unkwon")</f>
        <v>online</v>
      </c>
      <c r="I1124" s="5">
        <f>VLOOKUP(B1124,Sheet2!$J$4:$K$15,2,0)</f>
        <v>6</v>
      </c>
      <c r="J1124" s="5">
        <f>IFERROR(VLOOKUP(C1124,Sheet2!$M$4:$N$12,2,0),0)</f>
        <v>10000</v>
      </c>
      <c r="K1124" s="5" t="str">
        <f t="shared" si="17"/>
        <v>within budget</v>
      </c>
    </row>
    <row r="1125" spans="1:11" x14ac:dyDescent="0.3">
      <c r="A1125" s="6">
        <v>45564</v>
      </c>
      <c r="B1125" s="5" t="s">
        <v>38</v>
      </c>
      <c r="C1125" s="5" t="s">
        <v>35</v>
      </c>
      <c r="D1125" s="5" t="s">
        <v>26</v>
      </c>
      <c r="E1125" s="5" t="s">
        <v>15</v>
      </c>
      <c r="F1125" s="5">
        <v>4703</v>
      </c>
      <c r="G1125" s="5" t="str">
        <f>VLOOKUP(C1125,Sheet2!$C$3:$D$12,2,0)</f>
        <v>Fixed</v>
      </c>
      <c r="H1125" s="5" t="str">
        <f>IFERROR(VLOOKUP(E1125,Sheet2!$G$3:$H$8,2,0),"unkwon")</f>
        <v>online</v>
      </c>
      <c r="I1125" s="5">
        <f>VLOOKUP(B1125,Sheet2!$J$4:$K$15,2,0)</f>
        <v>9</v>
      </c>
      <c r="J1125" s="5">
        <f>IFERROR(VLOOKUP(C1125,Sheet2!$M$4:$N$12,2,0),0)</f>
        <v>5500</v>
      </c>
      <c r="K1125" s="5" t="str">
        <f t="shared" si="17"/>
        <v>within budget</v>
      </c>
    </row>
    <row r="1126" spans="1:11" x14ac:dyDescent="0.3">
      <c r="A1126" s="6">
        <v>44996</v>
      </c>
      <c r="B1126" s="5" t="s">
        <v>19</v>
      </c>
      <c r="C1126" s="5" t="s">
        <v>22</v>
      </c>
      <c r="D1126" s="5" t="s">
        <v>20</v>
      </c>
      <c r="E1126" s="5" t="s">
        <v>32</v>
      </c>
      <c r="F1126" s="5">
        <v>275</v>
      </c>
      <c r="G1126" s="5" t="str">
        <f>VLOOKUP(C1126,Sheet2!$C$3:$D$12,2,0)</f>
        <v>Variable</v>
      </c>
      <c r="H1126" s="5" t="str">
        <f>IFERROR(VLOOKUP(E1126,Sheet2!$G$3:$H$8,2,0),"unkwon")</f>
        <v>offline</v>
      </c>
      <c r="I1126" s="5">
        <f>VLOOKUP(B1126,Sheet2!$J$4:$K$15,2,0)</f>
        <v>3</v>
      </c>
      <c r="J1126" s="5">
        <f>IFERROR(VLOOKUP(C1126,Sheet2!$M$4:$N$12,2,0),0)</f>
        <v>1000</v>
      </c>
      <c r="K1126" s="5" t="str">
        <f t="shared" si="17"/>
        <v>within budget</v>
      </c>
    </row>
    <row r="1127" spans="1:11" x14ac:dyDescent="0.3">
      <c r="A1127" s="6">
        <v>45456</v>
      </c>
      <c r="B1127" s="5" t="s">
        <v>39</v>
      </c>
      <c r="C1127" s="5" t="s">
        <v>10</v>
      </c>
      <c r="D1127" s="5" t="s">
        <v>11</v>
      </c>
      <c r="E1127" s="5" t="s">
        <v>32</v>
      </c>
      <c r="F1127" s="5">
        <v>3678</v>
      </c>
      <c r="G1127" s="5" t="str">
        <f>VLOOKUP(C1127,Sheet2!$C$3:$D$12,2,0)</f>
        <v>Variable</v>
      </c>
      <c r="H1127" s="5" t="str">
        <f>IFERROR(VLOOKUP(E1127,Sheet2!$G$3:$H$8,2,0),"unkwon")</f>
        <v>offline</v>
      </c>
      <c r="I1127" s="5">
        <f>VLOOKUP(B1127,Sheet2!$J$4:$K$15,2,0)</f>
        <v>6</v>
      </c>
      <c r="J1127" s="5">
        <f>IFERROR(VLOOKUP(C1127,Sheet2!$M$4:$N$12,2,0),0)</f>
        <v>5000</v>
      </c>
      <c r="K1127" s="5" t="str">
        <f t="shared" si="17"/>
        <v>within budget</v>
      </c>
    </row>
    <row r="1128" spans="1:11" x14ac:dyDescent="0.3">
      <c r="A1128" s="6">
        <v>44990</v>
      </c>
      <c r="B1128" s="5" t="s">
        <v>19</v>
      </c>
      <c r="C1128" s="5" t="s">
        <v>22</v>
      </c>
      <c r="D1128" s="5" t="s">
        <v>18</v>
      </c>
      <c r="E1128" s="5" t="s">
        <v>12</v>
      </c>
      <c r="F1128" s="5">
        <v>775</v>
      </c>
      <c r="G1128" s="5" t="str">
        <f>VLOOKUP(C1128,Sheet2!$C$3:$D$12,2,0)</f>
        <v>Variable</v>
      </c>
      <c r="H1128" s="5" t="str">
        <f>IFERROR(VLOOKUP(E1128,Sheet2!$G$3:$H$8,2,0),"unkwon")</f>
        <v>online</v>
      </c>
      <c r="I1128" s="5">
        <f>VLOOKUP(B1128,Sheet2!$J$4:$K$15,2,0)</f>
        <v>3</v>
      </c>
      <c r="J1128" s="5">
        <f>IFERROR(VLOOKUP(C1128,Sheet2!$M$4:$N$12,2,0),0)</f>
        <v>1000</v>
      </c>
      <c r="K1128" s="5" t="str">
        <f t="shared" si="17"/>
        <v>within budget</v>
      </c>
    </row>
    <row r="1129" spans="1:11" x14ac:dyDescent="0.3">
      <c r="A1129" s="6">
        <v>45196</v>
      </c>
      <c r="B1129" s="5" t="s">
        <v>38</v>
      </c>
      <c r="C1129" s="5" t="s">
        <v>41</v>
      </c>
      <c r="D1129" s="5" t="s">
        <v>24</v>
      </c>
      <c r="E1129" s="5" t="s">
        <v>12</v>
      </c>
      <c r="F1129" s="5">
        <v>1775</v>
      </c>
      <c r="G1129" s="5" t="str">
        <f>VLOOKUP(C1129,Sheet2!$C$3:$D$12,2,0)</f>
        <v>Variable</v>
      </c>
      <c r="H1129" s="5" t="str">
        <f>IFERROR(VLOOKUP(E1129,Sheet2!$G$3:$H$8,2,0),"unkwon")</f>
        <v>online</v>
      </c>
      <c r="I1129" s="5">
        <f>VLOOKUP(B1129,Sheet2!$J$4:$K$15,2,0)</f>
        <v>9</v>
      </c>
      <c r="J1129" s="5">
        <f>IFERROR(VLOOKUP(C1129,Sheet2!$M$4:$N$12,2,0),0)</f>
        <v>7000</v>
      </c>
      <c r="K1129" s="5" t="str">
        <f t="shared" si="17"/>
        <v>within budget</v>
      </c>
    </row>
    <row r="1130" spans="1:11" x14ac:dyDescent="0.3">
      <c r="A1130" s="6">
        <v>45153</v>
      </c>
      <c r="B1130" s="5" t="s">
        <v>25</v>
      </c>
      <c r="C1130" s="5" t="s">
        <v>36</v>
      </c>
      <c r="D1130" s="5" t="s">
        <v>34</v>
      </c>
      <c r="E1130" s="5" t="s">
        <v>17</v>
      </c>
      <c r="F1130" s="5">
        <v>4250</v>
      </c>
      <c r="G1130" s="5" t="str">
        <f>VLOOKUP(C1130,Sheet2!$C$3:$D$12,2,0)</f>
        <v>Variable</v>
      </c>
      <c r="H1130" s="5" t="str">
        <f>IFERROR(VLOOKUP(E1130,Sheet2!$G$3:$H$8,2,0),"unkwon")</f>
        <v>online</v>
      </c>
      <c r="I1130" s="5">
        <f>VLOOKUP(B1130,Sheet2!$J$4:$K$15,2,0)</f>
        <v>8</v>
      </c>
      <c r="J1130" s="5">
        <f>IFERROR(VLOOKUP(C1130,Sheet2!$M$4:$N$12,2,0),0)</f>
        <v>10000</v>
      </c>
      <c r="K1130" s="5" t="str">
        <f t="shared" si="17"/>
        <v>within budget</v>
      </c>
    </row>
    <row r="1131" spans="1:11" x14ac:dyDescent="0.3">
      <c r="A1131" s="6">
        <v>44967</v>
      </c>
      <c r="B1131" s="5" t="s">
        <v>33</v>
      </c>
      <c r="C1131" s="5" t="s">
        <v>35</v>
      </c>
      <c r="D1131" s="5" t="s">
        <v>8</v>
      </c>
      <c r="E1131" s="5" t="s">
        <v>32</v>
      </c>
      <c r="F1131" s="5">
        <v>3219</v>
      </c>
      <c r="G1131" s="5" t="str">
        <f>VLOOKUP(C1131,Sheet2!$C$3:$D$12,2,0)</f>
        <v>Fixed</v>
      </c>
      <c r="H1131" s="5" t="str">
        <f>IFERROR(VLOOKUP(E1131,Sheet2!$G$3:$H$8,2,0),"unkwon")</f>
        <v>offline</v>
      </c>
      <c r="I1131" s="5">
        <f>VLOOKUP(B1131,Sheet2!$J$4:$K$15,2,0)</f>
        <v>2</v>
      </c>
      <c r="J1131" s="5">
        <f>IFERROR(VLOOKUP(C1131,Sheet2!$M$4:$N$12,2,0),0)</f>
        <v>5500</v>
      </c>
      <c r="K1131" s="5" t="str">
        <f t="shared" si="17"/>
        <v>within budget</v>
      </c>
    </row>
    <row r="1132" spans="1:11" x14ac:dyDescent="0.3">
      <c r="A1132" s="6">
        <v>45633</v>
      </c>
      <c r="B1132" s="5" t="s">
        <v>16</v>
      </c>
      <c r="C1132" s="5" t="s">
        <v>41</v>
      </c>
      <c r="D1132" s="5" t="s">
        <v>23</v>
      </c>
      <c r="E1132" s="5" t="s">
        <v>32</v>
      </c>
      <c r="F1132" s="5">
        <v>4499</v>
      </c>
      <c r="G1132" s="5" t="str">
        <f>VLOOKUP(C1132,Sheet2!$C$3:$D$12,2,0)</f>
        <v>Variable</v>
      </c>
      <c r="H1132" s="5" t="str">
        <f>IFERROR(VLOOKUP(E1132,Sheet2!$G$3:$H$8,2,0),"unkwon")</f>
        <v>offline</v>
      </c>
      <c r="I1132" s="5">
        <f>VLOOKUP(B1132,Sheet2!$J$4:$K$15,2,0)</f>
        <v>12</v>
      </c>
      <c r="J1132" s="5">
        <f>IFERROR(VLOOKUP(C1132,Sheet2!$M$4:$N$12,2,0),0)</f>
        <v>7000</v>
      </c>
      <c r="K1132" s="5" t="str">
        <f t="shared" si="17"/>
        <v>within budget</v>
      </c>
    </row>
    <row r="1133" spans="1:11" x14ac:dyDescent="0.3">
      <c r="A1133" s="6">
        <v>45578</v>
      </c>
      <c r="B1133" s="5" t="s">
        <v>6</v>
      </c>
      <c r="C1133" s="5" t="s">
        <v>35</v>
      </c>
      <c r="D1133" s="5" t="s">
        <v>34</v>
      </c>
      <c r="E1133" s="5" t="s">
        <v>12</v>
      </c>
      <c r="F1133" s="5">
        <v>3341</v>
      </c>
      <c r="G1133" s="5" t="str">
        <f>VLOOKUP(C1133,Sheet2!$C$3:$D$12,2,0)</f>
        <v>Fixed</v>
      </c>
      <c r="H1133" s="5" t="str">
        <f>IFERROR(VLOOKUP(E1133,Sheet2!$G$3:$H$8,2,0),"unkwon")</f>
        <v>online</v>
      </c>
      <c r="I1133" s="5">
        <f>VLOOKUP(B1133,Sheet2!$J$4:$K$15,2,0)</f>
        <v>10</v>
      </c>
      <c r="J1133" s="5">
        <f>IFERROR(VLOOKUP(C1133,Sheet2!$M$4:$N$12,2,0),0)</f>
        <v>5500</v>
      </c>
      <c r="K1133" s="5" t="str">
        <f t="shared" si="17"/>
        <v>within budget</v>
      </c>
    </row>
    <row r="1134" spans="1:11" x14ac:dyDescent="0.3">
      <c r="A1134" s="6">
        <v>45154</v>
      </c>
      <c r="B1134" s="5" t="s">
        <v>25</v>
      </c>
      <c r="C1134" s="5" t="s">
        <v>36</v>
      </c>
      <c r="D1134" s="5" t="s">
        <v>31</v>
      </c>
      <c r="E1134" s="5" t="s">
        <v>32</v>
      </c>
      <c r="F1134" s="5">
        <v>1851</v>
      </c>
      <c r="G1134" s="5" t="str">
        <f>VLOOKUP(C1134,Sheet2!$C$3:$D$12,2,0)</f>
        <v>Variable</v>
      </c>
      <c r="H1134" s="5" t="str">
        <f>IFERROR(VLOOKUP(E1134,Sheet2!$G$3:$H$8,2,0),"unkwon")</f>
        <v>offline</v>
      </c>
      <c r="I1134" s="5">
        <f>VLOOKUP(B1134,Sheet2!$J$4:$K$15,2,0)</f>
        <v>8</v>
      </c>
      <c r="J1134" s="5">
        <f>IFERROR(VLOOKUP(C1134,Sheet2!$M$4:$N$12,2,0),0)</f>
        <v>10000</v>
      </c>
      <c r="K1134" s="5" t="str">
        <f t="shared" si="17"/>
        <v>within budget</v>
      </c>
    </row>
    <row r="1135" spans="1:11" x14ac:dyDescent="0.3">
      <c r="A1135" s="6">
        <v>45306</v>
      </c>
      <c r="B1135" s="5" t="s">
        <v>37</v>
      </c>
      <c r="C1135" s="5" t="s">
        <v>13</v>
      </c>
      <c r="D1135" s="5" t="s">
        <v>14</v>
      </c>
      <c r="E1135" s="5" t="s">
        <v>15</v>
      </c>
      <c r="F1135" s="5">
        <v>3402</v>
      </c>
      <c r="G1135" s="5" t="str">
        <f>VLOOKUP(C1135,Sheet2!$C$3:$D$12,2,0)</f>
        <v>Variable</v>
      </c>
      <c r="H1135" s="5" t="str">
        <f>IFERROR(VLOOKUP(E1135,Sheet2!$G$3:$H$8,2,0),"unkwon")</f>
        <v>online</v>
      </c>
      <c r="I1135" s="5">
        <f>VLOOKUP(B1135,Sheet2!$J$4:$K$15,2,0)</f>
        <v>1</v>
      </c>
      <c r="J1135" s="5">
        <f>IFERROR(VLOOKUP(C1135,Sheet2!$M$4:$N$12,2,0),0)</f>
        <v>5000</v>
      </c>
      <c r="K1135" s="5" t="str">
        <f t="shared" si="17"/>
        <v>within budget</v>
      </c>
    </row>
    <row r="1136" spans="1:11" x14ac:dyDescent="0.3">
      <c r="A1136" s="6">
        <v>44986</v>
      </c>
      <c r="B1136" s="5" t="s">
        <v>19</v>
      </c>
      <c r="C1136" s="5" t="s">
        <v>10</v>
      </c>
      <c r="D1136" s="5" t="s">
        <v>24</v>
      </c>
      <c r="E1136" s="5" t="s">
        <v>15</v>
      </c>
      <c r="F1136" s="5">
        <v>3021</v>
      </c>
      <c r="G1136" s="5" t="str">
        <f>VLOOKUP(C1136,Sheet2!$C$3:$D$12,2,0)</f>
        <v>Variable</v>
      </c>
      <c r="H1136" s="5" t="str">
        <f>IFERROR(VLOOKUP(E1136,Sheet2!$G$3:$H$8,2,0),"unkwon")</f>
        <v>online</v>
      </c>
      <c r="I1136" s="5">
        <f>VLOOKUP(B1136,Sheet2!$J$4:$K$15,2,0)</f>
        <v>3</v>
      </c>
      <c r="J1136" s="5">
        <f>IFERROR(VLOOKUP(C1136,Sheet2!$M$4:$N$12,2,0),0)</f>
        <v>5000</v>
      </c>
      <c r="K1136" s="5" t="str">
        <f t="shared" si="17"/>
        <v>within budget</v>
      </c>
    </row>
    <row r="1137" spans="1:11" x14ac:dyDescent="0.3">
      <c r="A1137" s="6">
        <v>45435</v>
      </c>
      <c r="B1137" s="5" t="s">
        <v>28</v>
      </c>
      <c r="C1137" s="5" t="s">
        <v>10</v>
      </c>
      <c r="D1137" s="5" t="s">
        <v>20</v>
      </c>
      <c r="E1137" s="5" t="s">
        <v>9</v>
      </c>
      <c r="F1137" s="5">
        <v>2182</v>
      </c>
      <c r="G1137" s="5" t="str">
        <f>VLOOKUP(C1137,Sheet2!$C$3:$D$12,2,0)</f>
        <v>Variable</v>
      </c>
      <c r="H1137" s="5" t="str">
        <f>IFERROR(VLOOKUP(E1137,Sheet2!$G$3:$H$8,2,0),"unkwon")</f>
        <v>online</v>
      </c>
      <c r="I1137" s="5">
        <f>VLOOKUP(B1137,Sheet2!$J$4:$K$15,2,0)</f>
        <v>5</v>
      </c>
      <c r="J1137" s="5">
        <f>IFERROR(VLOOKUP(C1137,Sheet2!$M$4:$N$12,2,0),0)</f>
        <v>5000</v>
      </c>
      <c r="K1137" s="5" t="str">
        <f t="shared" si="17"/>
        <v>within budget</v>
      </c>
    </row>
    <row r="1138" spans="1:11" x14ac:dyDescent="0.3">
      <c r="A1138" s="6">
        <v>45097</v>
      </c>
      <c r="B1138" s="5" t="s">
        <v>39</v>
      </c>
      <c r="C1138" s="5" t="s">
        <v>27</v>
      </c>
      <c r="D1138" s="5" t="s">
        <v>24</v>
      </c>
      <c r="E1138" s="5" t="s">
        <v>12</v>
      </c>
      <c r="F1138" s="5">
        <v>2499</v>
      </c>
      <c r="G1138" s="5" t="str">
        <f>VLOOKUP(C1138,Sheet2!$C$3:$D$12,2,0)</f>
        <v>Variable</v>
      </c>
      <c r="H1138" s="5" t="str">
        <f>IFERROR(VLOOKUP(E1138,Sheet2!$G$3:$H$8,2,0),"unkwon")</f>
        <v>online</v>
      </c>
      <c r="I1138" s="5">
        <f>VLOOKUP(B1138,Sheet2!$J$4:$K$15,2,0)</f>
        <v>6</v>
      </c>
      <c r="J1138" s="5">
        <f>IFERROR(VLOOKUP(C1138,Sheet2!$M$4:$N$12,2,0),0)</f>
        <v>4000</v>
      </c>
      <c r="K1138" s="5" t="str">
        <f t="shared" si="17"/>
        <v>within budget</v>
      </c>
    </row>
    <row r="1139" spans="1:11" x14ac:dyDescent="0.3">
      <c r="A1139" s="6">
        <v>45433</v>
      </c>
      <c r="B1139" s="5" t="s">
        <v>28</v>
      </c>
      <c r="C1139" s="5" t="s">
        <v>13</v>
      </c>
      <c r="D1139" s="5" t="s">
        <v>8</v>
      </c>
      <c r="E1139" s="5" t="s">
        <v>9</v>
      </c>
      <c r="F1139" s="5">
        <v>2208</v>
      </c>
      <c r="G1139" s="5" t="str">
        <f>VLOOKUP(C1139,Sheet2!$C$3:$D$12,2,0)</f>
        <v>Variable</v>
      </c>
      <c r="H1139" s="5" t="str">
        <f>IFERROR(VLOOKUP(E1139,Sheet2!$G$3:$H$8,2,0),"unkwon")</f>
        <v>online</v>
      </c>
      <c r="I1139" s="5">
        <f>VLOOKUP(B1139,Sheet2!$J$4:$K$15,2,0)</f>
        <v>5</v>
      </c>
      <c r="J1139" s="5">
        <f>IFERROR(VLOOKUP(C1139,Sheet2!$M$4:$N$12,2,0),0)</f>
        <v>5000</v>
      </c>
      <c r="K1139" s="5" t="str">
        <f t="shared" si="17"/>
        <v>within budget</v>
      </c>
    </row>
    <row r="1140" spans="1:11" x14ac:dyDescent="0.3">
      <c r="A1140" s="6">
        <v>45568</v>
      </c>
      <c r="B1140" s="5" t="s">
        <v>6</v>
      </c>
      <c r="C1140" s="5" t="s">
        <v>36</v>
      </c>
      <c r="D1140" s="5" t="s">
        <v>20</v>
      </c>
      <c r="E1140" s="5" t="s">
        <v>12</v>
      </c>
      <c r="F1140" s="5">
        <v>2658</v>
      </c>
      <c r="G1140" s="5" t="str">
        <f>VLOOKUP(C1140,Sheet2!$C$3:$D$12,2,0)</f>
        <v>Variable</v>
      </c>
      <c r="H1140" s="5" t="str">
        <f>IFERROR(VLOOKUP(E1140,Sheet2!$G$3:$H$8,2,0),"unkwon")</f>
        <v>online</v>
      </c>
      <c r="I1140" s="5">
        <f>VLOOKUP(B1140,Sheet2!$J$4:$K$15,2,0)</f>
        <v>10</v>
      </c>
      <c r="J1140" s="5">
        <f>IFERROR(VLOOKUP(C1140,Sheet2!$M$4:$N$12,2,0),0)</f>
        <v>10000</v>
      </c>
      <c r="K1140" s="5" t="str">
        <f t="shared" si="17"/>
        <v>within budget</v>
      </c>
    </row>
    <row r="1141" spans="1:11" x14ac:dyDescent="0.3">
      <c r="A1141" s="6">
        <v>45536</v>
      </c>
      <c r="B1141" s="5" t="s">
        <v>38</v>
      </c>
      <c r="C1141" s="5" t="s">
        <v>10</v>
      </c>
      <c r="D1141" s="5" t="s">
        <v>31</v>
      </c>
      <c r="E1141" s="5" t="s">
        <v>9</v>
      </c>
      <c r="F1141" s="5">
        <v>2135</v>
      </c>
      <c r="G1141" s="5" t="str">
        <f>VLOOKUP(C1141,Sheet2!$C$3:$D$12,2,0)</f>
        <v>Variable</v>
      </c>
      <c r="H1141" s="5" t="str">
        <f>IFERROR(VLOOKUP(E1141,Sheet2!$G$3:$H$8,2,0),"unkwon")</f>
        <v>online</v>
      </c>
      <c r="I1141" s="5">
        <f>VLOOKUP(B1141,Sheet2!$J$4:$K$15,2,0)</f>
        <v>9</v>
      </c>
      <c r="J1141" s="5">
        <f>IFERROR(VLOOKUP(C1141,Sheet2!$M$4:$N$12,2,0),0)</f>
        <v>5000</v>
      </c>
      <c r="K1141" s="5" t="str">
        <f t="shared" si="17"/>
        <v>within budget</v>
      </c>
    </row>
    <row r="1142" spans="1:11" x14ac:dyDescent="0.3">
      <c r="A1142" s="6">
        <v>44986</v>
      </c>
      <c r="B1142" s="5" t="s">
        <v>19</v>
      </c>
      <c r="C1142" s="5" t="s">
        <v>35</v>
      </c>
      <c r="D1142" s="5" t="s">
        <v>24</v>
      </c>
      <c r="E1142" s="5" t="s">
        <v>15</v>
      </c>
      <c r="F1142" s="5">
        <v>4636</v>
      </c>
      <c r="G1142" s="5" t="str">
        <f>VLOOKUP(C1142,Sheet2!$C$3:$D$12,2,0)</f>
        <v>Fixed</v>
      </c>
      <c r="H1142" s="5" t="str">
        <f>IFERROR(VLOOKUP(E1142,Sheet2!$G$3:$H$8,2,0),"unkwon")</f>
        <v>online</v>
      </c>
      <c r="I1142" s="5">
        <f>VLOOKUP(B1142,Sheet2!$J$4:$K$15,2,0)</f>
        <v>3</v>
      </c>
      <c r="J1142" s="5">
        <f>IFERROR(VLOOKUP(C1142,Sheet2!$M$4:$N$12,2,0),0)</f>
        <v>5500</v>
      </c>
      <c r="K1142" s="5" t="str">
        <f t="shared" si="17"/>
        <v>within budget</v>
      </c>
    </row>
    <row r="1143" spans="1:11" x14ac:dyDescent="0.3">
      <c r="A1143" s="6">
        <v>45134</v>
      </c>
      <c r="B1143" s="5" t="s">
        <v>21</v>
      </c>
      <c r="C1143" s="5" t="s">
        <v>27</v>
      </c>
      <c r="D1143" s="5" t="s">
        <v>18</v>
      </c>
      <c r="E1143" s="5" t="s">
        <v>15</v>
      </c>
      <c r="F1143" s="5">
        <v>3087</v>
      </c>
      <c r="G1143" s="5" t="str">
        <f>VLOOKUP(C1143,Sheet2!$C$3:$D$12,2,0)</f>
        <v>Variable</v>
      </c>
      <c r="H1143" s="5" t="str">
        <f>IFERROR(VLOOKUP(E1143,Sheet2!$G$3:$H$8,2,0),"unkwon")</f>
        <v>online</v>
      </c>
      <c r="I1143" s="5">
        <f>VLOOKUP(B1143,Sheet2!$J$4:$K$15,2,0)</f>
        <v>7</v>
      </c>
      <c r="J1143" s="5">
        <f>IFERROR(VLOOKUP(C1143,Sheet2!$M$4:$N$12,2,0),0)</f>
        <v>4000</v>
      </c>
      <c r="K1143" s="5" t="str">
        <f t="shared" si="17"/>
        <v>within budget</v>
      </c>
    </row>
    <row r="1144" spans="1:11" x14ac:dyDescent="0.3">
      <c r="A1144" s="6">
        <v>44952</v>
      </c>
      <c r="B1144" s="5" t="s">
        <v>37</v>
      </c>
      <c r="C1144" s="5" t="s">
        <v>27</v>
      </c>
      <c r="D1144" s="5" t="s">
        <v>31</v>
      </c>
      <c r="E1144" s="5" t="s">
        <v>9</v>
      </c>
      <c r="F1144" s="5">
        <v>1024</v>
      </c>
      <c r="G1144" s="5" t="str">
        <f>VLOOKUP(C1144,Sheet2!$C$3:$D$12,2,0)</f>
        <v>Variable</v>
      </c>
      <c r="H1144" s="5" t="str">
        <f>IFERROR(VLOOKUP(E1144,Sheet2!$G$3:$H$8,2,0),"unkwon")</f>
        <v>online</v>
      </c>
      <c r="I1144" s="5">
        <f>VLOOKUP(B1144,Sheet2!$J$4:$K$15,2,0)</f>
        <v>1</v>
      </c>
      <c r="J1144" s="5">
        <f>IFERROR(VLOOKUP(C1144,Sheet2!$M$4:$N$12,2,0),0)</f>
        <v>4000</v>
      </c>
      <c r="K1144" s="5" t="str">
        <f t="shared" si="17"/>
        <v>within budget</v>
      </c>
    </row>
    <row r="1145" spans="1:11" x14ac:dyDescent="0.3">
      <c r="A1145" s="6">
        <v>45054</v>
      </c>
      <c r="B1145" s="5" t="s">
        <v>28</v>
      </c>
      <c r="C1145" s="5" t="s">
        <v>27</v>
      </c>
      <c r="D1145" s="5" t="s">
        <v>11</v>
      </c>
      <c r="E1145" s="5" t="s">
        <v>15</v>
      </c>
      <c r="F1145" s="5">
        <v>2892</v>
      </c>
      <c r="G1145" s="5" t="str">
        <f>VLOOKUP(C1145,Sheet2!$C$3:$D$12,2,0)</f>
        <v>Variable</v>
      </c>
      <c r="H1145" s="5" t="str">
        <f>IFERROR(VLOOKUP(E1145,Sheet2!$G$3:$H$8,2,0),"unkwon")</f>
        <v>online</v>
      </c>
      <c r="I1145" s="5">
        <f>VLOOKUP(B1145,Sheet2!$J$4:$K$15,2,0)</f>
        <v>5</v>
      </c>
      <c r="J1145" s="5">
        <f>IFERROR(VLOOKUP(C1145,Sheet2!$M$4:$N$12,2,0),0)</f>
        <v>4000</v>
      </c>
      <c r="K1145" s="5" t="str">
        <f t="shared" si="17"/>
        <v>within budget</v>
      </c>
    </row>
    <row r="1146" spans="1:11" x14ac:dyDescent="0.3">
      <c r="A1146" s="6">
        <v>45471</v>
      </c>
      <c r="B1146" s="5" t="s">
        <v>39</v>
      </c>
      <c r="C1146" s="5" t="s">
        <v>13</v>
      </c>
      <c r="D1146" s="5" t="s">
        <v>23</v>
      </c>
      <c r="E1146" s="5" t="s">
        <v>9</v>
      </c>
      <c r="F1146" s="5">
        <v>4521</v>
      </c>
      <c r="G1146" s="5" t="str">
        <f>VLOOKUP(C1146,Sheet2!$C$3:$D$12,2,0)</f>
        <v>Variable</v>
      </c>
      <c r="H1146" s="5" t="str">
        <f>IFERROR(VLOOKUP(E1146,Sheet2!$G$3:$H$8,2,0),"unkwon")</f>
        <v>online</v>
      </c>
      <c r="I1146" s="5">
        <f>VLOOKUP(B1146,Sheet2!$J$4:$K$15,2,0)</f>
        <v>6</v>
      </c>
      <c r="J1146" s="5">
        <f>IFERROR(VLOOKUP(C1146,Sheet2!$M$4:$N$12,2,0),0)</f>
        <v>5000</v>
      </c>
      <c r="K1146" s="5" t="str">
        <f t="shared" si="17"/>
        <v>within budget</v>
      </c>
    </row>
    <row r="1147" spans="1:11" x14ac:dyDescent="0.3">
      <c r="A1147" s="6">
        <v>45214</v>
      </c>
      <c r="B1147" s="5" t="s">
        <v>6</v>
      </c>
      <c r="C1147" s="5" t="s">
        <v>13</v>
      </c>
      <c r="D1147" s="5" t="s">
        <v>34</v>
      </c>
      <c r="E1147" s="5" t="s">
        <v>17</v>
      </c>
      <c r="F1147" s="5">
        <v>345</v>
      </c>
      <c r="G1147" s="5" t="str">
        <f>VLOOKUP(C1147,Sheet2!$C$3:$D$12,2,0)</f>
        <v>Variable</v>
      </c>
      <c r="H1147" s="5" t="str">
        <f>IFERROR(VLOOKUP(E1147,Sheet2!$G$3:$H$8,2,0),"unkwon")</f>
        <v>online</v>
      </c>
      <c r="I1147" s="5">
        <f>VLOOKUP(B1147,Sheet2!$J$4:$K$15,2,0)</f>
        <v>10</v>
      </c>
      <c r="J1147" s="5">
        <f>IFERROR(VLOOKUP(C1147,Sheet2!$M$4:$N$12,2,0),0)</f>
        <v>5000</v>
      </c>
      <c r="K1147" s="5" t="str">
        <f t="shared" si="17"/>
        <v>within budget</v>
      </c>
    </row>
    <row r="1148" spans="1:11" x14ac:dyDescent="0.3">
      <c r="A1148" s="6">
        <v>45365</v>
      </c>
      <c r="B1148" s="5" t="s">
        <v>19</v>
      </c>
      <c r="C1148" s="5" t="s">
        <v>27</v>
      </c>
      <c r="D1148" s="5" t="s">
        <v>11</v>
      </c>
      <c r="E1148" s="5" t="s">
        <v>17</v>
      </c>
      <c r="F1148" s="5">
        <v>1410</v>
      </c>
      <c r="G1148" s="5" t="str">
        <f>VLOOKUP(C1148,Sheet2!$C$3:$D$12,2,0)</f>
        <v>Variable</v>
      </c>
      <c r="H1148" s="5" t="str">
        <f>IFERROR(VLOOKUP(E1148,Sheet2!$G$3:$H$8,2,0),"unkwon")</f>
        <v>online</v>
      </c>
      <c r="I1148" s="5">
        <f>VLOOKUP(B1148,Sheet2!$J$4:$K$15,2,0)</f>
        <v>3</v>
      </c>
      <c r="J1148" s="5">
        <f>IFERROR(VLOOKUP(C1148,Sheet2!$M$4:$N$12,2,0),0)</f>
        <v>4000</v>
      </c>
      <c r="K1148" s="5" t="str">
        <f t="shared" si="17"/>
        <v>within budget</v>
      </c>
    </row>
    <row r="1149" spans="1:11" x14ac:dyDescent="0.3">
      <c r="A1149" s="6">
        <v>45534</v>
      </c>
      <c r="B1149" s="5" t="s">
        <v>25</v>
      </c>
      <c r="C1149" s="5" t="s">
        <v>13</v>
      </c>
      <c r="D1149" s="5" t="s">
        <v>18</v>
      </c>
      <c r="E1149" s="5" t="s">
        <v>15</v>
      </c>
      <c r="F1149" s="5">
        <v>907</v>
      </c>
      <c r="G1149" s="5" t="str">
        <f>VLOOKUP(C1149,Sheet2!$C$3:$D$12,2,0)</f>
        <v>Variable</v>
      </c>
      <c r="H1149" s="5" t="str">
        <f>IFERROR(VLOOKUP(E1149,Sheet2!$G$3:$H$8,2,0),"unkwon")</f>
        <v>online</v>
      </c>
      <c r="I1149" s="5">
        <f>VLOOKUP(B1149,Sheet2!$J$4:$K$15,2,0)</f>
        <v>8</v>
      </c>
      <c r="J1149" s="5">
        <f>IFERROR(VLOOKUP(C1149,Sheet2!$M$4:$N$12,2,0),0)</f>
        <v>5000</v>
      </c>
      <c r="K1149" s="5" t="str">
        <f t="shared" si="17"/>
        <v>within budget</v>
      </c>
    </row>
    <row r="1150" spans="1:11" x14ac:dyDescent="0.3">
      <c r="A1150" s="6">
        <v>45197</v>
      </c>
      <c r="B1150" s="5" t="s">
        <v>38</v>
      </c>
      <c r="C1150" s="5" t="s">
        <v>22</v>
      </c>
      <c r="D1150" s="5" t="s">
        <v>14</v>
      </c>
      <c r="E1150" s="5" t="s">
        <v>32</v>
      </c>
      <c r="F1150" s="5">
        <v>4610</v>
      </c>
      <c r="G1150" s="5" t="str">
        <f>VLOOKUP(C1150,Sheet2!$C$3:$D$12,2,0)</f>
        <v>Variable</v>
      </c>
      <c r="H1150" s="5" t="str">
        <f>IFERROR(VLOOKUP(E1150,Sheet2!$G$3:$H$8,2,0),"unkwon")</f>
        <v>offline</v>
      </c>
      <c r="I1150" s="5">
        <f>VLOOKUP(B1150,Sheet2!$J$4:$K$15,2,0)</f>
        <v>9</v>
      </c>
      <c r="J1150" s="5">
        <f>IFERROR(VLOOKUP(C1150,Sheet2!$M$4:$N$12,2,0),0)</f>
        <v>1000</v>
      </c>
      <c r="K1150" s="5" t="str">
        <f t="shared" si="17"/>
        <v>over budget</v>
      </c>
    </row>
    <row r="1151" spans="1:11" x14ac:dyDescent="0.3">
      <c r="A1151" s="6">
        <v>45211</v>
      </c>
      <c r="B1151" s="5" t="s">
        <v>6</v>
      </c>
      <c r="C1151" s="5" t="s">
        <v>27</v>
      </c>
      <c r="D1151" s="5" t="s">
        <v>20</v>
      </c>
      <c r="E1151" s="5" t="s">
        <v>12</v>
      </c>
      <c r="F1151" s="5">
        <v>2417</v>
      </c>
      <c r="G1151" s="5" t="str">
        <f>VLOOKUP(C1151,Sheet2!$C$3:$D$12,2,0)</f>
        <v>Variable</v>
      </c>
      <c r="H1151" s="5" t="str">
        <f>IFERROR(VLOOKUP(E1151,Sheet2!$G$3:$H$8,2,0),"unkwon")</f>
        <v>online</v>
      </c>
      <c r="I1151" s="5">
        <f>VLOOKUP(B1151,Sheet2!$J$4:$K$15,2,0)</f>
        <v>10</v>
      </c>
      <c r="J1151" s="5">
        <f>IFERROR(VLOOKUP(C1151,Sheet2!$M$4:$N$12,2,0),0)</f>
        <v>4000</v>
      </c>
      <c r="K1151" s="5" t="str">
        <f t="shared" si="17"/>
        <v>within budget</v>
      </c>
    </row>
    <row r="1152" spans="1:11" x14ac:dyDescent="0.3">
      <c r="A1152" s="6">
        <v>45303</v>
      </c>
      <c r="B1152" s="5" t="s">
        <v>37</v>
      </c>
      <c r="C1152" s="5" t="s">
        <v>36</v>
      </c>
      <c r="D1152" s="5" t="s">
        <v>34</v>
      </c>
      <c r="E1152" s="5" t="s">
        <v>15</v>
      </c>
      <c r="F1152" s="5">
        <v>4911</v>
      </c>
      <c r="G1152" s="5" t="str">
        <f>VLOOKUP(C1152,Sheet2!$C$3:$D$12,2,0)</f>
        <v>Variable</v>
      </c>
      <c r="H1152" s="5" t="str">
        <f>IFERROR(VLOOKUP(E1152,Sheet2!$G$3:$H$8,2,0),"unkwon")</f>
        <v>online</v>
      </c>
      <c r="I1152" s="5">
        <f>VLOOKUP(B1152,Sheet2!$J$4:$K$15,2,0)</f>
        <v>1</v>
      </c>
      <c r="J1152" s="5">
        <f>IFERROR(VLOOKUP(C1152,Sheet2!$M$4:$N$12,2,0),0)</f>
        <v>10000</v>
      </c>
      <c r="K1152" s="5" t="str">
        <f t="shared" si="17"/>
        <v>within budget</v>
      </c>
    </row>
    <row r="1153" spans="1:11" x14ac:dyDescent="0.3">
      <c r="A1153" s="6">
        <v>45046</v>
      </c>
      <c r="B1153" s="5" t="s">
        <v>29</v>
      </c>
      <c r="C1153" s="5" t="s">
        <v>7</v>
      </c>
      <c r="D1153" s="5" t="s">
        <v>23</v>
      </c>
      <c r="E1153" s="5" t="s">
        <v>15</v>
      </c>
      <c r="F1153" s="5">
        <v>3364</v>
      </c>
      <c r="G1153" s="5" t="str">
        <f>VLOOKUP(C1153,Sheet2!$C$3:$D$12,2,0)</f>
        <v>Fixed</v>
      </c>
      <c r="H1153" s="5" t="str">
        <f>IFERROR(VLOOKUP(E1153,Sheet2!$G$3:$H$8,2,0),"unkwon")</f>
        <v>online</v>
      </c>
      <c r="I1153" s="5">
        <f>VLOOKUP(B1153,Sheet2!$J$4:$K$15,2,0)</f>
        <v>4</v>
      </c>
      <c r="J1153" s="5">
        <f>IFERROR(VLOOKUP(C1153,Sheet2!$M$4:$N$12,2,0),0)</f>
        <v>2000</v>
      </c>
      <c r="K1153" s="5" t="str">
        <f t="shared" si="17"/>
        <v>over budget</v>
      </c>
    </row>
    <row r="1154" spans="1:11" x14ac:dyDescent="0.3">
      <c r="A1154" s="6">
        <v>45112</v>
      </c>
      <c r="B1154" s="5" t="s">
        <v>21</v>
      </c>
      <c r="C1154" s="5" t="s">
        <v>36</v>
      </c>
      <c r="D1154" s="5" t="s">
        <v>31</v>
      </c>
      <c r="E1154" s="5" t="s">
        <v>32</v>
      </c>
      <c r="F1154" s="5">
        <v>1192</v>
      </c>
      <c r="G1154" s="5" t="str">
        <f>VLOOKUP(C1154,Sheet2!$C$3:$D$12,2,0)</f>
        <v>Variable</v>
      </c>
      <c r="H1154" s="5" t="str">
        <f>IFERROR(VLOOKUP(E1154,Sheet2!$G$3:$H$8,2,0),"unkwon")</f>
        <v>offline</v>
      </c>
      <c r="I1154" s="5">
        <f>VLOOKUP(B1154,Sheet2!$J$4:$K$15,2,0)</f>
        <v>7</v>
      </c>
      <c r="J1154" s="5">
        <f>IFERROR(VLOOKUP(C1154,Sheet2!$M$4:$N$12,2,0),0)</f>
        <v>10000</v>
      </c>
      <c r="K1154" s="5" t="str">
        <f t="shared" si="17"/>
        <v>within budget</v>
      </c>
    </row>
    <row r="1155" spans="1:11" x14ac:dyDescent="0.3">
      <c r="A1155" s="6">
        <v>45457</v>
      </c>
      <c r="B1155" s="5" t="s">
        <v>39</v>
      </c>
      <c r="C1155" s="5" t="s">
        <v>7</v>
      </c>
      <c r="D1155" s="5" t="s">
        <v>26</v>
      </c>
      <c r="E1155" s="5" t="s">
        <v>32</v>
      </c>
      <c r="F1155" s="5">
        <v>970</v>
      </c>
      <c r="G1155" s="5" t="str">
        <f>VLOOKUP(C1155,Sheet2!$C$3:$D$12,2,0)</f>
        <v>Fixed</v>
      </c>
      <c r="H1155" s="5" t="str">
        <f>IFERROR(VLOOKUP(E1155,Sheet2!$G$3:$H$8,2,0),"unkwon")</f>
        <v>offline</v>
      </c>
      <c r="I1155" s="5">
        <f>VLOOKUP(B1155,Sheet2!$J$4:$K$15,2,0)</f>
        <v>6</v>
      </c>
      <c r="J1155" s="5">
        <f>IFERROR(VLOOKUP(C1155,Sheet2!$M$4:$N$12,2,0),0)</f>
        <v>2000</v>
      </c>
      <c r="K1155" s="5" t="str">
        <f t="shared" ref="K1155:K1218" si="18">IF(F1155&gt;J1155,"over budget","within budget")</f>
        <v>within budget</v>
      </c>
    </row>
    <row r="1156" spans="1:11" x14ac:dyDescent="0.3">
      <c r="A1156" s="6">
        <v>45421</v>
      </c>
      <c r="B1156" s="5" t="s">
        <v>28</v>
      </c>
      <c r="C1156" s="5" t="s">
        <v>35</v>
      </c>
      <c r="D1156" s="5" t="s">
        <v>24</v>
      </c>
      <c r="E1156" s="5" t="s">
        <v>32</v>
      </c>
      <c r="F1156" s="5">
        <v>3188</v>
      </c>
      <c r="G1156" s="5" t="str">
        <f>VLOOKUP(C1156,Sheet2!$C$3:$D$12,2,0)</f>
        <v>Fixed</v>
      </c>
      <c r="H1156" s="5" t="str">
        <f>IFERROR(VLOOKUP(E1156,Sheet2!$G$3:$H$8,2,0),"unkwon")</f>
        <v>offline</v>
      </c>
      <c r="I1156" s="5">
        <f>VLOOKUP(B1156,Sheet2!$J$4:$K$15,2,0)</f>
        <v>5</v>
      </c>
      <c r="J1156" s="5">
        <f>IFERROR(VLOOKUP(C1156,Sheet2!$M$4:$N$12,2,0),0)</f>
        <v>5500</v>
      </c>
      <c r="K1156" s="5" t="str">
        <f t="shared" si="18"/>
        <v>within budget</v>
      </c>
    </row>
    <row r="1157" spans="1:11" x14ac:dyDescent="0.3">
      <c r="A1157" s="6">
        <v>45295</v>
      </c>
      <c r="B1157" s="5" t="s">
        <v>37</v>
      </c>
      <c r="C1157" s="5" t="s">
        <v>30</v>
      </c>
      <c r="D1157" s="5" t="s">
        <v>11</v>
      </c>
      <c r="E1157" s="5" t="s">
        <v>32</v>
      </c>
      <c r="F1157" s="5">
        <v>3486</v>
      </c>
      <c r="G1157" s="5" t="str">
        <f>VLOOKUP(C1157,Sheet2!$C$3:$D$12,2,0)</f>
        <v>Fixed</v>
      </c>
      <c r="H1157" s="5" t="str">
        <f>IFERROR(VLOOKUP(E1157,Sheet2!$G$3:$H$8,2,0),"unkwon")</f>
        <v>offline</v>
      </c>
      <c r="I1157" s="5">
        <f>VLOOKUP(B1157,Sheet2!$J$4:$K$15,2,0)</f>
        <v>1</v>
      </c>
      <c r="J1157" s="5">
        <f>IFERROR(VLOOKUP(C1157,Sheet2!$M$4:$N$12,2,0),0)</f>
        <v>3000</v>
      </c>
      <c r="K1157" s="5" t="str">
        <f t="shared" si="18"/>
        <v>over budget</v>
      </c>
    </row>
    <row r="1158" spans="1:11" x14ac:dyDescent="0.3">
      <c r="A1158" s="6">
        <v>45355</v>
      </c>
      <c r="B1158" s="5" t="s">
        <v>19</v>
      </c>
      <c r="C1158" s="5" t="s">
        <v>36</v>
      </c>
      <c r="D1158" s="5" t="s">
        <v>14</v>
      </c>
      <c r="E1158" s="5" t="s">
        <v>9</v>
      </c>
      <c r="F1158" s="5">
        <v>3711</v>
      </c>
      <c r="G1158" s="5" t="str">
        <f>VLOOKUP(C1158,Sheet2!$C$3:$D$12,2,0)</f>
        <v>Variable</v>
      </c>
      <c r="H1158" s="5" t="str">
        <f>IFERROR(VLOOKUP(E1158,Sheet2!$G$3:$H$8,2,0),"unkwon")</f>
        <v>online</v>
      </c>
      <c r="I1158" s="5">
        <f>VLOOKUP(B1158,Sheet2!$J$4:$K$15,2,0)</f>
        <v>3</v>
      </c>
      <c r="J1158" s="5">
        <f>IFERROR(VLOOKUP(C1158,Sheet2!$M$4:$N$12,2,0),0)</f>
        <v>10000</v>
      </c>
      <c r="K1158" s="5" t="str">
        <f t="shared" si="18"/>
        <v>within budget</v>
      </c>
    </row>
    <row r="1159" spans="1:11" x14ac:dyDescent="0.3">
      <c r="A1159" s="6">
        <v>45299</v>
      </c>
      <c r="B1159" s="5" t="s">
        <v>37</v>
      </c>
      <c r="C1159" s="5" t="s">
        <v>10</v>
      </c>
      <c r="D1159" s="5" t="s">
        <v>14</v>
      </c>
      <c r="E1159" s="5" t="s">
        <v>15</v>
      </c>
      <c r="F1159" s="5">
        <v>571</v>
      </c>
      <c r="G1159" s="5" t="str">
        <f>VLOOKUP(C1159,Sheet2!$C$3:$D$12,2,0)</f>
        <v>Variable</v>
      </c>
      <c r="H1159" s="5" t="str">
        <f>IFERROR(VLOOKUP(E1159,Sheet2!$G$3:$H$8,2,0),"unkwon")</f>
        <v>online</v>
      </c>
      <c r="I1159" s="5">
        <f>VLOOKUP(B1159,Sheet2!$J$4:$K$15,2,0)</f>
        <v>1</v>
      </c>
      <c r="J1159" s="5">
        <f>IFERROR(VLOOKUP(C1159,Sheet2!$M$4:$N$12,2,0),0)</f>
        <v>5000</v>
      </c>
      <c r="K1159" s="5" t="str">
        <f t="shared" si="18"/>
        <v>within budget</v>
      </c>
    </row>
    <row r="1160" spans="1:11" x14ac:dyDescent="0.3">
      <c r="A1160" s="6">
        <v>45607</v>
      </c>
      <c r="B1160" s="5" t="s">
        <v>40</v>
      </c>
      <c r="C1160" s="5" t="s">
        <v>41</v>
      </c>
      <c r="D1160" s="5" t="s">
        <v>31</v>
      </c>
      <c r="E1160" s="5" t="s">
        <v>9</v>
      </c>
      <c r="F1160" s="5">
        <v>1467</v>
      </c>
      <c r="G1160" s="5" t="str">
        <f>VLOOKUP(C1160,Sheet2!$C$3:$D$12,2,0)</f>
        <v>Variable</v>
      </c>
      <c r="H1160" s="5" t="str">
        <f>IFERROR(VLOOKUP(E1160,Sheet2!$G$3:$H$8,2,0),"unkwon")</f>
        <v>online</v>
      </c>
      <c r="I1160" s="5">
        <f>VLOOKUP(B1160,Sheet2!$J$4:$K$15,2,0)</f>
        <v>11</v>
      </c>
      <c r="J1160" s="5">
        <f>IFERROR(VLOOKUP(C1160,Sheet2!$M$4:$N$12,2,0),0)</f>
        <v>7000</v>
      </c>
      <c r="K1160" s="5" t="str">
        <f t="shared" si="18"/>
        <v>within budget</v>
      </c>
    </row>
    <row r="1161" spans="1:11" x14ac:dyDescent="0.3">
      <c r="A1161" s="6">
        <v>45208</v>
      </c>
      <c r="B1161" s="5" t="s">
        <v>6</v>
      </c>
      <c r="C1161" s="5" t="s">
        <v>22</v>
      </c>
      <c r="D1161" s="5" t="s">
        <v>18</v>
      </c>
      <c r="E1161" s="5" t="s">
        <v>9</v>
      </c>
      <c r="F1161" s="5">
        <v>345</v>
      </c>
      <c r="G1161" s="5" t="str">
        <f>VLOOKUP(C1161,Sheet2!$C$3:$D$12,2,0)</f>
        <v>Variable</v>
      </c>
      <c r="H1161" s="5" t="str">
        <f>IFERROR(VLOOKUP(E1161,Sheet2!$G$3:$H$8,2,0),"unkwon")</f>
        <v>online</v>
      </c>
      <c r="I1161" s="5">
        <f>VLOOKUP(B1161,Sheet2!$J$4:$K$15,2,0)</f>
        <v>10</v>
      </c>
      <c r="J1161" s="5">
        <f>IFERROR(VLOOKUP(C1161,Sheet2!$M$4:$N$12,2,0),0)</f>
        <v>1000</v>
      </c>
      <c r="K1161" s="5" t="str">
        <f t="shared" si="18"/>
        <v>within budget</v>
      </c>
    </row>
    <row r="1162" spans="1:11" x14ac:dyDescent="0.3">
      <c r="A1162" s="6">
        <v>45305</v>
      </c>
      <c r="B1162" s="5" t="s">
        <v>37</v>
      </c>
      <c r="C1162" s="5" t="s">
        <v>41</v>
      </c>
      <c r="D1162" s="5" t="s">
        <v>14</v>
      </c>
      <c r="E1162" s="5" t="s">
        <v>15</v>
      </c>
      <c r="F1162" s="5">
        <v>4552</v>
      </c>
      <c r="G1162" s="5" t="str">
        <f>VLOOKUP(C1162,Sheet2!$C$3:$D$12,2,0)</f>
        <v>Variable</v>
      </c>
      <c r="H1162" s="5" t="str">
        <f>IFERROR(VLOOKUP(E1162,Sheet2!$G$3:$H$8,2,0),"unkwon")</f>
        <v>online</v>
      </c>
      <c r="I1162" s="5">
        <f>VLOOKUP(B1162,Sheet2!$J$4:$K$15,2,0)</f>
        <v>1</v>
      </c>
      <c r="J1162" s="5">
        <f>IFERROR(VLOOKUP(C1162,Sheet2!$M$4:$N$12,2,0),0)</f>
        <v>7000</v>
      </c>
      <c r="K1162" s="5" t="str">
        <f t="shared" si="18"/>
        <v>within budget</v>
      </c>
    </row>
    <row r="1163" spans="1:11" x14ac:dyDescent="0.3">
      <c r="A1163" s="6">
        <v>45140</v>
      </c>
      <c r="B1163" s="5" t="s">
        <v>25</v>
      </c>
      <c r="C1163" s="5" t="s">
        <v>13</v>
      </c>
      <c r="D1163" s="5" t="s">
        <v>11</v>
      </c>
      <c r="E1163" s="5" t="s">
        <v>32</v>
      </c>
      <c r="F1163" s="5">
        <v>1891</v>
      </c>
      <c r="G1163" s="5" t="str">
        <f>VLOOKUP(C1163,Sheet2!$C$3:$D$12,2,0)</f>
        <v>Variable</v>
      </c>
      <c r="H1163" s="5" t="str">
        <f>IFERROR(VLOOKUP(E1163,Sheet2!$G$3:$H$8,2,0),"unkwon")</f>
        <v>offline</v>
      </c>
      <c r="I1163" s="5">
        <f>VLOOKUP(B1163,Sheet2!$J$4:$K$15,2,0)</f>
        <v>8</v>
      </c>
      <c r="J1163" s="5">
        <f>IFERROR(VLOOKUP(C1163,Sheet2!$M$4:$N$12,2,0),0)</f>
        <v>5000</v>
      </c>
      <c r="K1163" s="5" t="str">
        <f t="shared" si="18"/>
        <v>within budget</v>
      </c>
    </row>
    <row r="1164" spans="1:11" x14ac:dyDescent="0.3">
      <c r="A1164" s="6">
        <v>45566</v>
      </c>
      <c r="B1164" s="5" t="s">
        <v>6</v>
      </c>
      <c r="C1164" s="5" t="s">
        <v>30</v>
      </c>
      <c r="D1164" s="5" t="s">
        <v>34</v>
      </c>
      <c r="E1164" s="5" t="s">
        <v>12</v>
      </c>
      <c r="F1164" s="5">
        <v>1804</v>
      </c>
      <c r="G1164" s="5" t="str">
        <f>VLOOKUP(C1164,Sheet2!$C$3:$D$12,2,0)</f>
        <v>Fixed</v>
      </c>
      <c r="H1164" s="5" t="str">
        <f>IFERROR(VLOOKUP(E1164,Sheet2!$G$3:$H$8,2,0),"unkwon")</f>
        <v>online</v>
      </c>
      <c r="I1164" s="5">
        <f>VLOOKUP(B1164,Sheet2!$J$4:$K$15,2,0)</f>
        <v>10</v>
      </c>
      <c r="J1164" s="5">
        <f>IFERROR(VLOOKUP(C1164,Sheet2!$M$4:$N$12,2,0),0)</f>
        <v>3000</v>
      </c>
      <c r="K1164" s="5" t="str">
        <f t="shared" si="18"/>
        <v>within budget</v>
      </c>
    </row>
    <row r="1165" spans="1:11" x14ac:dyDescent="0.3">
      <c r="A1165" s="6">
        <v>45190</v>
      </c>
      <c r="B1165" s="5" t="s">
        <v>38</v>
      </c>
      <c r="C1165" s="5" t="s">
        <v>41</v>
      </c>
      <c r="D1165" s="5" t="s">
        <v>26</v>
      </c>
      <c r="E1165" s="5" t="s">
        <v>12</v>
      </c>
      <c r="F1165" s="5">
        <v>166</v>
      </c>
      <c r="G1165" s="5" t="str">
        <f>VLOOKUP(C1165,Sheet2!$C$3:$D$12,2,0)</f>
        <v>Variable</v>
      </c>
      <c r="H1165" s="5" t="str">
        <f>IFERROR(VLOOKUP(E1165,Sheet2!$G$3:$H$8,2,0),"unkwon")</f>
        <v>online</v>
      </c>
      <c r="I1165" s="5">
        <f>VLOOKUP(B1165,Sheet2!$J$4:$K$15,2,0)</f>
        <v>9</v>
      </c>
      <c r="J1165" s="5">
        <f>IFERROR(VLOOKUP(C1165,Sheet2!$M$4:$N$12,2,0),0)</f>
        <v>7000</v>
      </c>
      <c r="K1165" s="5" t="str">
        <f t="shared" si="18"/>
        <v>within budget</v>
      </c>
    </row>
    <row r="1166" spans="1:11" x14ac:dyDescent="0.3">
      <c r="A1166" s="6">
        <v>45256</v>
      </c>
      <c r="B1166" s="5" t="s">
        <v>40</v>
      </c>
      <c r="C1166" s="5" t="s">
        <v>7</v>
      </c>
      <c r="D1166" s="5" t="s">
        <v>14</v>
      </c>
      <c r="E1166" s="5" t="s">
        <v>17</v>
      </c>
      <c r="F1166" s="5">
        <v>4311</v>
      </c>
      <c r="G1166" s="5" t="str">
        <f>VLOOKUP(C1166,Sheet2!$C$3:$D$12,2,0)</f>
        <v>Fixed</v>
      </c>
      <c r="H1166" s="5" t="str">
        <f>IFERROR(VLOOKUP(E1166,Sheet2!$G$3:$H$8,2,0),"unkwon")</f>
        <v>online</v>
      </c>
      <c r="I1166" s="5">
        <f>VLOOKUP(B1166,Sheet2!$J$4:$K$15,2,0)</f>
        <v>11</v>
      </c>
      <c r="J1166" s="5">
        <f>IFERROR(VLOOKUP(C1166,Sheet2!$M$4:$N$12,2,0),0)</f>
        <v>2000</v>
      </c>
      <c r="K1166" s="5" t="str">
        <f t="shared" si="18"/>
        <v>over budget</v>
      </c>
    </row>
    <row r="1167" spans="1:11" x14ac:dyDescent="0.3">
      <c r="A1167" s="6">
        <v>45209</v>
      </c>
      <c r="B1167" s="5" t="s">
        <v>6</v>
      </c>
      <c r="C1167" s="5" t="s">
        <v>13</v>
      </c>
      <c r="D1167" s="5" t="s">
        <v>31</v>
      </c>
      <c r="E1167" s="5" t="s">
        <v>9</v>
      </c>
      <c r="F1167" s="5">
        <v>4084</v>
      </c>
      <c r="G1167" s="5" t="str">
        <f>VLOOKUP(C1167,Sheet2!$C$3:$D$12,2,0)</f>
        <v>Variable</v>
      </c>
      <c r="H1167" s="5" t="str">
        <f>IFERROR(VLOOKUP(E1167,Sheet2!$G$3:$H$8,2,0),"unkwon")</f>
        <v>online</v>
      </c>
      <c r="I1167" s="5">
        <f>VLOOKUP(B1167,Sheet2!$J$4:$K$15,2,0)</f>
        <v>10</v>
      </c>
      <c r="J1167" s="5">
        <f>IFERROR(VLOOKUP(C1167,Sheet2!$M$4:$N$12,2,0),0)</f>
        <v>5000</v>
      </c>
      <c r="K1167" s="5" t="str">
        <f t="shared" si="18"/>
        <v>within budget</v>
      </c>
    </row>
    <row r="1168" spans="1:11" x14ac:dyDescent="0.3">
      <c r="A1168" s="6">
        <v>45108</v>
      </c>
      <c r="B1168" s="5" t="s">
        <v>21</v>
      </c>
      <c r="C1168" s="5" t="s">
        <v>10</v>
      </c>
      <c r="D1168" s="5" t="s">
        <v>31</v>
      </c>
      <c r="E1168" s="5" t="s">
        <v>12</v>
      </c>
      <c r="F1168" s="5">
        <v>649</v>
      </c>
      <c r="G1168" s="5" t="str">
        <f>VLOOKUP(C1168,Sheet2!$C$3:$D$12,2,0)</f>
        <v>Variable</v>
      </c>
      <c r="H1168" s="5" t="str">
        <f>IFERROR(VLOOKUP(E1168,Sheet2!$G$3:$H$8,2,0),"unkwon")</f>
        <v>online</v>
      </c>
      <c r="I1168" s="5">
        <f>VLOOKUP(B1168,Sheet2!$J$4:$K$15,2,0)</f>
        <v>7</v>
      </c>
      <c r="J1168" s="5">
        <f>IFERROR(VLOOKUP(C1168,Sheet2!$M$4:$N$12,2,0),0)</f>
        <v>5000</v>
      </c>
      <c r="K1168" s="5" t="str">
        <f t="shared" si="18"/>
        <v>within budget</v>
      </c>
    </row>
    <row r="1169" spans="1:11" x14ac:dyDescent="0.3">
      <c r="A1169" s="6">
        <v>45432</v>
      </c>
      <c r="B1169" s="5" t="s">
        <v>28</v>
      </c>
      <c r="C1169" s="5" t="s">
        <v>10</v>
      </c>
      <c r="D1169" s="5" t="s">
        <v>31</v>
      </c>
      <c r="E1169" s="5" t="s">
        <v>32</v>
      </c>
      <c r="F1169" s="5">
        <v>623</v>
      </c>
      <c r="G1169" s="5" t="str">
        <f>VLOOKUP(C1169,Sheet2!$C$3:$D$12,2,0)</f>
        <v>Variable</v>
      </c>
      <c r="H1169" s="5" t="str">
        <f>IFERROR(VLOOKUP(E1169,Sheet2!$G$3:$H$8,2,0),"unkwon")</f>
        <v>offline</v>
      </c>
      <c r="I1169" s="5">
        <f>VLOOKUP(B1169,Sheet2!$J$4:$K$15,2,0)</f>
        <v>5</v>
      </c>
      <c r="J1169" s="5">
        <f>IFERROR(VLOOKUP(C1169,Sheet2!$M$4:$N$12,2,0),0)</f>
        <v>5000</v>
      </c>
      <c r="K1169" s="5" t="str">
        <f t="shared" si="18"/>
        <v>within budget</v>
      </c>
    </row>
    <row r="1170" spans="1:11" x14ac:dyDescent="0.3">
      <c r="A1170" s="6">
        <v>45424</v>
      </c>
      <c r="B1170" s="5" t="s">
        <v>28</v>
      </c>
      <c r="C1170" s="5" t="s">
        <v>35</v>
      </c>
      <c r="D1170" s="5" t="s">
        <v>31</v>
      </c>
      <c r="E1170" s="5" t="s">
        <v>17</v>
      </c>
      <c r="F1170" s="5">
        <v>1556</v>
      </c>
      <c r="G1170" s="5" t="str">
        <f>VLOOKUP(C1170,Sheet2!$C$3:$D$12,2,0)</f>
        <v>Fixed</v>
      </c>
      <c r="H1170" s="5" t="str">
        <f>IFERROR(VLOOKUP(E1170,Sheet2!$G$3:$H$8,2,0),"unkwon")</f>
        <v>online</v>
      </c>
      <c r="I1170" s="5">
        <f>VLOOKUP(B1170,Sheet2!$J$4:$K$15,2,0)</f>
        <v>5</v>
      </c>
      <c r="J1170" s="5">
        <f>IFERROR(VLOOKUP(C1170,Sheet2!$M$4:$N$12,2,0),0)</f>
        <v>5500</v>
      </c>
      <c r="K1170" s="5" t="str">
        <f t="shared" si="18"/>
        <v>within budget</v>
      </c>
    </row>
    <row r="1171" spans="1:11" x14ac:dyDescent="0.3">
      <c r="A1171" s="6">
        <v>45406</v>
      </c>
      <c r="B1171" s="5" t="s">
        <v>29</v>
      </c>
      <c r="C1171" s="5" t="s">
        <v>35</v>
      </c>
      <c r="D1171" s="5" t="s">
        <v>23</v>
      </c>
      <c r="E1171" s="5" t="s">
        <v>12</v>
      </c>
      <c r="F1171" s="5">
        <v>1712</v>
      </c>
      <c r="G1171" s="5" t="str">
        <f>VLOOKUP(C1171,Sheet2!$C$3:$D$12,2,0)</f>
        <v>Fixed</v>
      </c>
      <c r="H1171" s="5" t="str">
        <f>IFERROR(VLOOKUP(E1171,Sheet2!$G$3:$H$8,2,0),"unkwon")</f>
        <v>online</v>
      </c>
      <c r="I1171" s="5">
        <f>VLOOKUP(B1171,Sheet2!$J$4:$K$15,2,0)</f>
        <v>4</v>
      </c>
      <c r="J1171" s="5">
        <f>IFERROR(VLOOKUP(C1171,Sheet2!$M$4:$N$12,2,0),0)</f>
        <v>5500</v>
      </c>
      <c r="K1171" s="5" t="str">
        <f t="shared" si="18"/>
        <v>within budget</v>
      </c>
    </row>
    <row r="1172" spans="1:11" x14ac:dyDescent="0.3">
      <c r="A1172" s="6">
        <v>45607</v>
      </c>
      <c r="B1172" s="5" t="s">
        <v>40</v>
      </c>
      <c r="C1172" s="5" t="s">
        <v>41</v>
      </c>
      <c r="D1172" s="5" t="s">
        <v>23</v>
      </c>
      <c r="E1172" s="5" t="s">
        <v>15</v>
      </c>
      <c r="F1172" s="5">
        <v>3534</v>
      </c>
      <c r="G1172" s="5" t="str">
        <f>VLOOKUP(C1172,Sheet2!$C$3:$D$12,2,0)</f>
        <v>Variable</v>
      </c>
      <c r="H1172" s="5" t="str">
        <f>IFERROR(VLOOKUP(E1172,Sheet2!$G$3:$H$8,2,0),"unkwon")</f>
        <v>online</v>
      </c>
      <c r="I1172" s="5">
        <f>VLOOKUP(B1172,Sheet2!$J$4:$K$15,2,0)</f>
        <v>11</v>
      </c>
      <c r="J1172" s="5">
        <f>IFERROR(VLOOKUP(C1172,Sheet2!$M$4:$N$12,2,0),0)</f>
        <v>7000</v>
      </c>
      <c r="K1172" s="5" t="str">
        <f t="shared" si="18"/>
        <v>within budget</v>
      </c>
    </row>
    <row r="1173" spans="1:11" x14ac:dyDescent="0.3">
      <c r="A1173" s="6">
        <v>45639</v>
      </c>
      <c r="B1173" s="5" t="s">
        <v>16</v>
      </c>
      <c r="C1173" s="5" t="s">
        <v>22</v>
      </c>
      <c r="D1173" s="5" t="s">
        <v>24</v>
      </c>
      <c r="E1173" s="5" t="s">
        <v>9</v>
      </c>
      <c r="F1173" s="5">
        <v>1564</v>
      </c>
      <c r="G1173" s="5" t="str">
        <f>VLOOKUP(C1173,Sheet2!$C$3:$D$12,2,0)</f>
        <v>Variable</v>
      </c>
      <c r="H1173" s="5" t="str">
        <f>IFERROR(VLOOKUP(E1173,Sheet2!$G$3:$H$8,2,0),"unkwon")</f>
        <v>online</v>
      </c>
      <c r="I1173" s="5">
        <f>VLOOKUP(B1173,Sheet2!$J$4:$K$15,2,0)</f>
        <v>12</v>
      </c>
      <c r="J1173" s="5">
        <f>IFERROR(VLOOKUP(C1173,Sheet2!$M$4:$N$12,2,0),0)</f>
        <v>1000</v>
      </c>
      <c r="K1173" s="5" t="str">
        <f t="shared" si="18"/>
        <v>over budget</v>
      </c>
    </row>
    <row r="1174" spans="1:11" x14ac:dyDescent="0.3">
      <c r="A1174" s="6">
        <v>45561</v>
      </c>
      <c r="B1174" s="5" t="s">
        <v>38</v>
      </c>
      <c r="C1174" s="5" t="s">
        <v>35</v>
      </c>
      <c r="D1174" s="5" t="s">
        <v>20</v>
      </c>
      <c r="E1174" s="5" t="s">
        <v>15</v>
      </c>
      <c r="F1174" s="5">
        <v>4272</v>
      </c>
      <c r="G1174" s="5" t="str">
        <f>VLOOKUP(C1174,Sheet2!$C$3:$D$12,2,0)</f>
        <v>Fixed</v>
      </c>
      <c r="H1174" s="5" t="str">
        <f>IFERROR(VLOOKUP(E1174,Sheet2!$G$3:$H$8,2,0),"unkwon")</f>
        <v>online</v>
      </c>
      <c r="I1174" s="5">
        <f>VLOOKUP(B1174,Sheet2!$J$4:$K$15,2,0)</f>
        <v>9</v>
      </c>
      <c r="J1174" s="5">
        <f>IFERROR(VLOOKUP(C1174,Sheet2!$M$4:$N$12,2,0),0)</f>
        <v>5500</v>
      </c>
      <c r="K1174" s="5" t="str">
        <f t="shared" si="18"/>
        <v>within budget</v>
      </c>
    </row>
    <row r="1175" spans="1:11" x14ac:dyDescent="0.3">
      <c r="A1175" s="6">
        <v>45255</v>
      </c>
      <c r="B1175" s="5" t="s">
        <v>40</v>
      </c>
      <c r="C1175" s="5" t="s">
        <v>35</v>
      </c>
      <c r="D1175" s="5" t="s">
        <v>34</v>
      </c>
      <c r="E1175" s="5" t="s">
        <v>17</v>
      </c>
      <c r="F1175" s="5">
        <v>1828</v>
      </c>
      <c r="G1175" s="5" t="str">
        <f>VLOOKUP(C1175,Sheet2!$C$3:$D$12,2,0)</f>
        <v>Fixed</v>
      </c>
      <c r="H1175" s="5" t="str">
        <f>IFERROR(VLOOKUP(E1175,Sheet2!$G$3:$H$8,2,0),"unkwon")</f>
        <v>online</v>
      </c>
      <c r="I1175" s="5">
        <f>VLOOKUP(B1175,Sheet2!$J$4:$K$15,2,0)</f>
        <v>11</v>
      </c>
      <c r="J1175" s="5">
        <f>IFERROR(VLOOKUP(C1175,Sheet2!$M$4:$N$12,2,0),0)</f>
        <v>5500</v>
      </c>
      <c r="K1175" s="5" t="str">
        <f t="shared" si="18"/>
        <v>within budget</v>
      </c>
    </row>
    <row r="1176" spans="1:11" x14ac:dyDescent="0.3">
      <c r="A1176" s="6">
        <v>45336</v>
      </c>
      <c r="B1176" s="5" t="s">
        <v>33</v>
      </c>
      <c r="C1176" s="5" t="s">
        <v>41</v>
      </c>
      <c r="D1176" s="5" t="s">
        <v>8</v>
      </c>
      <c r="E1176" s="5" t="s">
        <v>17</v>
      </c>
      <c r="F1176" s="5">
        <v>155</v>
      </c>
      <c r="G1176" s="5" t="str">
        <f>VLOOKUP(C1176,Sheet2!$C$3:$D$12,2,0)</f>
        <v>Variable</v>
      </c>
      <c r="H1176" s="5" t="str">
        <f>IFERROR(VLOOKUP(E1176,Sheet2!$G$3:$H$8,2,0),"unkwon")</f>
        <v>online</v>
      </c>
      <c r="I1176" s="5">
        <f>VLOOKUP(B1176,Sheet2!$J$4:$K$15,2,0)</f>
        <v>2</v>
      </c>
      <c r="J1176" s="5">
        <f>IFERROR(VLOOKUP(C1176,Sheet2!$M$4:$N$12,2,0),0)</f>
        <v>7000</v>
      </c>
      <c r="K1176" s="5" t="str">
        <f t="shared" si="18"/>
        <v>within budget</v>
      </c>
    </row>
    <row r="1177" spans="1:11" x14ac:dyDescent="0.3">
      <c r="A1177" s="6">
        <v>45219</v>
      </c>
      <c r="B1177" s="5" t="s">
        <v>6</v>
      </c>
      <c r="C1177" s="5" t="s">
        <v>36</v>
      </c>
      <c r="D1177" s="5" t="s">
        <v>8</v>
      </c>
      <c r="E1177" s="5" t="s">
        <v>17</v>
      </c>
      <c r="F1177" s="5">
        <v>2822</v>
      </c>
      <c r="G1177" s="5" t="str">
        <f>VLOOKUP(C1177,Sheet2!$C$3:$D$12,2,0)</f>
        <v>Variable</v>
      </c>
      <c r="H1177" s="5" t="str">
        <f>IFERROR(VLOOKUP(E1177,Sheet2!$G$3:$H$8,2,0),"unkwon")</f>
        <v>online</v>
      </c>
      <c r="I1177" s="5">
        <f>VLOOKUP(B1177,Sheet2!$J$4:$K$15,2,0)</f>
        <v>10</v>
      </c>
      <c r="J1177" s="5">
        <f>IFERROR(VLOOKUP(C1177,Sheet2!$M$4:$N$12,2,0),0)</f>
        <v>10000</v>
      </c>
      <c r="K1177" s="5" t="str">
        <f t="shared" si="18"/>
        <v>within budget</v>
      </c>
    </row>
    <row r="1178" spans="1:11" x14ac:dyDescent="0.3">
      <c r="A1178" s="6">
        <v>45502</v>
      </c>
      <c r="B1178" s="5" t="s">
        <v>21</v>
      </c>
      <c r="C1178" s="5" t="s">
        <v>22</v>
      </c>
      <c r="D1178" s="5" t="s">
        <v>34</v>
      </c>
      <c r="E1178" s="5" t="s">
        <v>17</v>
      </c>
      <c r="F1178" s="5">
        <v>3902</v>
      </c>
      <c r="G1178" s="5" t="str">
        <f>VLOOKUP(C1178,Sheet2!$C$3:$D$12,2,0)</f>
        <v>Variable</v>
      </c>
      <c r="H1178" s="5" t="str">
        <f>IFERROR(VLOOKUP(E1178,Sheet2!$G$3:$H$8,2,0),"unkwon")</f>
        <v>online</v>
      </c>
      <c r="I1178" s="5">
        <f>VLOOKUP(B1178,Sheet2!$J$4:$K$15,2,0)</f>
        <v>7</v>
      </c>
      <c r="J1178" s="5">
        <f>IFERROR(VLOOKUP(C1178,Sheet2!$M$4:$N$12,2,0),0)</f>
        <v>1000</v>
      </c>
      <c r="K1178" s="5" t="str">
        <f t="shared" si="18"/>
        <v>over budget</v>
      </c>
    </row>
    <row r="1179" spans="1:11" x14ac:dyDescent="0.3">
      <c r="A1179" s="6">
        <v>44983</v>
      </c>
      <c r="B1179" s="5" t="s">
        <v>33</v>
      </c>
      <c r="C1179" s="5" t="s">
        <v>36</v>
      </c>
      <c r="D1179" s="5" t="s">
        <v>14</v>
      </c>
      <c r="E1179" s="5" t="s">
        <v>15</v>
      </c>
      <c r="F1179" s="5">
        <v>4869</v>
      </c>
      <c r="G1179" s="5" t="str">
        <f>VLOOKUP(C1179,Sheet2!$C$3:$D$12,2,0)</f>
        <v>Variable</v>
      </c>
      <c r="H1179" s="5" t="str">
        <f>IFERROR(VLOOKUP(E1179,Sheet2!$G$3:$H$8,2,0),"unkwon")</f>
        <v>online</v>
      </c>
      <c r="I1179" s="5">
        <f>VLOOKUP(B1179,Sheet2!$J$4:$K$15,2,0)</f>
        <v>2</v>
      </c>
      <c r="J1179" s="5">
        <f>IFERROR(VLOOKUP(C1179,Sheet2!$M$4:$N$12,2,0),0)</f>
        <v>10000</v>
      </c>
      <c r="K1179" s="5" t="str">
        <f t="shared" si="18"/>
        <v>within budget</v>
      </c>
    </row>
    <row r="1180" spans="1:11" x14ac:dyDescent="0.3">
      <c r="A1180" s="6">
        <v>45209</v>
      </c>
      <c r="B1180" s="5" t="s">
        <v>6</v>
      </c>
      <c r="C1180" s="5" t="s">
        <v>7</v>
      </c>
      <c r="D1180" s="5" t="s">
        <v>23</v>
      </c>
      <c r="E1180" s="5" t="s">
        <v>15</v>
      </c>
      <c r="F1180" s="5">
        <v>2483</v>
      </c>
      <c r="G1180" s="5" t="str">
        <f>VLOOKUP(C1180,Sheet2!$C$3:$D$12,2,0)</f>
        <v>Fixed</v>
      </c>
      <c r="H1180" s="5" t="str">
        <f>IFERROR(VLOOKUP(E1180,Sheet2!$G$3:$H$8,2,0),"unkwon")</f>
        <v>online</v>
      </c>
      <c r="I1180" s="5">
        <f>VLOOKUP(B1180,Sheet2!$J$4:$K$15,2,0)</f>
        <v>10</v>
      </c>
      <c r="J1180" s="5">
        <f>IFERROR(VLOOKUP(C1180,Sheet2!$M$4:$N$12,2,0),0)</f>
        <v>2000</v>
      </c>
      <c r="K1180" s="5" t="str">
        <f t="shared" si="18"/>
        <v>over budget</v>
      </c>
    </row>
    <row r="1181" spans="1:11" x14ac:dyDescent="0.3">
      <c r="A1181" s="6">
        <v>45430</v>
      </c>
      <c r="B1181" s="5" t="s">
        <v>28</v>
      </c>
      <c r="C1181" s="5" t="s">
        <v>22</v>
      </c>
      <c r="D1181" s="5" t="s">
        <v>24</v>
      </c>
      <c r="E1181" s="5" t="s">
        <v>15</v>
      </c>
      <c r="F1181" s="5">
        <v>1116</v>
      </c>
      <c r="G1181" s="5" t="str">
        <f>VLOOKUP(C1181,Sheet2!$C$3:$D$12,2,0)</f>
        <v>Variable</v>
      </c>
      <c r="H1181" s="5" t="str">
        <f>IFERROR(VLOOKUP(E1181,Sheet2!$G$3:$H$8,2,0),"unkwon")</f>
        <v>online</v>
      </c>
      <c r="I1181" s="5">
        <f>VLOOKUP(B1181,Sheet2!$J$4:$K$15,2,0)</f>
        <v>5</v>
      </c>
      <c r="J1181" s="5">
        <f>IFERROR(VLOOKUP(C1181,Sheet2!$M$4:$N$12,2,0),0)</f>
        <v>1000</v>
      </c>
      <c r="K1181" s="5" t="str">
        <f t="shared" si="18"/>
        <v>over budget</v>
      </c>
    </row>
    <row r="1182" spans="1:11" x14ac:dyDescent="0.3">
      <c r="A1182" s="6">
        <v>45637</v>
      </c>
      <c r="B1182" s="5" t="s">
        <v>16</v>
      </c>
      <c r="C1182" s="5" t="s">
        <v>36</v>
      </c>
      <c r="D1182" s="5" t="s">
        <v>34</v>
      </c>
      <c r="E1182" s="5" t="s">
        <v>32</v>
      </c>
      <c r="F1182" s="5">
        <v>1055</v>
      </c>
      <c r="G1182" s="5" t="str">
        <f>VLOOKUP(C1182,Sheet2!$C$3:$D$12,2,0)</f>
        <v>Variable</v>
      </c>
      <c r="H1182" s="5" t="str">
        <f>IFERROR(VLOOKUP(E1182,Sheet2!$G$3:$H$8,2,0),"unkwon")</f>
        <v>offline</v>
      </c>
      <c r="I1182" s="5">
        <f>VLOOKUP(B1182,Sheet2!$J$4:$K$15,2,0)</f>
        <v>12</v>
      </c>
      <c r="J1182" s="5">
        <f>IFERROR(VLOOKUP(C1182,Sheet2!$M$4:$N$12,2,0),0)</f>
        <v>10000</v>
      </c>
      <c r="K1182" s="5" t="str">
        <f t="shared" si="18"/>
        <v>within budget</v>
      </c>
    </row>
    <row r="1183" spans="1:11" x14ac:dyDescent="0.3">
      <c r="A1183" s="6">
        <v>45650</v>
      </c>
      <c r="B1183" s="5" t="s">
        <v>16</v>
      </c>
      <c r="C1183" s="5" t="s">
        <v>30</v>
      </c>
      <c r="D1183" s="5" t="s">
        <v>11</v>
      </c>
      <c r="E1183" s="5" t="s">
        <v>17</v>
      </c>
      <c r="F1183" s="5">
        <v>721</v>
      </c>
      <c r="G1183" s="5" t="str">
        <f>VLOOKUP(C1183,Sheet2!$C$3:$D$12,2,0)</f>
        <v>Fixed</v>
      </c>
      <c r="H1183" s="5" t="str">
        <f>IFERROR(VLOOKUP(E1183,Sheet2!$G$3:$H$8,2,0),"unkwon")</f>
        <v>online</v>
      </c>
      <c r="I1183" s="5">
        <f>VLOOKUP(B1183,Sheet2!$J$4:$K$15,2,0)</f>
        <v>12</v>
      </c>
      <c r="J1183" s="5">
        <f>IFERROR(VLOOKUP(C1183,Sheet2!$M$4:$N$12,2,0),0)</f>
        <v>3000</v>
      </c>
      <c r="K1183" s="5" t="str">
        <f t="shared" si="18"/>
        <v>within budget</v>
      </c>
    </row>
    <row r="1184" spans="1:11" x14ac:dyDescent="0.3">
      <c r="A1184" s="6">
        <v>45393</v>
      </c>
      <c r="B1184" s="5" t="s">
        <v>29</v>
      </c>
      <c r="C1184" s="5" t="s">
        <v>27</v>
      </c>
      <c r="D1184" s="5" t="s">
        <v>23</v>
      </c>
      <c r="E1184" s="5" t="s">
        <v>32</v>
      </c>
      <c r="F1184" s="5">
        <v>275</v>
      </c>
      <c r="G1184" s="5" t="str">
        <f>VLOOKUP(C1184,Sheet2!$C$3:$D$12,2,0)</f>
        <v>Variable</v>
      </c>
      <c r="H1184" s="5" t="str">
        <f>IFERROR(VLOOKUP(E1184,Sheet2!$G$3:$H$8,2,0),"unkwon")</f>
        <v>offline</v>
      </c>
      <c r="I1184" s="5">
        <f>VLOOKUP(B1184,Sheet2!$J$4:$K$15,2,0)</f>
        <v>4</v>
      </c>
      <c r="J1184" s="5">
        <f>IFERROR(VLOOKUP(C1184,Sheet2!$M$4:$N$12,2,0),0)</f>
        <v>4000</v>
      </c>
      <c r="K1184" s="5" t="str">
        <f t="shared" si="18"/>
        <v>within budget</v>
      </c>
    </row>
    <row r="1185" spans="1:11" x14ac:dyDescent="0.3">
      <c r="A1185" s="6">
        <v>45118</v>
      </c>
      <c r="B1185" s="5" t="s">
        <v>21</v>
      </c>
      <c r="C1185" s="5" t="s">
        <v>41</v>
      </c>
      <c r="D1185" s="5" t="s">
        <v>34</v>
      </c>
      <c r="E1185" s="5" t="s">
        <v>15</v>
      </c>
      <c r="F1185" s="5">
        <v>4858</v>
      </c>
      <c r="G1185" s="5" t="str">
        <f>VLOOKUP(C1185,Sheet2!$C$3:$D$12,2,0)</f>
        <v>Variable</v>
      </c>
      <c r="H1185" s="5" t="str">
        <f>IFERROR(VLOOKUP(E1185,Sheet2!$G$3:$H$8,2,0),"unkwon")</f>
        <v>online</v>
      </c>
      <c r="I1185" s="5">
        <f>VLOOKUP(B1185,Sheet2!$J$4:$K$15,2,0)</f>
        <v>7</v>
      </c>
      <c r="J1185" s="5">
        <f>IFERROR(VLOOKUP(C1185,Sheet2!$M$4:$N$12,2,0),0)</f>
        <v>7000</v>
      </c>
      <c r="K1185" s="5" t="str">
        <f t="shared" si="18"/>
        <v>within budget</v>
      </c>
    </row>
    <row r="1186" spans="1:11" x14ac:dyDescent="0.3">
      <c r="A1186" s="6">
        <v>45124</v>
      </c>
      <c r="B1186" s="5" t="s">
        <v>21</v>
      </c>
      <c r="C1186" s="5" t="s">
        <v>13</v>
      </c>
      <c r="D1186" s="5" t="s">
        <v>11</v>
      </c>
      <c r="E1186" s="5" t="s">
        <v>15</v>
      </c>
      <c r="F1186" s="5">
        <v>3466</v>
      </c>
      <c r="G1186" s="5" t="str">
        <f>VLOOKUP(C1186,Sheet2!$C$3:$D$12,2,0)</f>
        <v>Variable</v>
      </c>
      <c r="H1186" s="5" t="str">
        <f>IFERROR(VLOOKUP(E1186,Sheet2!$G$3:$H$8,2,0),"unkwon")</f>
        <v>online</v>
      </c>
      <c r="I1186" s="5">
        <f>VLOOKUP(B1186,Sheet2!$J$4:$K$15,2,0)</f>
        <v>7</v>
      </c>
      <c r="J1186" s="5">
        <f>IFERROR(VLOOKUP(C1186,Sheet2!$M$4:$N$12,2,0),0)</f>
        <v>5000</v>
      </c>
      <c r="K1186" s="5" t="str">
        <f t="shared" si="18"/>
        <v>within budget</v>
      </c>
    </row>
    <row r="1187" spans="1:11" x14ac:dyDescent="0.3">
      <c r="A1187" s="6">
        <v>45362</v>
      </c>
      <c r="B1187" s="5" t="s">
        <v>19</v>
      </c>
      <c r="C1187" s="5" t="s">
        <v>36</v>
      </c>
      <c r="D1187" s="5" t="s">
        <v>8</v>
      </c>
      <c r="E1187" s="5" t="s">
        <v>32</v>
      </c>
      <c r="F1187" s="5">
        <v>3251</v>
      </c>
      <c r="G1187" s="5" t="str">
        <f>VLOOKUP(C1187,Sheet2!$C$3:$D$12,2,0)</f>
        <v>Variable</v>
      </c>
      <c r="H1187" s="5" t="str">
        <f>IFERROR(VLOOKUP(E1187,Sheet2!$G$3:$H$8,2,0),"unkwon")</f>
        <v>offline</v>
      </c>
      <c r="I1187" s="5">
        <f>VLOOKUP(B1187,Sheet2!$J$4:$K$15,2,0)</f>
        <v>3</v>
      </c>
      <c r="J1187" s="5">
        <f>IFERROR(VLOOKUP(C1187,Sheet2!$M$4:$N$12,2,0),0)</f>
        <v>10000</v>
      </c>
      <c r="K1187" s="5" t="str">
        <f t="shared" si="18"/>
        <v>within budget</v>
      </c>
    </row>
    <row r="1188" spans="1:11" x14ac:dyDescent="0.3">
      <c r="A1188" s="6">
        <v>45030</v>
      </c>
      <c r="B1188" s="5" t="s">
        <v>29</v>
      </c>
      <c r="C1188" s="5" t="s">
        <v>36</v>
      </c>
      <c r="D1188" s="5" t="s">
        <v>8</v>
      </c>
      <c r="E1188" s="5" t="s">
        <v>32</v>
      </c>
      <c r="F1188" s="5">
        <v>2538</v>
      </c>
      <c r="G1188" s="5" t="str">
        <f>VLOOKUP(C1188,Sheet2!$C$3:$D$12,2,0)</f>
        <v>Variable</v>
      </c>
      <c r="H1188" s="5" t="str">
        <f>IFERROR(VLOOKUP(E1188,Sheet2!$G$3:$H$8,2,0),"unkwon")</f>
        <v>offline</v>
      </c>
      <c r="I1188" s="5">
        <f>VLOOKUP(B1188,Sheet2!$J$4:$K$15,2,0)</f>
        <v>4</v>
      </c>
      <c r="J1188" s="5">
        <f>IFERROR(VLOOKUP(C1188,Sheet2!$M$4:$N$12,2,0),0)</f>
        <v>10000</v>
      </c>
      <c r="K1188" s="5" t="str">
        <f t="shared" si="18"/>
        <v>within budget</v>
      </c>
    </row>
    <row r="1189" spans="1:11" x14ac:dyDescent="0.3">
      <c r="A1189" s="6">
        <v>45062</v>
      </c>
      <c r="B1189" s="5" t="s">
        <v>28</v>
      </c>
      <c r="C1189" s="5" t="s">
        <v>41</v>
      </c>
      <c r="D1189" s="5" t="s">
        <v>23</v>
      </c>
      <c r="E1189" s="5" t="s">
        <v>12</v>
      </c>
      <c r="F1189" s="5">
        <v>669</v>
      </c>
      <c r="G1189" s="5" t="str">
        <f>VLOOKUP(C1189,Sheet2!$C$3:$D$12,2,0)</f>
        <v>Variable</v>
      </c>
      <c r="H1189" s="5" t="str">
        <f>IFERROR(VLOOKUP(E1189,Sheet2!$G$3:$H$8,2,0),"unkwon")</f>
        <v>online</v>
      </c>
      <c r="I1189" s="5">
        <f>VLOOKUP(B1189,Sheet2!$J$4:$K$15,2,0)</f>
        <v>5</v>
      </c>
      <c r="J1189" s="5">
        <f>IFERROR(VLOOKUP(C1189,Sheet2!$M$4:$N$12,2,0),0)</f>
        <v>7000</v>
      </c>
      <c r="K1189" s="5" t="str">
        <f t="shared" si="18"/>
        <v>within budget</v>
      </c>
    </row>
    <row r="1190" spans="1:11" x14ac:dyDescent="0.3">
      <c r="A1190" s="6">
        <v>45508</v>
      </c>
      <c r="B1190" s="5" t="s">
        <v>25</v>
      </c>
      <c r="C1190" s="5" t="s">
        <v>27</v>
      </c>
      <c r="D1190" s="5" t="s">
        <v>18</v>
      </c>
      <c r="E1190" s="5" t="s">
        <v>12</v>
      </c>
      <c r="F1190" s="5">
        <v>4413</v>
      </c>
      <c r="G1190" s="5" t="str">
        <f>VLOOKUP(C1190,Sheet2!$C$3:$D$12,2,0)</f>
        <v>Variable</v>
      </c>
      <c r="H1190" s="5" t="str">
        <f>IFERROR(VLOOKUP(E1190,Sheet2!$G$3:$H$8,2,0),"unkwon")</f>
        <v>online</v>
      </c>
      <c r="I1190" s="5">
        <f>VLOOKUP(B1190,Sheet2!$J$4:$K$15,2,0)</f>
        <v>8</v>
      </c>
      <c r="J1190" s="5">
        <f>IFERROR(VLOOKUP(C1190,Sheet2!$M$4:$N$12,2,0),0)</f>
        <v>4000</v>
      </c>
      <c r="K1190" s="5" t="str">
        <f t="shared" si="18"/>
        <v>over budget</v>
      </c>
    </row>
    <row r="1191" spans="1:11" x14ac:dyDescent="0.3">
      <c r="A1191" s="6">
        <v>45101</v>
      </c>
      <c r="B1191" s="5" t="s">
        <v>39</v>
      </c>
      <c r="C1191" s="5" t="s">
        <v>27</v>
      </c>
      <c r="D1191" s="5" t="s">
        <v>24</v>
      </c>
      <c r="E1191" s="5" t="s">
        <v>32</v>
      </c>
      <c r="F1191" s="5">
        <v>4610</v>
      </c>
      <c r="G1191" s="5" t="str">
        <f>VLOOKUP(C1191,Sheet2!$C$3:$D$12,2,0)</f>
        <v>Variable</v>
      </c>
      <c r="H1191" s="5" t="str">
        <f>IFERROR(VLOOKUP(E1191,Sheet2!$G$3:$H$8,2,0),"unkwon")</f>
        <v>offline</v>
      </c>
      <c r="I1191" s="5">
        <f>VLOOKUP(B1191,Sheet2!$J$4:$K$15,2,0)</f>
        <v>6</v>
      </c>
      <c r="J1191" s="5">
        <f>IFERROR(VLOOKUP(C1191,Sheet2!$M$4:$N$12,2,0),0)</f>
        <v>4000</v>
      </c>
      <c r="K1191" s="5" t="str">
        <f t="shared" si="18"/>
        <v>over budget</v>
      </c>
    </row>
    <row r="1192" spans="1:11" x14ac:dyDescent="0.3">
      <c r="A1192" s="6">
        <v>45509</v>
      </c>
      <c r="B1192" s="5" t="s">
        <v>25</v>
      </c>
      <c r="C1192" s="5" t="s">
        <v>30</v>
      </c>
      <c r="D1192" s="5" t="s">
        <v>8</v>
      </c>
      <c r="E1192" s="5" t="s">
        <v>32</v>
      </c>
      <c r="F1192" s="5">
        <v>4242</v>
      </c>
      <c r="G1192" s="5" t="str">
        <f>VLOOKUP(C1192,Sheet2!$C$3:$D$12,2,0)</f>
        <v>Fixed</v>
      </c>
      <c r="H1192" s="5" t="str">
        <f>IFERROR(VLOOKUP(E1192,Sheet2!$G$3:$H$8,2,0),"unkwon")</f>
        <v>offline</v>
      </c>
      <c r="I1192" s="5">
        <f>VLOOKUP(B1192,Sheet2!$J$4:$K$15,2,0)</f>
        <v>8</v>
      </c>
      <c r="J1192" s="5">
        <f>IFERROR(VLOOKUP(C1192,Sheet2!$M$4:$N$12,2,0),0)</f>
        <v>3000</v>
      </c>
      <c r="K1192" s="5" t="str">
        <f t="shared" si="18"/>
        <v>over budget</v>
      </c>
    </row>
    <row r="1193" spans="1:11" x14ac:dyDescent="0.3">
      <c r="A1193" s="6">
        <v>45027</v>
      </c>
      <c r="B1193" s="5" t="s">
        <v>29</v>
      </c>
      <c r="C1193" s="5" t="s">
        <v>10</v>
      </c>
      <c r="D1193" s="5" t="s">
        <v>18</v>
      </c>
      <c r="E1193" s="5" t="s">
        <v>12</v>
      </c>
      <c r="F1193" s="5">
        <v>926</v>
      </c>
      <c r="G1193" s="5" t="str">
        <f>VLOOKUP(C1193,Sheet2!$C$3:$D$12,2,0)</f>
        <v>Variable</v>
      </c>
      <c r="H1193" s="5" t="str">
        <f>IFERROR(VLOOKUP(E1193,Sheet2!$G$3:$H$8,2,0),"unkwon")</f>
        <v>online</v>
      </c>
      <c r="I1193" s="5">
        <f>VLOOKUP(B1193,Sheet2!$J$4:$K$15,2,0)</f>
        <v>4</v>
      </c>
      <c r="J1193" s="5">
        <f>IFERROR(VLOOKUP(C1193,Sheet2!$M$4:$N$12,2,0),0)</f>
        <v>5000</v>
      </c>
      <c r="K1193" s="5" t="str">
        <f t="shared" si="18"/>
        <v>within budget</v>
      </c>
    </row>
    <row r="1194" spans="1:11" x14ac:dyDescent="0.3">
      <c r="A1194" s="6">
        <v>45524</v>
      </c>
      <c r="B1194" s="5" t="s">
        <v>25</v>
      </c>
      <c r="C1194" s="5" t="s">
        <v>27</v>
      </c>
      <c r="D1194" s="5" t="s">
        <v>31</v>
      </c>
      <c r="E1194" s="5" t="s">
        <v>15</v>
      </c>
      <c r="F1194" s="5">
        <v>327</v>
      </c>
      <c r="G1194" s="5" t="str">
        <f>VLOOKUP(C1194,Sheet2!$C$3:$D$12,2,0)</f>
        <v>Variable</v>
      </c>
      <c r="H1194" s="5" t="str">
        <f>IFERROR(VLOOKUP(E1194,Sheet2!$G$3:$H$8,2,0),"unkwon")</f>
        <v>online</v>
      </c>
      <c r="I1194" s="5">
        <f>VLOOKUP(B1194,Sheet2!$J$4:$K$15,2,0)</f>
        <v>8</v>
      </c>
      <c r="J1194" s="5">
        <f>IFERROR(VLOOKUP(C1194,Sheet2!$M$4:$N$12,2,0),0)</f>
        <v>4000</v>
      </c>
      <c r="K1194" s="5" t="str">
        <f t="shared" si="18"/>
        <v>within budget</v>
      </c>
    </row>
    <row r="1195" spans="1:11" x14ac:dyDescent="0.3">
      <c r="A1195" s="6">
        <v>45272</v>
      </c>
      <c r="B1195" s="5" t="s">
        <v>16</v>
      </c>
      <c r="C1195" s="5" t="s">
        <v>22</v>
      </c>
      <c r="D1195" s="5" t="s">
        <v>24</v>
      </c>
      <c r="E1195" s="5" t="s">
        <v>15</v>
      </c>
      <c r="F1195" s="5">
        <v>1993</v>
      </c>
      <c r="G1195" s="5" t="str">
        <f>VLOOKUP(C1195,Sheet2!$C$3:$D$12,2,0)</f>
        <v>Variable</v>
      </c>
      <c r="H1195" s="5" t="str">
        <f>IFERROR(VLOOKUP(E1195,Sheet2!$G$3:$H$8,2,0),"unkwon")</f>
        <v>online</v>
      </c>
      <c r="I1195" s="5">
        <f>VLOOKUP(B1195,Sheet2!$J$4:$K$15,2,0)</f>
        <v>12</v>
      </c>
      <c r="J1195" s="5">
        <f>IFERROR(VLOOKUP(C1195,Sheet2!$M$4:$N$12,2,0),0)</f>
        <v>1000</v>
      </c>
      <c r="K1195" s="5" t="str">
        <f t="shared" si="18"/>
        <v>over budget</v>
      </c>
    </row>
    <row r="1196" spans="1:11" x14ac:dyDescent="0.3">
      <c r="A1196" s="6">
        <v>45029</v>
      </c>
      <c r="B1196" s="5" t="s">
        <v>29</v>
      </c>
      <c r="C1196" s="5" t="s">
        <v>13</v>
      </c>
      <c r="D1196" s="5" t="s">
        <v>31</v>
      </c>
      <c r="E1196" s="5" t="s">
        <v>17</v>
      </c>
      <c r="F1196" s="5">
        <v>4333</v>
      </c>
      <c r="G1196" s="5" t="str">
        <f>VLOOKUP(C1196,Sheet2!$C$3:$D$12,2,0)</f>
        <v>Variable</v>
      </c>
      <c r="H1196" s="5" t="str">
        <f>IFERROR(VLOOKUP(E1196,Sheet2!$G$3:$H$8,2,0),"unkwon")</f>
        <v>online</v>
      </c>
      <c r="I1196" s="5">
        <f>VLOOKUP(B1196,Sheet2!$J$4:$K$15,2,0)</f>
        <v>4</v>
      </c>
      <c r="J1196" s="5">
        <f>IFERROR(VLOOKUP(C1196,Sheet2!$M$4:$N$12,2,0),0)</f>
        <v>5000</v>
      </c>
      <c r="K1196" s="5" t="str">
        <f t="shared" si="18"/>
        <v>within budget</v>
      </c>
    </row>
    <row r="1197" spans="1:11" x14ac:dyDescent="0.3">
      <c r="A1197" s="6">
        <v>45463</v>
      </c>
      <c r="B1197" s="5" t="s">
        <v>39</v>
      </c>
      <c r="C1197" s="5" t="s">
        <v>27</v>
      </c>
      <c r="D1197" s="5" t="s">
        <v>11</v>
      </c>
      <c r="E1197" s="5" t="s">
        <v>17</v>
      </c>
      <c r="F1197" s="5">
        <v>1967</v>
      </c>
      <c r="G1197" s="5" t="str">
        <f>VLOOKUP(C1197,Sheet2!$C$3:$D$12,2,0)</f>
        <v>Variable</v>
      </c>
      <c r="H1197" s="5" t="str">
        <f>IFERROR(VLOOKUP(E1197,Sheet2!$G$3:$H$8,2,0),"unkwon")</f>
        <v>online</v>
      </c>
      <c r="I1197" s="5">
        <f>VLOOKUP(B1197,Sheet2!$J$4:$K$15,2,0)</f>
        <v>6</v>
      </c>
      <c r="J1197" s="5">
        <f>IFERROR(VLOOKUP(C1197,Sheet2!$M$4:$N$12,2,0),0)</f>
        <v>4000</v>
      </c>
      <c r="K1197" s="5" t="str">
        <f t="shared" si="18"/>
        <v>within budget</v>
      </c>
    </row>
    <row r="1198" spans="1:11" x14ac:dyDescent="0.3">
      <c r="A1198" s="6">
        <v>45544</v>
      </c>
      <c r="B1198" s="5" t="s">
        <v>38</v>
      </c>
      <c r="C1198" s="5" t="s">
        <v>22</v>
      </c>
      <c r="D1198" s="5" t="s">
        <v>23</v>
      </c>
      <c r="E1198" s="5" t="s">
        <v>9</v>
      </c>
      <c r="F1198" s="5">
        <v>4370</v>
      </c>
      <c r="G1198" s="5" t="str">
        <f>VLOOKUP(C1198,Sheet2!$C$3:$D$12,2,0)</f>
        <v>Variable</v>
      </c>
      <c r="H1198" s="5" t="str">
        <f>IFERROR(VLOOKUP(E1198,Sheet2!$G$3:$H$8,2,0),"unkwon")</f>
        <v>online</v>
      </c>
      <c r="I1198" s="5">
        <f>VLOOKUP(B1198,Sheet2!$J$4:$K$15,2,0)</f>
        <v>9</v>
      </c>
      <c r="J1198" s="5">
        <f>IFERROR(VLOOKUP(C1198,Sheet2!$M$4:$N$12,2,0),0)</f>
        <v>1000</v>
      </c>
      <c r="K1198" s="5" t="str">
        <f t="shared" si="18"/>
        <v>over budget</v>
      </c>
    </row>
    <row r="1199" spans="1:11" x14ac:dyDescent="0.3">
      <c r="A1199" s="6">
        <v>45592</v>
      </c>
      <c r="B1199" s="5" t="s">
        <v>6</v>
      </c>
      <c r="C1199" s="5" t="s">
        <v>22</v>
      </c>
      <c r="D1199" s="5" t="s">
        <v>18</v>
      </c>
      <c r="E1199" s="5" t="s">
        <v>9</v>
      </c>
      <c r="F1199" s="5">
        <v>1262</v>
      </c>
      <c r="G1199" s="5" t="str">
        <f>VLOOKUP(C1199,Sheet2!$C$3:$D$12,2,0)</f>
        <v>Variable</v>
      </c>
      <c r="H1199" s="5" t="str">
        <f>IFERROR(VLOOKUP(E1199,Sheet2!$G$3:$H$8,2,0),"unkwon")</f>
        <v>online</v>
      </c>
      <c r="I1199" s="5">
        <f>VLOOKUP(B1199,Sheet2!$J$4:$K$15,2,0)</f>
        <v>10</v>
      </c>
      <c r="J1199" s="5">
        <f>IFERROR(VLOOKUP(C1199,Sheet2!$M$4:$N$12,2,0),0)</f>
        <v>1000</v>
      </c>
      <c r="K1199" s="5" t="str">
        <f t="shared" si="18"/>
        <v>over budget</v>
      </c>
    </row>
    <row r="1200" spans="1:11" x14ac:dyDescent="0.3">
      <c r="A1200" s="6">
        <v>45302</v>
      </c>
      <c r="B1200" s="5" t="s">
        <v>37</v>
      </c>
      <c r="C1200" s="5" t="s">
        <v>22</v>
      </c>
      <c r="D1200" s="5" t="s">
        <v>31</v>
      </c>
      <c r="E1200" s="5" t="s">
        <v>15</v>
      </c>
      <c r="F1200" s="5">
        <v>201</v>
      </c>
      <c r="G1200" s="5" t="str">
        <f>VLOOKUP(C1200,Sheet2!$C$3:$D$12,2,0)</f>
        <v>Variable</v>
      </c>
      <c r="H1200" s="5" t="str">
        <f>IFERROR(VLOOKUP(E1200,Sheet2!$G$3:$H$8,2,0),"unkwon")</f>
        <v>online</v>
      </c>
      <c r="I1200" s="5">
        <f>VLOOKUP(B1200,Sheet2!$J$4:$K$15,2,0)</f>
        <v>1</v>
      </c>
      <c r="J1200" s="5">
        <f>IFERROR(VLOOKUP(C1200,Sheet2!$M$4:$N$12,2,0),0)</f>
        <v>1000</v>
      </c>
      <c r="K1200" s="5" t="str">
        <f t="shared" si="18"/>
        <v>within budget</v>
      </c>
    </row>
    <row r="1201" spans="1:11" x14ac:dyDescent="0.3">
      <c r="A1201" s="6">
        <v>45514</v>
      </c>
      <c r="B1201" s="5" t="s">
        <v>25</v>
      </c>
      <c r="C1201" s="5" t="s">
        <v>10</v>
      </c>
      <c r="D1201" s="5" t="s">
        <v>34</v>
      </c>
      <c r="E1201" s="5" t="s">
        <v>17</v>
      </c>
      <c r="F1201" s="5">
        <v>2829</v>
      </c>
      <c r="G1201" s="5" t="str">
        <f>VLOOKUP(C1201,Sheet2!$C$3:$D$12,2,0)</f>
        <v>Variable</v>
      </c>
      <c r="H1201" s="5" t="str">
        <f>IFERROR(VLOOKUP(E1201,Sheet2!$G$3:$H$8,2,0),"unkwon")</f>
        <v>online</v>
      </c>
      <c r="I1201" s="5">
        <f>VLOOKUP(B1201,Sheet2!$J$4:$K$15,2,0)</f>
        <v>8</v>
      </c>
      <c r="J1201" s="5">
        <f>IFERROR(VLOOKUP(C1201,Sheet2!$M$4:$N$12,2,0),0)</f>
        <v>5000</v>
      </c>
      <c r="K1201" s="5" t="str">
        <f t="shared" si="18"/>
        <v>within budget</v>
      </c>
    </row>
    <row r="1202" spans="1:11" x14ac:dyDescent="0.3">
      <c r="A1202" s="6">
        <v>45468</v>
      </c>
      <c r="B1202" s="5" t="s">
        <v>39</v>
      </c>
      <c r="C1202" s="5" t="s">
        <v>27</v>
      </c>
      <c r="D1202" s="5" t="s">
        <v>34</v>
      </c>
      <c r="E1202" s="5" t="s">
        <v>12</v>
      </c>
      <c r="F1202" s="5">
        <v>1318</v>
      </c>
      <c r="G1202" s="5" t="str">
        <f>VLOOKUP(C1202,Sheet2!$C$3:$D$12,2,0)</f>
        <v>Variable</v>
      </c>
      <c r="H1202" s="5" t="str">
        <f>IFERROR(VLOOKUP(E1202,Sheet2!$G$3:$H$8,2,0),"unkwon")</f>
        <v>online</v>
      </c>
      <c r="I1202" s="5">
        <f>VLOOKUP(B1202,Sheet2!$J$4:$K$15,2,0)</f>
        <v>6</v>
      </c>
      <c r="J1202" s="5">
        <f>IFERROR(VLOOKUP(C1202,Sheet2!$M$4:$N$12,2,0),0)</f>
        <v>4000</v>
      </c>
      <c r="K1202" s="5" t="str">
        <f t="shared" si="18"/>
        <v>within budget</v>
      </c>
    </row>
    <row r="1203" spans="1:11" x14ac:dyDescent="0.3">
      <c r="A1203" s="6">
        <v>45338</v>
      </c>
      <c r="B1203" s="5" t="s">
        <v>33</v>
      </c>
      <c r="C1203" s="5" t="s">
        <v>7</v>
      </c>
      <c r="D1203" s="5" t="s">
        <v>11</v>
      </c>
      <c r="E1203" s="5" t="s">
        <v>12</v>
      </c>
      <c r="F1203" s="5">
        <v>3600</v>
      </c>
      <c r="G1203" s="5" t="str">
        <f>VLOOKUP(C1203,Sheet2!$C$3:$D$12,2,0)</f>
        <v>Fixed</v>
      </c>
      <c r="H1203" s="5" t="str">
        <f>IFERROR(VLOOKUP(E1203,Sheet2!$G$3:$H$8,2,0),"unkwon")</f>
        <v>online</v>
      </c>
      <c r="I1203" s="5">
        <f>VLOOKUP(B1203,Sheet2!$J$4:$K$15,2,0)</f>
        <v>2</v>
      </c>
      <c r="J1203" s="5">
        <f>IFERROR(VLOOKUP(C1203,Sheet2!$M$4:$N$12,2,0),0)</f>
        <v>2000</v>
      </c>
      <c r="K1203" s="5" t="str">
        <f t="shared" si="18"/>
        <v>over budget</v>
      </c>
    </row>
    <row r="1204" spans="1:11" x14ac:dyDescent="0.3">
      <c r="A1204" s="6">
        <v>45588</v>
      </c>
      <c r="B1204" s="5" t="s">
        <v>6</v>
      </c>
      <c r="C1204" s="5" t="s">
        <v>7</v>
      </c>
      <c r="D1204" s="5" t="s">
        <v>34</v>
      </c>
      <c r="E1204" s="5" t="s">
        <v>9</v>
      </c>
      <c r="F1204" s="5">
        <v>1018</v>
      </c>
      <c r="G1204" s="5" t="str">
        <f>VLOOKUP(C1204,Sheet2!$C$3:$D$12,2,0)</f>
        <v>Fixed</v>
      </c>
      <c r="H1204" s="5" t="str">
        <f>IFERROR(VLOOKUP(E1204,Sheet2!$G$3:$H$8,2,0),"unkwon")</f>
        <v>online</v>
      </c>
      <c r="I1204" s="5">
        <f>VLOOKUP(B1204,Sheet2!$J$4:$K$15,2,0)</f>
        <v>10</v>
      </c>
      <c r="J1204" s="5">
        <f>IFERROR(VLOOKUP(C1204,Sheet2!$M$4:$N$12,2,0),0)</f>
        <v>2000</v>
      </c>
      <c r="K1204" s="5" t="str">
        <f t="shared" si="18"/>
        <v>within budget</v>
      </c>
    </row>
    <row r="1205" spans="1:11" x14ac:dyDescent="0.3">
      <c r="A1205" s="6">
        <v>45445</v>
      </c>
      <c r="B1205" s="5" t="s">
        <v>39</v>
      </c>
      <c r="C1205" s="5" t="s">
        <v>10</v>
      </c>
      <c r="D1205" s="5" t="s">
        <v>20</v>
      </c>
      <c r="E1205" s="5" t="s">
        <v>9</v>
      </c>
      <c r="F1205" s="5">
        <v>3961</v>
      </c>
      <c r="G1205" s="5" t="str">
        <f>VLOOKUP(C1205,Sheet2!$C$3:$D$12,2,0)</f>
        <v>Variable</v>
      </c>
      <c r="H1205" s="5" t="str">
        <f>IFERROR(VLOOKUP(E1205,Sheet2!$G$3:$H$8,2,0),"unkwon")</f>
        <v>online</v>
      </c>
      <c r="I1205" s="5">
        <f>VLOOKUP(B1205,Sheet2!$J$4:$K$15,2,0)</f>
        <v>6</v>
      </c>
      <c r="J1205" s="5">
        <f>IFERROR(VLOOKUP(C1205,Sheet2!$M$4:$N$12,2,0),0)</f>
        <v>5000</v>
      </c>
      <c r="K1205" s="5" t="str">
        <f t="shared" si="18"/>
        <v>within budget</v>
      </c>
    </row>
    <row r="1206" spans="1:11" x14ac:dyDescent="0.3">
      <c r="A1206" s="6">
        <v>45250</v>
      </c>
      <c r="B1206" s="5" t="s">
        <v>40</v>
      </c>
      <c r="C1206" s="5" t="s">
        <v>22</v>
      </c>
      <c r="D1206" s="5" t="s">
        <v>8</v>
      </c>
      <c r="E1206" s="5" t="s">
        <v>15</v>
      </c>
      <c r="F1206" s="5">
        <v>3298</v>
      </c>
      <c r="G1206" s="5" t="str">
        <f>VLOOKUP(C1206,Sheet2!$C$3:$D$12,2,0)</f>
        <v>Variable</v>
      </c>
      <c r="H1206" s="5" t="str">
        <f>IFERROR(VLOOKUP(E1206,Sheet2!$G$3:$H$8,2,0),"unkwon")</f>
        <v>online</v>
      </c>
      <c r="I1206" s="5">
        <f>VLOOKUP(B1206,Sheet2!$J$4:$K$15,2,0)</f>
        <v>11</v>
      </c>
      <c r="J1206" s="5">
        <f>IFERROR(VLOOKUP(C1206,Sheet2!$M$4:$N$12,2,0),0)</f>
        <v>1000</v>
      </c>
      <c r="K1206" s="5" t="str">
        <f t="shared" si="18"/>
        <v>over budget</v>
      </c>
    </row>
    <row r="1207" spans="1:11" x14ac:dyDescent="0.3">
      <c r="A1207" s="6">
        <v>45571</v>
      </c>
      <c r="B1207" s="5" t="s">
        <v>6</v>
      </c>
      <c r="C1207" s="5" t="s">
        <v>10</v>
      </c>
      <c r="D1207" s="5" t="s">
        <v>26</v>
      </c>
      <c r="E1207" s="5" t="s">
        <v>15</v>
      </c>
      <c r="F1207" s="5">
        <v>168</v>
      </c>
      <c r="G1207" s="5" t="str">
        <f>VLOOKUP(C1207,Sheet2!$C$3:$D$12,2,0)</f>
        <v>Variable</v>
      </c>
      <c r="H1207" s="5" t="str">
        <f>IFERROR(VLOOKUP(E1207,Sheet2!$G$3:$H$8,2,0),"unkwon")</f>
        <v>online</v>
      </c>
      <c r="I1207" s="5">
        <f>VLOOKUP(B1207,Sheet2!$J$4:$K$15,2,0)</f>
        <v>10</v>
      </c>
      <c r="J1207" s="5">
        <f>IFERROR(VLOOKUP(C1207,Sheet2!$M$4:$N$12,2,0),0)</f>
        <v>5000</v>
      </c>
      <c r="K1207" s="5" t="str">
        <f t="shared" si="18"/>
        <v>within budget</v>
      </c>
    </row>
    <row r="1208" spans="1:11" x14ac:dyDescent="0.3">
      <c r="A1208" s="6">
        <v>45220</v>
      </c>
      <c r="B1208" s="5" t="s">
        <v>6</v>
      </c>
      <c r="C1208" s="5" t="s">
        <v>7</v>
      </c>
      <c r="D1208" s="5" t="s">
        <v>24</v>
      </c>
      <c r="E1208" s="5" t="s">
        <v>17</v>
      </c>
      <c r="F1208" s="5">
        <v>4600</v>
      </c>
      <c r="G1208" s="5" t="str">
        <f>VLOOKUP(C1208,Sheet2!$C$3:$D$12,2,0)</f>
        <v>Fixed</v>
      </c>
      <c r="H1208" s="5" t="str">
        <f>IFERROR(VLOOKUP(E1208,Sheet2!$G$3:$H$8,2,0),"unkwon")</f>
        <v>online</v>
      </c>
      <c r="I1208" s="5">
        <f>VLOOKUP(B1208,Sheet2!$J$4:$K$15,2,0)</f>
        <v>10</v>
      </c>
      <c r="J1208" s="5">
        <f>IFERROR(VLOOKUP(C1208,Sheet2!$M$4:$N$12,2,0),0)</f>
        <v>2000</v>
      </c>
      <c r="K1208" s="5" t="str">
        <f t="shared" si="18"/>
        <v>over budget</v>
      </c>
    </row>
    <row r="1209" spans="1:11" x14ac:dyDescent="0.3">
      <c r="A1209" s="6">
        <v>45441</v>
      </c>
      <c r="B1209" s="5" t="s">
        <v>28</v>
      </c>
      <c r="C1209" s="5" t="s">
        <v>10</v>
      </c>
      <c r="D1209" s="5" t="s">
        <v>14</v>
      </c>
      <c r="E1209" s="5" t="s">
        <v>9</v>
      </c>
      <c r="F1209" s="5">
        <v>267</v>
      </c>
      <c r="G1209" s="5" t="str">
        <f>VLOOKUP(C1209,Sheet2!$C$3:$D$12,2,0)</f>
        <v>Variable</v>
      </c>
      <c r="H1209" s="5" t="str">
        <f>IFERROR(VLOOKUP(E1209,Sheet2!$G$3:$H$8,2,0),"unkwon")</f>
        <v>online</v>
      </c>
      <c r="I1209" s="5">
        <f>VLOOKUP(B1209,Sheet2!$J$4:$K$15,2,0)</f>
        <v>5</v>
      </c>
      <c r="J1209" s="5">
        <f>IFERROR(VLOOKUP(C1209,Sheet2!$M$4:$N$12,2,0),0)</f>
        <v>5000</v>
      </c>
      <c r="K1209" s="5" t="str">
        <f t="shared" si="18"/>
        <v>within budget</v>
      </c>
    </row>
    <row r="1210" spans="1:11" x14ac:dyDescent="0.3">
      <c r="A1210" s="6">
        <v>45054</v>
      </c>
      <c r="B1210" s="5" t="s">
        <v>28</v>
      </c>
      <c r="C1210" s="5" t="s">
        <v>41</v>
      </c>
      <c r="D1210" s="5" t="s">
        <v>14</v>
      </c>
      <c r="E1210" s="5" t="s">
        <v>17</v>
      </c>
      <c r="F1210" s="5">
        <v>2572</v>
      </c>
      <c r="G1210" s="5" t="str">
        <f>VLOOKUP(C1210,Sheet2!$C$3:$D$12,2,0)</f>
        <v>Variable</v>
      </c>
      <c r="H1210" s="5" t="str">
        <f>IFERROR(VLOOKUP(E1210,Sheet2!$G$3:$H$8,2,0),"unkwon")</f>
        <v>online</v>
      </c>
      <c r="I1210" s="5">
        <f>VLOOKUP(B1210,Sheet2!$J$4:$K$15,2,0)</f>
        <v>5</v>
      </c>
      <c r="J1210" s="5">
        <f>IFERROR(VLOOKUP(C1210,Sheet2!$M$4:$N$12,2,0),0)</f>
        <v>7000</v>
      </c>
      <c r="K1210" s="5" t="str">
        <f t="shared" si="18"/>
        <v>within budget</v>
      </c>
    </row>
    <row r="1211" spans="1:11" x14ac:dyDescent="0.3">
      <c r="A1211" s="6">
        <v>45481</v>
      </c>
      <c r="B1211" s="5" t="s">
        <v>21</v>
      </c>
      <c r="C1211" s="5" t="s">
        <v>13</v>
      </c>
      <c r="D1211" s="5" t="s">
        <v>11</v>
      </c>
      <c r="E1211" s="5" t="s">
        <v>15</v>
      </c>
      <c r="F1211" s="5">
        <v>2566</v>
      </c>
      <c r="G1211" s="5" t="str">
        <f>VLOOKUP(C1211,Sheet2!$C$3:$D$12,2,0)</f>
        <v>Variable</v>
      </c>
      <c r="H1211" s="5" t="str">
        <f>IFERROR(VLOOKUP(E1211,Sheet2!$G$3:$H$8,2,0),"unkwon")</f>
        <v>online</v>
      </c>
      <c r="I1211" s="5">
        <f>VLOOKUP(B1211,Sheet2!$J$4:$K$15,2,0)</f>
        <v>7</v>
      </c>
      <c r="J1211" s="5">
        <f>IFERROR(VLOOKUP(C1211,Sheet2!$M$4:$N$12,2,0),0)</f>
        <v>5000</v>
      </c>
      <c r="K1211" s="5" t="str">
        <f t="shared" si="18"/>
        <v>within budget</v>
      </c>
    </row>
    <row r="1212" spans="1:11" x14ac:dyDescent="0.3">
      <c r="A1212" s="6">
        <v>45596</v>
      </c>
      <c r="B1212" s="5" t="s">
        <v>6</v>
      </c>
      <c r="C1212" s="5" t="s">
        <v>36</v>
      </c>
      <c r="D1212" s="5" t="s">
        <v>8</v>
      </c>
      <c r="E1212" s="5" t="s">
        <v>9</v>
      </c>
      <c r="F1212" s="5">
        <v>3069</v>
      </c>
      <c r="G1212" s="5" t="str">
        <f>VLOOKUP(C1212,Sheet2!$C$3:$D$12,2,0)</f>
        <v>Variable</v>
      </c>
      <c r="H1212" s="5" t="str">
        <f>IFERROR(VLOOKUP(E1212,Sheet2!$G$3:$H$8,2,0),"unkwon")</f>
        <v>online</v>
      </c>
      <c r="I1212" s="5">
        <f>VLOOKUP(B1212,Sheet2!$J$4:$K$15,2,0)</f>
        <v>10</v>
      </c>
      <c r="J1212" s="5">
        <f>IFERROR(VLOOKUP(C1212,Sheet2!$M$4:$N$12,2,0),0)</f>
        <v>10000</v>
      </c>
      <c r="K1212" s="5" t="str">
        <f t="shared" si="18"/>
        <v>within budget</v>
      </c>
    </row>
    <row r="1213" spans="1:11" x14ac:dyDescent="0.3">
      <c r="A1213" s="6">
        <v>44974</v>
      </c>
      <c r="B1213" s="5" t="s">
        <v>33</v>
      </c>
      <c r="C1213" s="5" t="s">
        <v>10</v>
      </c>
      <c r="D1213" s="5" t="s">
        <v>20</v>
      </c>
      <c r="E1213" s="5" t="s">
        <v>15</v>
      </c>
      <c r="F1213" s="5">
        <v>295</v>
      </c>
      <c r="G1213" s="5" t="str">
        <f>VLOOKUP(C1213,Sheet2!$C$3:$D$12,2,0)</f>
        <v>Variable</v>
      </c>
      <c r="H1213" s="5" t="str">
        <f>IFERROR(VLOOKUP(E1213,Sheet2!$G$3:$H$8,2,0),"unkwon")</f>
        <v>online</v>
      </c>
      <c r="I1213" s="5">
        <f>VLOOKUP(B1213,Sheet2!$J$4:$K$15,2,0)</f>
        <v>2</v>
      </c>
      <c r="J1213" s="5">
        <f>IFERROR(VLOOKUP(C1213,Sheet2!$M$4:$N$12,2,0),0)</f>
        <v>5000</v>
      </c>
      <c r="K1213" s="5" t="str">
        <f t="shared" si="18"/>
        <v>within budget</v>
      </c>
    </row>
    <row r="1214" spans="1:11" x14ac:dyDescent="0.3">
      <c r="A1214" s="6">
        <v>45527</v>
      </c>
      <c r="B1214" s="5" t="s">
        <v>25</v>
      </c>
      <c r="C1214" s="5" t="s">
        <v>36</v>
      </c>
      <c r="D1214" s="5" t="s">
        <v>34</v>
      </c>
      <c r="E1214" s="5" t="s">
        <v>17</v>
      </c>
      <c r="F1214" s="5">
        <v>2251</v>
      </c>
      <c r="G1214" s="5" t="str">
        <f>VLOOKUP(C1214,Sheet2!$C$3:$D$12,2,0)</f>
        <v>Variable</v>
      </c>
      <c r="H1214" s="5" t="str">
        <f>IFERROR(VLOOKUP(E1214,Sheet2!$G$3:$H$8,2,0),"unkwon")</f>
        <v>online</v>
      </c>
      <c r="I1214" s="5">
        <f>VLOOKUP(B1214,Sheet2!$J$4:$K$15,2,0)</f>
        <v>8</v>
      </c>
      <c r="J1214" s="5">
        <f>IFERROR(VLOOKUP(C1214,Sheet2!$M$4:$N$12,2,0),0)</f>
        <v>10000</v>
      </c>
      <c r="K1214" s="5" t="str">
        <f t="shared" si="18"/>
        <v>within budget</v>
      </c>
    </row>
    <row r="1215" spans="1:11" x14ac:dyDescent="0.3">
      <c r="A1215" s="6">
        <v>45516</v>
      </c>
      <c r="B1215" s="5" t="s">
        <v>25</v>
      </c>
      <c r="C1215" s="5" t="s">
        <v>27</v>
      </c>
      <c r="D1215" s="5" t="s">
        <v>23</v>
      </c>
      <c r="E1215" s="5" t="s">
        <v>15</v>
      </c>
      <c r="F1215" s="5">
        <v>537</v>
      </c>
      <c r="G1215" s="5" t="str">
        <f>VLOOKUP(C1215,Sheet2!$C$3:$D$12,2,0)</f>
        <v>Variable</v>
      </c>
      <c r="H1215" s="5" t="str">
        <f>IFERROR(VLOOKUP(E1215,Sheet2!$G$3:$H$8,2,0),"unkwon")</f>
        <v>online</v>
      </c>
      <c r="I1215" s="5">
        <f>VLOOKUP(B1215,Sheet2!$J$4:$K$15,2,0)</f>
        <v>8</v>
      </c>
      <c r="J1215" s="5">
        <f>IFERROR(VLOOKUP(C1215,Sheet2!$M$4:$N$12,2,0),0)</f>
        <v>4000</v>
      </c>
      <c r="K1215" s="5" t="str">
        <f t="shared" si="18"/>
        <v>within budget</v>
      </c>
    </row>
    <row r="1216" spans="1:11" x14ac:dyDescent="0.3">
      <c r="A1216" s="6">
        <v>45087</v>
      </c>
      <c r="B1216" s="5" t="s">
        <v>39</v>
      </c>
      <c r="C1216" s="5" t="s">
        <v>22</v>
      </c>
      <c r="D1216" s="5" t="s">
        <v>8</v>
      </c>
      <c r="E1216" s="5" t="s">
        <v>32</v>
      </c>
      <c r="F1216" s="5">
        <v>2350</v>
      </c>
      <c r="G1216" s="5" t="str">
        <f>VLOOKUP(C1216,Sheet2!$C$3:$D$12,2,0)</f>
        <v>Variable</v>
      </c>
      <c r="H1216" s="5" t="str">
        <f>IFERROR(VLOOKUP(E1216,Sheet2!$G$3:$H$8,2,0),"unkwon")</f>
        <v>offline</v>
      </c>
      <c r="I1216" s="5">
        <f>VLOOKUP(B1216,Sheet2!$J$4:$K$15,2,0)</f>
        <v>6</v>
      </c>
      <c r="J1216" s="5">
        <f>IFERROR(VLOOKUP(C1216,Sheet2!$M$4:$N$12,2,0),0)</f>
        <v>1000</v>
      </c>
      <c r="K1216" s="5" t="str">
        <f t="shared" si="18"/>
        <v>over budget</v>
      </c>
    </row>
    <row r="1217" spans="1:11" x14ac:dyDescent="0.3">
      <c r="A1217" s="6">
        <v>45143</v>
      </c>
      <c r="B1217" s="5" t="s">
        <v>25</v>
      </c>
      <c r="C1217" s="5" t="s">
        <v>13</v>
      </c>
      <c r="D1217" s="5" t="s">
        <v>23</v>
      </c>
      <c r="E1217" s="5" t="s">
        <v>9</v>
      </c>
      <c r="F1217" s="5">
        <v>4855</v>
      </c>
      <c r="G1217" s="5" t="str">
        <f>VLOOKUP(C1217,Sheet2!$C$3:$D$12,2,0)</f>
        <v>Variable</v>
      </c>
      <c r="H1217" s="5" t="str">
        <f>IFERROR(VLOOKUP(E1217,Sheet2!$G$3:$H$8,2,0),"unkwon")</f>
        <v>online</v>
      </c>
      <c r="I1217" s="5">
        <f>VLOOKUP(B1217,Sheet2!$J$4:$K$15,2,0)</f>
        <v>8</v>
      </c>
      <c r="J1217" s="5">
        <f>IFERROR(VLOOKUP(C1217,Sheet2!$M$4:$N$12,2,0),0)</f>
        <v>5000</v>
      </c>
      <c r="K1217" s="5" t="str">
        <f t="shared" si="18"/>
        <v>within budget</v>
      </c>
    </row>
    <row r="1218" spans="1:11" x14ac:dyDescent="0.3">
      <c r="A1218" s="6">
        <v>44960</v>
      </c>
      <c r="B1218" s="5" t="s">
        <v>33</v>
      </c>
      <c r="C1218" s="5" t="s">
        <v>36</v>
      </c>
      <c r="D1218" s="5" t="s">
        <v>23</v>
      </c>
      <c r="E1218" s="5" t="s">
        <v>15</v>
      </c>
      <c r="F1218" s="5">
        <v>3667</v>
      </c>
      <c r="G1218" s="5" t="str">
        <f>VLOOKUP(C1218,Sheet2!$C$3:$D$12,2,0)</f>
        <v>Variable</v>
      </c>
      <c r="H1218" s="5" t="str">
        <f>IFERROR(VLOOKUP(E1218,Sheet2!$G$3:$H$8,2,0),"unkwon")</f>
        <v>online</v>
      </c>
      <c r="I1218" s="5">
        <f>VLOOKUP(B1218,Sheet2!$J$4:$K$15,2,0)</f>
        <v>2</v>
      </c>
      <c r="J1218" s="5">
        <f>IFERROR(VLOOKUP(C1218,Sheet2!$M$4:$N$12,2,0),0)</f>
        <v>10000</v>
      </c>
      <c r="K1218" s="5" t="str">
        <f t="shared" si="18"/>
        <v>within budget</v>
      </c>
    </row>
    <row r="1219" spans="1:11" x14ac:dyDescent="0.3">
      <c r="A1219" s="6">
        <v>45139</v>
      </c>
      <c r="B1219" s="5" t="s">
        <v>25</v>
      </c>
      <c r="C1219" s="5" t="s">
        <v>13</v>
      </c>
      <c r="D1219" s="5" t="s">
        <v>8</v>
      </c>
      <c r="E1219" s="5" t="s">
        <v>9</v>
      </c>
      <c r="F1219" s="5">
        <v>3369</v>
      </c>
      <c r="G1219" s="5" t="str">
        <f>VLOOKUP(C1219,Sheet2!$C$3:$D$12,2,0)</f>
        <v>Variable</v>
      </c>
      <c r="H1219" s="5" t="str">
        <f>IFERROR(VLOOKUP(E1219,Sheet2!$G$3:$H$8,2,0),"unkwon")</f>
        <v>online</v>
      </c>
      <c r="I1219" s="5">
        <f>VLOOKUP(B1219,Sheet2!$J$4:$K$15,2,0)</f>
        <v>8</v>
      </c>
      <c r="J1219" s="5">
        <f>IFERROR(VLOOKUP(C1219,Sheet2!$M$4:$N$12,2,0),0)</f>
        <v>5000</v>
      </c>
      <c r="K1219" s="5" t="str">
        <f t="shared" ref="K1219:K1282" si="19">IF(F1219&gt;J1219,"over budget","within budget")</f>
        <v>within budget</v>
      </c>
    </row>
    <row r="1220" spans="1:11" x14ac:dyDescent="0.3">
      <c r="A1220" s="6">
        <v>44950</v>
      </c>
      <c r="B1220" s="5" t="s">
        <v>37</v>
      </c>
      <c r="C1220" s="5" t="s">
        <v>10</v>
      </c>
      <c r="D1220" s="5" t="s">
        <v>14</v>
      </c>
      <c r="E1220" s="5" t="s">
        <v>12</v>
      </c>
      <c r="F1220" s="5">
        <v>351</v>
      </c>
      <c r="G1220" s="5" t="str">
        <f>VLOOKUP(C1220,Sheet2!$C$3:$D$12,2,0)</f>
        <v>Variable</v>
      </c>
      <c r="H1220" s="5" t="str">
        <f>IFERROR(VLOOKUP(E1220,Sheet2!$G$3:$H$8,2,0),"unkwon")</f>
        <v>online</v>
      </c>
      <c r="I1220" s="5">
        <f>VLOOKUP(B1220,Sheet2!$J$4:$K$15,2,0)</f>
        <v>1</v>
      </c>
      <c r="J1220" s="5">
        <f>IFERROR(VLOOKUP(C1220,Sheet2!$M$4:$N$12,2,0),0)</f>
        <v>5000</v>
      </c>
      <c r="K1220" s="5" t="str">
        <f t="shared" si="19"/>
        <v>within budget</v>
      </c>
    </row>
    <row r="1221" spans="1:11" x14ac:dyDescent="0.3">
      <c r="A1221" s="6">
        <v>45246</v>
      </c>
      <c r="B1221" s="5" t="s">
        <v>40</v>
      </c>
      <c r="C1221" s="5" t="s">
        <v>13</v>
      </c>
      <c r="D1221" s="5" t="s">
        <v>8</v>
      </c>
      <c r="E1221" s="5" t="s">
        <v>17</v>
      </c>
      <c r="F1221" s="5">
        <v>4648</v>
      </c>
      <c r="G1221" s="5" t="str">
        <f>VLOOKUP(C1221,Sheet2!$C$3:$D$12,2,0)</f>
        <v>Variable</v>
      </c>
      <c r="H1221" s="5" t="str">
        <f>IFERROR(VLOOKUP(E1221,Sheet2!$G$3:$H$8,2,0),"unkwon")</f>
        <v>online</v>
      </c>
      <c r="I1221" s="5">
        <f>VLOOKUP(B1221,Sheet2!$J$4:$K$15,2,0)</f>
        <v>11</v>
      </c>
      <c r="J1221" s="5">
        <f>IFERROR(VLOOKUP(C1221,Sheet2!$M$4:$N$12,2,0),0)</f>
        <v>5000</v>
      </c>
      <c r="K1221" s="5" t="str">
        <f t="shared" si="19"/>
        <v>within budget</v>
      </c>
    </row>
    <row r="1222" spans="1:11" x14ac:dyDescent="0.3">
      <c r="A1222" s="6">
        <v>44954</v>
      </c>
      <c r="B1222" s="5" t="s">
        <v>37</v>
      </c>
      <c r="C1222" s="5" t="s">
        <v>41</v>
      </c>
      <c r="D1222" s="5" t="s">
        <v>18</v>
      </c>
      <c r="E1222" s="5" t="s">
        <v>15</v>
      </c>
      <c r="F1222" s="5">
        <v>4588</v>
      </c>
      <c r="G1222" s="5" t="str">
        <f>VLOOKUP(C1222,Sheet2!$C$3:$D$12,2,0)</f>
        <v>Variable</v>
      </c>
      <c r="H1222" s="5" t="str">
        <f>IFERROR(VLOOKUP(E1222,Sheet2!$G$3:$H$8,2,0),"unkwon")</f>
        <v>online</v>
      </c>
      <c r="I1222" s="5">
        <f>VLOOKUP(B1222,Sheet2!$J$4:$K$15,2,0)</f>
        <v>1</v>
      </c>
      <c r="J1222" s="5">
        <f>IFERROR(VLOOKUP(C1222,Sheet2!$M$4:$N$12,2,0),0)</f>
        <v>7000</v>
      </c>
      <c r="K1222" s="5" t="str">
        <f t="shared" si="19"/>
        <v>within budget</v>
      </c>
    </row>
    <row r="1223" spans="1:11" x14ac:dyDescent="0.3">
      <c r="A1223" s="6">
        <v>44929</v>
      </c>
      <c r="B1223" s="5" t="s">
        <v>37</v>
      </c>
      <c r="C1223" s="5" t="s">
        <v>13</v>
      </c>
      <c r="D1223" s="5" t="s">
        <v>26</v>
      </c>
      <c r="E1223" s="5" t="s">
        <v>15</v>
      </c>
      <c r="F1223" s="5">
        <v>430</v>
      </c>
      <c r="G1223" s="5" t="str">
        <f>VLOOKUP(C1223,Sheet2!$C$3:$D$12,2,0)</f>
        <v>Variable</v>
      </c>
      <c r="H1223" s="5" t="str">
        <f>IFERROR(VLOOKUP(E1223,Sheet2!$G$3:$H$8,2,0),"unkwon")</f>
        <v>online</v>
      </c>
      <c r="I1223" s="5">
        <f>VLOOKUP(B1223,Sheet2!$J$4:$K$15,2,0)</f>
        <v>1</v>
      </c>
      <c r="J1223" s="5">
        <f>IFERROR(VLOOKUP(C1223,Sheet2!$M$4:$N$12,2,0),0)</f>
        <v>5000</v>
      </c>
      <c r="K1223" s="5" t="str">
        <f t="shared" si="19"/>
        <v>within budget</v>
      </c>
    </row>
    <row r="1224" spans="1:11" x14ac:dyDescent="0.3">
      <c r="A1224" s="6">
        <v>45588</v>
      </c>
      <c r="B1224" s="5" t="s">
        <v>6</v>
      </c>
      <c r="C1224" s="5" t="s">
        <v>36</v>
      </c>
      <c r="D1224" s="5" t="s">
        <v>26</v>
      </c>
      <c r="E1224" s="5" t="s">
        <v>32</v>
      </c>
      <c r="F1224" s="5">
        <v>1203</v>
      </c>
      <c r="G1224" s="5" t="str">
        <f>VLOOKUP(C1224,Sheet2!$C$3:$D$12,2,0)</f>
        <v>Variable</v>
      </c>
      <c r="H1224" s="5" t="str">
        <f>IFERROR(VLOOKUP(E1224,Sheet2!$G$3:$H$8,2,0),"unkwon")</f>
        <v>offline</v>
      </c>
      <c r="I1224" s="5">
        <f>VLOOKUP(B1224,Sheet2!$J$4:$K$15,2,0)</f>
        <v>10</v>
      </c>
      <c r="J1224" s="5">
        <f>IFERROR(VLOOKUP(C1224,Sheet2!$M$4:$N$12,2,0),0)</f>
        <v>10000</v>
      </c>
      <c r="K1224" s="5" t="str">
        <f t="shared" si="19"/>
        <v>within budget</v>
      </c>
    </row>
    <row r="1225" spans="1:11" x14ac:dyDescent="0.3">
      <c r="A1225" s="6">
        <v>45477</v>
      </c>
      <c r="B1225" s="5" t="s">
        <v>21</v>
      </c>
      <c r="C1225" s="5" t="s">
        <v>13</v>
      </c>
      <c r="D1225" s="5" t="s">
        <v>8</v>
      </c>
      <c r="E1225" s="5" t="s">
        <v>12</v>
      </c>
      <c r="F1225" s="5">
        <v>1074</v>
      </c>
      <c r="G1225" s="5" t="str">
        <f>VLOOKUP(C1225,Sheet2!$C$3:$D$12,2,0)</f>
        <v>Variable</v>
      </c>
      <c r="H1225" s="5" t="str">
        <f>IFERROR(VLOOKUP(E1225,Sheet2!$G$3:$H$8,2,0),"unkwon")</f>
        <v>online</v>
      </c>
      <c r="I1225" s="5">
        <f>VLOOKUP(B1225,Sheet2!$J$4:$K$15,2,0)</f>
        <v>7</v>
      </c>
      <c r="J1225" s="5">
        <f>IFERROR(VLOOKUP(C1225,Sheet2!$M$4:$N$12,2,0),0)</f>
        <v>5000</v>
      </c>
      <c r="K1225" s="5" t="str">
        <f t="shared" si="19"/>
        <v>within budget</v>
      </c>
    </row>
    <row r="1226" spans="1:11" x14ac:dyDescent="0.3">
      <c r="A1226" s="6">
        <v>45342</v>
      </c>
      <c r="B1226" s="5" t="s">
        <v>33</v>
      </c>
      <c r="C1226" s="5" t="s">
        <v>41</v>
      </c>
      <c r="D1226" s="5" t="s">
        <v>26</v>
      </c>
      <c r="E1226" s="5" t="s">
        <v>9</v>
      </c>
      <c r="F1226" s="5">
        <v>4572</v>
      </c>
      <c r="G1226" s="5" t="str">
        <f>VLOOKUP(C1226,Sheet2!$C$3:$D$12,2,0)</f>
        <v>Variable</v>
      </c>
      <c r="H1226" s="5" t="str">
        <f>IFERROR(VLOOKUP(E1226,Sheet2!$G$3:$H$8,2,0),"unkwon")</f>
        <v>online</v>
      </c>
      <c r="I1226" s="5">
        <f>VLOOKUP(B1226,Sheet2!$J$4:$K$15,2,0)</f>
        <v>2</v>
      </c>
      <c r="J1226" s="5">
        <f>IFERROR(VLOOKUP(C1226,Sheet2!$M$4:$N$12,2,0),0)</f>
        <v>7000</v>
      </c>
      <c r="K1226" s="5" t="str">
        <f t="shared" si="19"/>
        <v>within budget</v>
      </c>
    </row>
    <row r="1227" spans="1:11" x14ac:dyDescent="0.3">
      <c r="A1227" s="6">
        <v>45231</v>
      </c>
      <c r="B1227" s="5" t="s">
        <v>40</v>
      </c>
      <c r="C1227" s="5" t="s">
        <v>22</v>
      </c>
      <c r="D1227" s="5" t="s">
        <v>34</v>
      </c>
      <c r="E1227" s="5" t="s">
        <v>15</v>
      </c>
      <c r="F1227" s="5">
        <v>4457</v>
      </c>
      <c r="G1227" s="5" t="str">
        <f>VLOOKUP(C1227,Sheet2!$C$3:$D$12,2,0)</f>
        <v>Variable</v>
      </c>
      <c r="H1227" s="5" t="str">
        <f>IFERROR(VLOOKUP(E1227,Sheet2!$G$3:$H$8,2,0),"unkwon")</f>
        <v>online</v>
      </c>
      <c r="I1227" s="5">
        <f>VLOOKUP(B1227,Sheet2!$J$4:$K$15,2,0)</f>
        <v>11</v>
      </c>
      <c r="J1227" s="5">
        <f>IFERROR(VLOOKUP(C1227,Sheet2!$M$4:$N$12,2,0),0)</f>
        <v>1000</v>
      </c>
      <c r="K1227" s="5" t="str">
        <f t="shared" si="19"/>
        <v>over budget</v>
      </c>
    </row>
    <row r="1228" spans="1:11" x14ac:dyDescent="0.3">
      <c r="A1228" s="6">
        <v>45335</v>
      </c>
      <c r="B1228" s="5" t="s">
        <v>33</v>
      </c>
      <c r="C1228" s="5" t="s">
        <v>27</v>
      </c>
      <c r="D1228" s="5" t="s">
        <v>20</v>
      </c>
      <c r="E1228" s="5" t="s">
        <v>15</v>
      </c>
      <c r="F1228" s="5">
        <v>2306</v>
      </c>
      <c r="G1228" s="5" t="str">
        <f>VLOOKUP(C1228,Sheet2!$C$3:$D$12,2,0)</f>
        <v>Variable</v>
      </c>
      <c r="H1228" s="5" t="str">
        <f>IFERROR(VLOOKUP(E1228,Sheet2!$G$3:$H$8,2,0),"unkwon")</f>
        <v>online</v>
      </c>
      <c r="I1228" s="5">
        <f>VLOOKUP(B1228,Sheet2!$J$4:$K$15,2,0)</f>
        <v>2</v>
      </c>
      <c r="J1228" s="5">
        <f>IFERROR(VLOOKUP(C1228,Sheet2!$M$4:$N$12,2,0),0)</f>
        <v>4000</v>
      </c>
      <c r="K1228" s="5" t="str">
        <f t="shared" si="19"/>
        <v>within budget</v>
      </c>
    </row>
    <row r="1229" spans="1:11" x14ac:dyDescent="0.3">
      <c r="A1229" s="6">
        <v>45010</v>
      </c>
      <c r="B1229" s="5" t="s">
        <v>19</v>
      </c>
      <c r="C1229" s="5" t="s">
        <v>10</v>
      </c>
      <c r="D1229" s="5" t="s">
        <v>14</v>
      </c>
      <c r="E1229" s="5" t="s">
        <v>17</v>
      </c>
      <c r="F1229" s="5">
        <v>3289</v>
      </c>
      <c r="G1229" s="5" t="str">
        <f>VLOOKUP(C1229,Sheet2!$C$3:$D$12,2,0)</f>
        <v>Variable</v>
      </c>
      <c r="H1229" s="5" t="str">
        <f>IFERROR(VLOOKUP(E1229,Sheet2!$G$3:$H$8,2,0),"unkwon")</f>
        <v>online</v>
      </c>
      <c r="I1229" s="5">
        <f>VLOOKUP(B1229,Sheet2!$J$4:$K$15,2,0)</f>
        <v>3</v>
      </c>
      <c r="J1229" s="5">
        <f>IFERROR(VLOOKUP(C1229,Sheet2!$M$4:$N$12,2,0),0)</f>
        <v>5000</v>
      </c>
      <c r="K1229" s="5" t="str">
        <f t="shared" si="19"/>
        <v>within budget</v>
      </c>
    </row>
    <row r="1230" spans="1:11" x14ac:dyDescent="0.3">
      <c r="A1230" s="6">
        <v>45309</v>
      </c>
      <c r="B1230" s="5" t="s">
        <v>37</v>
      </c>
      <c r="C1230" s="5" t="s">
        <v>22</v>
      </c>
      <c r="D1230" s="5" t="s">
        <v>31</v>
      </c>
      <c r="E1230" s="5" t="s">
        <v>9</v>
      </c>
      <c r="F1230" s="5">
        <v>2775</v>
      </c>
      <c r="G1230" s="5" t="str">
        <f>VLOOKUP(C1230,Sheet2!$C$3:$D$12,2,0)</f>
        <v>Variable</v>
      </c>
      <c r="H1230" s="5" t="str">
        <f>IFERROR(VLOOKUP(E1230,Sheet2!$G$3:$H$8,2,0),"unkwon")</f>
        <v>online</v>
      </c>
      <c r="I1230" s="5">
        <f>VLOOKUP(B1230,Sheet2!$J$4:$K$15,2,0)</f>
        <v>1</v>
      </c>
      <c r="J1230" s="5">
        <f>IFERROR(VLOOKUP(C1230,Sheet2!$M$4:$N$12,2,0),0)</f>
        <v>1000</v>
      </c>
      <c r="K1230" s="5" t="str">
        <f t="shared" si="19"/>
        <v>over budget</v>
      </c>
    </row>
    <row r="1231" spans="1:11" x14ac:dyDescent="0.3">
      <c r="A1231" s="6">
        <v>45387</v>
      </c>
      <c r="B1231" s="5" t="s">
        <v>29</v>
      </c>
      <c r="C1231" s="5" t="s">
        <v>22</v>
      </c>
      <c r="D1231" s="5" t="s">
        <v>24</v>
      </c>
      <c r="E1231" s="5" t="s">
        <v>15</v>
      </c>
      <c r="F1231" s="5">
        <v>2279</v>
      </c>
      <c r="G1231" s="5" t="str">
        <f>VLOOKUP(C1231,Sheet2!$C$3:$D$12,2,0)</f>
        <v>Variable</v>
      </c>
      <c r="H1231" s="5" t="str">
        <f>IFERROR(VLOOKUP(E1231,Sheet2!$G$3:$H$8,2,0),"unkwon")</f>
        <v>online</v>
      </c>
      <c r="I1231" s="5">
        <f>VLOOKUP(B1231,Sheet2!$J$4:$K$15,2,0)</f>
        <v>4</v>
      </c>
      <c r="J1231" s="5">
        <f>IFERROR(VLOOKUP(C1231,Sheet2!$M$4:$N$12,2,0),0)</f>
        <v>1000</v>
      </c>
      <c r="K1231" s="5" t="str">
        <f t="shared" si="19"/>
        <v>over budget</v>
      </c>
    </row>
    <row r="1232" spans="1:11" x14ac:dyDescent="0.3">
      <c r="A1232" s="6">
        <v>45444</v>
      </c>
      <c r="B1232" s="5" t="s">
        <v>39</v>
      </c>
      <c r="C1232" s="5" t="s">
        <v>13</v>
      </c>
      <c r="D1232" s="5" t="s">
        <v>26</v>
      </c>
      <c r="E1232" s="5" t="s">
        <v>12</v>
      </c>
      <c r="F1232" s="5">
        <v>2852</v>
      </c>
      <c r="G1232" s="5" t="str">
        <f>VLOOKUP(C1232,Sheet2!$C$3:$D$12,2,0)</f>
        <v>Variable</v>
      </c>
      <c r="H1232" s="5" t="str">
        <f>IFERROR(VLOOKUP(E1232,Sheet2!$G$3:$H$8,2,0),"unkwon")</f>
        <v>online</v>
      </c>
      <c r="I1232" s="5">
        <f>VLOOKUP(B1232,Sheet2!$J$4:$K$15,2,0)</f>
        <v>6</v>
      </c>
      <c r="J1232" s="5">
        <f>IFERROR(VLOOKUP(C1232,Sheet2!$M$4:$N$12,2,0),0)</f>
        <v>5000</v>
      </c>
      <c r="K1232" s="5" t="str">
        <f t="shared" si="19"/>
        <v>within budget</v>
      </c>
    </row>
    <row r="1233" spans="1:11" x14ac:dyDescent="0.3">
      <c r="A1233" s="6">
        <v>45206</v>
      </c>
      <c r="B1233" s="5" t="s">
        <v>6</v>
      </c>
      <c r="C1233" s="5" t="s">
        <v>13</v>
      </c>
      <c r="D1233" s="5" t="s">
        <v>8</v>
      </c>
      <c r="E1233" s="5" t="s">
        <v>9</v>
      </c>
      <c r="F1233" s="5">
        <v>4113</v>
      </c>
      <c r="G1233" s="5" t="str">
        <f>VLOOKUP(C1233,Sheet2!$C$3:$D$12,2,0)</f>
        <v>Variable</v>
      </c>
      <c r="H1233" s="5" t="str">
        <f>IFERROR(VLOOKUP(E1233,Sheet2!$G$3:$H$8,2,0),"unkwon")</f>
        <v>online</v>
      </c>
      <c r="I1233" s="5">
        <f>VLOOKUP(B1233,Sheet2!$J$4:$K$15,2,0)</f>
        <v>10</v>
      </c>
      <c r="J1233" s="5">
        <f>IFERROR(VLOOKUP(C1233,Sheet2!$M$4:$N$12,2,0),0)</f>
        <v>5000</v>
      </c>
      <c r="K1233" s="5" t="str">
        <f t="shared" si="19"/>
        <v>within budget</v>
      </c>
    </row>
    <row r="1234" spans="1:11" x14ac:dyDescent="0.3">
      <c r="A1234" s="6">
        <v>45503</v>
      </c>
      <c r="B1234" s="5" t="s">
        <v>21</v>
      </c>
      <c r="C1234" s="5" t="s">
        <v>36</v>
      </c>
      <c r="D1234" s="5" t="s">
        <v>8</v>
      </c>
      <c r="E1234" s="5" t="s">
        <v>17</v>
      </c>
      <c r="F1234" s="5">
        <v>4363</v>
      </c>
      <c r="G1234" s="5" t="str">
        <f>VLOOKUP(C1234,Sheet2!$C$3:$D$12,2,0)</f>
        <v>Variable</v>
      </c>
      <c r="H1234" s="5" t="str">
        <f>IFERROR(VLOOKUP(E1234,Sheet2!$G$3:$H$8,2,0),"unkwon")</f>
        <v>online</v>
      </c>
      <c r="I1234" s="5">
        <f>VLOOKUP(B1234,Sheet2!$J$4:$K$15,2,0)</f>
        <v>7</v>
      </c>
      <c r="J1234" s="5">
        <f>IFERROR(VLOOKUP(C1234,Sheet2!$M$4:$N$12,2,0),0)</f>
        <v>10000</v>
      </c>
      <c r="K1234" s="5" t="str">
        <f t="shared" si="19"/>
        <v>within budget</v>
      </c>
    </row>
    <row r="1235" spans="1:11" x14ac:dyDescent="0.3">
      <c r="A1235" s="6">
        <v>45446</v>
      </c>
      <c r="B1235" s="5" t="s">
        <v>39</v>
      </c>
      <c r="C1235" s="5" t="s">
        <v>10</v>
      </c>
      <c r="D1235" s="5" t="s">
        <v>24</v>
      </c>
      <c r="E1235" s="5" t="s">
        <v>9</v>
      </c>
      <c r="F1235" s="5">
        <v>488</v>
      </c>
      <c r="G1235" s="5" t="str">
        <f>VLOOKUP(C1235,Sheet2!$C$3:$D$12,2,0)</f>
        <v>Variable</v>
      </c>
      <c r="H1235" s="5" t="str">
        <f>IFERROR(VLOOKUP(E1235,Sheet2!$G$3:$H$8,2,0),"unkwon")</f>
        <v>online</v>
      </c>
      <c r="I1235" s="5">
        <f>VLOOKUP(B1235,Sheet2!$J$4:$K$15,2,0)</f>
        <v>6</v>
      </c>
      <c r="J1235" s="5">
        <f>IFERROR(VLOOKUP(C1235,Sheet2!$M$4:$N$12,2,0),0)</f>
        <v>5000</v>
      </c>
      <c r="K1235" s="5" t="str">
        <f t="shared" si="19"/>
        <v>within budget</v>
      </c>
    </row>
    <row r="1236" spans="1:11" x14ac:dyDescent="0.3">
      <c r="A1236" s="6">
        <v>45318</v>
      </c>
      <c r="B1236" s="5" t="s">
        <v>37</v>
      </c>
      <c r="C1236" s="5" t="s">
        <v>36</v>
      </c>
      <c r="D1236" s="5" t="s">
        <v>24</v>
      </c>
      <c r="E1236" s="5" t="s">
        <v>17</v>
      </c>
      <c r="F1236" s="5">
        <v>1894</v>
      </c>
      <c r="G1236" s="5" t="str">
        <f>VLOOKUP(C1236,Sheet2!$C$3:$D$12,2,0)</f>
        <v>Variable</v>
      </c>
      <c r="H1236" s="5" t="str">
        <f>IFERROR(VLOOKUP(E1236,Sheet2!$G$3:$H$8,2,0),"unkwon")</f>
        <v>online</v>
      </c>
      <c r="I1236" s="5">
        <f>VLOOKUP(B1236,Sheet2!$J$4:$K$15,2,0)</f>
        <v>1</v>
      </c>
      <c r="J1236" s="5">
        <f>IFERROR(VLOOKUP(C1236,Sheet2!$M$4:$N$12,2,0),0)</f>
        <v>10000</v>
      </c>
      <c r="K1236" s="5" t="str">
        <f t="shared" si="19"/>
        <v>within budget</v>
      </c>
    </row>
    <row r="1237" spans="1:11" x14ac:dyDescent="0.3">
      <c r="A1237" s="6">
        <v>44958</v>
      </c>
      <c r="B1237" s="5" t="s">
        <v>33</v>
      </c>
      <c r="C1237" s="5" t="s">
        <v>10</v>
      </c>
      <c r="D1237" s="5" t="s">
        <v>11</v>
      </c>
      <c r="E1237" s="5" t="s">
        <v>9</v>
      </c>
      <c r="F1237" s="5">
        <v>1310</v>
      </c>
      <c r="G1237" s="5" t="str">
        <f>VLOOKUP(C1237,Sheet2!$C$3:$D$12,2,0)</f>
        <v>Variable</v>
      </c>
      <c r="H1237" s="5" t="str">
        <f>IFERROR(VLOOKUP(E1237,Sheet2!$G$3:$H$8,2,0),"unkwon")</f>
        <v>online</v>
      </c>
      <c r="I1237" s="5">
        <f>VLOOKUP(B1237,Sheet2!$J$4:$K$15,2,0)</f>
        <v>2</v>
      </c>
      <c r="J1237" s="5">
        <f>IFERROR(VLOOKUP(C1237,Sheet2!$M$4:$N$12,2,0),0)</f>
        <v>5000</v>
      </c>
      <c r="K1237" s="5" t="str">
        <f t="shared" si="19"/>
        <v>within budget</v>
      </c>
    </row>
    <row r="1238" spans="1:11" x14ac:dyDescent="0.3">
      <c r="A1238" s="6">
        <v>45318</v>
      </c>
      <c r="B1238" s="5" t="s">
        <v>37</v>
      </c>
      <c r="C1238" s="5" t="s">
        <v>22</v>
      </c>
      <c r="D1238" s="5" t="s">
        <v>26</v>
      </c>
      <c r="E1238" s="5" t="s">
        <v>17</v>
      </c>
      <c r="F1238" s="5">
        <v>1851</v>
      </c>
      <c r="G1238" s="5" t="str">
        <f>VLOOKUP(C1238,Sheet2!$C$3:$D$12,2,0)</f>
        <v>Variable</v>
      </c>
      <c r="H1238" s="5" t="str">
        <f>IFERROR(VLOOKUP(E1238,Sheet2!$G$3:$H$8,2,0),"unkwon")</f>
        <v>online</v>
      </c>
      <c r="I1238" s="5">
        <f>VLOOKUP(B1238,Sheet2!$J$4:$K$15,2,0)</f>
        <v>1</v>
      </c>
      <c r="J1238" s="5">
        <f>IFERROR(VLOOKUP(C1238,Sheet2!$M$4:$N$12,2,0),0)</f>
        <v>1000</v>
      </c>
      <c r="K1238" s="5" t="str">
        <f t="shared" si="19"/>
        <v>over budget</v>
      </c>
    </row>
    <row r="1239" spans="1:11" x14ac:dyDescent="0.3">
      <c r="A1239" s="6">
        <v>45428</v>
      </c>
      <c r="B1239" s="5" t="s">
        <v>28</v>
      </c>
      <c r="C1239" s="5" t="s">
        <v>7</v>
      </c>
      <c r="D1239" s="5" t="s">
        <v>34</v>
      </c>
      <c r="E1239" s="5" t="s">
        <v>9</v>
      </c>
      <c r="F1239" s="5">
        <v>2021</v>
      </c>
      <c r="G1239" s="5" t="str">
        <f>VLOOKUP(C1239,Sheet2!$C$3:$D$12,2,0)</f>
        <v>Fixed</v>
      </c>
      <c r="H1239" s="5" t="str">
        <f>IFERROR(VLOOKUP(E1239,Sheet2!$G$3:$H$8,2,0),"unkwon")</f>
        <v>online</v>
      </c>
      <c r="I1239" s="5">
        <f>VLOOKUP(B1239,Sheet2!$J$4:$K$15,2,0)</f>
        <v>5</v>
      </c>
      <c r="J1239" s="5">
        <f>IFERROR(VLOOKUP(C1239,Sheet2!$M$4:$N$12,2,0),0)</f>
        <v>2000</v>
      </c>
      <c r="K1239" s="5" t="str">
        <f t="shared" si="19"/>
        <v>over budget</v>
      </c>
    </row>
    <row r="1240" spans="1:11" x14ac:dyDescent="0.3">
      <c r="A1240" s="6">
        <v>45258</v>
      </c>
      <c r="B1240" s="5" t="s">
        <v>40</v>
      </c>
      <c r="C1240" s="5" t="s">
        <v>30</v>
      </c>
      <c r="D1240" s="5" t="s">
        <v>14</v>
      </c>
      <c r="E1240" s="5" t="s">
        <v>17</v>
      </c>
      <c r="F1240" s="5">
        <v>4741</v>
      </c>
      <c r="G1240" s="5" t="str">
        <f>VLOOKUP(C1240,Sheet2!$C$3:$D$12,2,0)</f>
        <v>Fixed</v>
      </c>
      <c r="H1240" s="5" t="str">
        <f>IFERROR(VLOOKUP(E1240,Sheet2!$G$3:$H$8,2,0),"unkwon")</f>
        <v>online</v>
      </c>
      <c r="I1240" s="5">
        <f>VLOOKUP(B1240,Sheet2!$J$4:$K$15,2,0)</f>
        <v>11</v>
      </c>
      <c r="J1240" s="5">
        <f>IFERROR(VLOOKUP(C1240,Sheet2!$M$4:$N$12,2,0),0)</f>
        <v>3000</v>
      </c>
      <c r="K1240" s="5" t="str">
        <f t="shared" si="19"/>
        <v>over budget</v>
      </c>
    </row>
    <row r="1241" spans="1:11" x14ac:dyDescent="0.3">
      <c r="A1241" s="6">
        <v>45219</v>
      </c>
      <c r="B1241" s="5" t="s">
        <v>6</v>
      </c>
      <c r="C1241" s="5" t="s">
        <v>7</v>
      </c>
      <c r="D1241" s="5" t="s">
        <v>8</v>
      </c>
      <c r="E1241" s="5" t="s">
        <v>17</v>
      </c>
      <c r="F1241" s="5">
        <v>943</v>
      </c>
      <c r="G1241" s="5" t="str">
        <f>VLOOKUP(C1241,Sheet2!$C$3:$D$12,2,0)</f>
        <v>Fixed</v>
      </c>
      <c r="H1241" s="5" t="str">
        <f>IFERROR(VLOOKUP(E1241,Sheet2!$G$3:$H$8,2,0),"unkwon")</f>
        <v>online</v>
      </c>
      <c r="I1241" s="5">
        <f>VLOOKUP(B1241,Sheet2!$J$4:$K$15,2,0)</f>
        <v>10</v>
      </c>
      <c r="J1241" s="5">
        <f>IFERROR(VLOOKUP(C1241,Sheet2!$M$4:$N$12,2,0),0)</f>
        <v>2000</v>
      </c>
      <c r="K1241" s="5" t="str">
        <f t="shared" si="19"/>
        <v>within budget</v>
      </c>
    </row>
    <row r="1242" spans="1:11" x14ac:dyDescent="0.3">
      <c r="A1242" s="6">
        <v>44951</v>
      </c>
      <c r="B1242" s="5" t="s">
        <v>37</v>
      </c>
      <c r="C1242" s="5" t="s">
        <v>22</v>
      </c>
      <c r="D1242" s="5" t="s">
        <v>34</v>
      </c>
      <c r="E1242" s="5" t="s">
        <v>9</v>
      </c>
      <c r="F1242" s="5">
        <v>2461</v>
      </c>
      <c r="G1242" s="5" t="str">
        <f>VLOOKUP(C1242,Sheet2!$C$3:$D$12,2,0)</f>
        <v>Variable</v>
      </c>
      <c r="H1242" s="5" t="str">
        <f>IFERROR(VLOOKUP(E1242,Sheet2!$G$3:$H$8,2,0),"unkwon")</f>
        <v>online</v>
      </c>
      <c r="I1242" s="5">
        <f>VLOOKUP(B1242,Sheet2!$J$4:$K$15,2,0)</f>
        <v>1</v>
      </c>
      <c r="J1242" s="5">
        <f>IFERROR(VLOOKUP(C1242,Sheet2!$M$4:$N$12,2,0),0)</f>
        <v>1000</v>
      </c>
      <c r="K1242" s="5" t="str">
        <f t="shared" si="19"/>
        <v>over budget</v>
      </c>
    </row>
    <row r="1243" spans="1:11" x14ac:dyDescent="0.3">
      <c r="A1243" s="6">
        <v>44949</v>
      </c>
      <c r="B1243" s="5" t="s">
        <v>37</v>
      </c>
      <c r="C1243" s="5" t="s">
        <v>13</v>
      </c>
      <c r="D1243" s="5" t="s">
        <v>34</v>
      </c>
      <c r="E1243" s="5" t="s">
        <v>12</v>
      </c>
      <c r="F1243" s="5">
        <v>511</v>
      </c>
      <c r="G1243" s="5" t="str">
        <f>VLOOKUP(C1243,Sheet2!$C$3:$D$12,2,0)</f>
        <v>Variable</v>
      </c>
      <c r="H1243" s="5" t="str">
        <f>IFERROR(VLOOKUP(E1243,Sheet2!$G$3:$H$8,2,0),"unkwon")</f>
        <v>online</v>
      </c>
      <c r="I1243" s="5">
        <f>VLOOKUP(B1243,Sheet2!$J$4:$K$15,2,0)</f>
        <v>1</v>
      </c>
      <c r="J1243" s="5">
        <f>IFERROR(VLOOKUP(C1243,Sheet2!$M$4:$N$12,2,0),0)</f>
        <v>5000</v>
      </c>
      <c r="K1243" s="5" t="str">
        <f t="shared" si="19"/>
        <v>within budget</v>
      </c>
    </row>
    <row r="1244" spans="1:11" x14ac:dyDescent="0.3">
      <c r="A1244" s="6">
        <v>45509</v>
      </c>
      <c r="B1244" s="5" t="s">
        <v>25</v>
      </c>
      <c r="C1244" s="5" t="s">
        <v>13</v>
      </c>
      <c r="D1244" s="5" t="s">
        <v>23</v>
      </c>
      <c r="E1244" s="5" t="s">
        <v>9</v>
      </c>
      <c r="F1244" s="5">
        <v>2913</v>
      </c>
      <c r="G1244" s="5" t="str">
        <f>VLOOKUP(C1244,Sheet2!$C$3:$D$12,2,0)</f>
        <v>Variable</v>
      </c>
      <c r="H1244" s="5" t="str">
        <f>IFERROR(VLOOKUP(E1244,Sheet2!$G$3:$H$8,2,0),"unkwon")</f>
        <v>online</v>
      </c>
      <c r="I1244" s="5">
        <f>VLOOKUP(B1244,Sheet2!$J$4:$K$15,2,0)</f>
        <v>8</v>
      </c>
      <c r="J1244" s="5">
        <f>IFERROR(VLOOKUP(C1244,Sheet2!$M$4:$N$12,2,0),0)</f>
        <v>5000</v>
      </c>
      <c r="K1244" s="5" t="str">
        <f t="shared" si="19"/>
        <v>within budget</v>
      </c>
    </row>
    <row r="1245" spans="1:11" x14ac:dyDescent="0.3">
      <c r="A1245" s="6">
        <v>44948</v>
      </c>
      <c r="B1245" s="5" t="s">
        <v>37</v>
      </c>
      <c r="C1245" s="5" t="s">
        <v>30</v>
      </c>
      <c r="D1245" s="5" t="s">
        <v>20</v>
      </c>
      <c r="E1245" s="5" t="s">
        <v>15</v>
      </c>
      <c r="F1245" s="5">
        <v>4393</v>
      </c>
      <c r="G1245" s="5" t="str">
        <f>VLOOKUP(C1245,Sheet2!$C$3:$D$12,2,0)</f>
        <v>Fixed</v>
      </c>
      <c r="H1245" s="5" t="str">
        <f>IFERROR(VLOOKUP(E1245,Sheet2!$G$3:$H$8,2,0),"unkwon")</f>
        <v>online</v>
      </c>
      <c r="I1245" s="5">
        <f>VLOOKUP(B1245,Sheet2!$J$4:$K$15,2,0)</f>
        <v>1</v>
      </c>
      <c r="J1245" s="5">
        <f>IFERROR(VLOOKUP(C1245,Sheet2!$M$4:$N$12,2,0),0)</f>
        <v>3000</v>
      </c>
      <c r="K1245" s="5" t="str">
        <f t="shared" si="19"/>
        <v>over budget</v>
      </c>
    </row>
    <row r="1246" spans="1:11" x14ac:dyDescent="0.3">
      <c r="A1246" s="6">
        <v>45074</v>
      </c>
      <c r="B1246" s="5" t="s">
        <v>28</v>
      </c>
      <c r="C1246" s="5" t="s">
        <v>41</v>
      </c>
      <c r="D1246" s="5" t="s">
        <v>18</v>
      </c>
      <c r="E1246" s="5" t="s">
        <v>12</v>
      </c>
      <c r="F1246" s="5">
        <v>3386</v>
      </c>
      <c r="G1246" s="5" t="str">
        <f>VLOOKUP(C1246,Sheet2!$C$3:$D$12,2,0)</f>
        <v>Variable</v>
      </c>
      <c r="H1246" s="5" t="str">
        <f>IFERROR(VLOOKUP(E1246,Sheet2!$G$3:$H$8,2,0),"unkwon")</f>
        <v>online</v>
      </c>
      <c r="I1246" s="5">
        <f>VLOOKUP(B1246,Sheet2!$J$4:$K$15,2,0)</f>
        <v>5</v>
      </c>
      <c r="J1246" s="5">
        <f>IFERROR(VLOOKUP(C1246,Sheet2!$M$4:$N$12,2,0),0)</f>
        <v>7000</v>
      </c>
      <c r="K1246" s="5" t="str">
        <f t="shared" si="19"/>
        <v>within budget</v>
      </c>
    </row>
    <row r="1247" spans="1:11" x14ac:dyDescent="0.3">
      <c r="A1247" s="6">
        <v>45386</v>
      </c>
      <c r="B1247" s="5" t="s">
        <v>29</v>
      </c>
      <c r="C1247" s="5" t="s">
        <v>7</v>
      </c>
      <c r="D1247" s="5" t="s">
        <v>31</v>
      </c>
      <c r="E1247" s="5" t="s">
        <v>9</v>
      </c>
      <c r="F1247" s="5">
        <v>1350</v>
      </c>
      <c r="G1247" s="5" t="str">
        <f>VLOOKUP(C1247,Sheet2!$C$3:$D$12,2,0)</f>
        <v>Fixed</v>
      </c>
      <c r="H1247" s="5" t="str">
        <f>IFERROR(VLOOKUP(E1247,Sheet2!$G$3:$H$8,2,0),"unkwon")</f>
        <v>online</v>
      </c>
      <c r="I1247" s="5">
        <f>VLOOKUP(B1247,Sheet2!$J$4:$K$15,2,0)</f>
        <v>4</v>
      </c>
      <c r="J1247" s="5">
        <f>IFERROR(VLOOKUP(C1247,Sheet2!$M$4:$N$12,2,0),0)</f>
        <v>2000</v>
      </c>
      <c r="K1247" s="5" t="str">
        <f t="shared" si="19"/>
        <v>within budget</v>
      </c>
    </row>
    <row r="1248" spans="1:11" x14ac:dyDescent="0.3">
      <c r="A1248" s="6">
        <v>45335</v>
      </c>
      <c r="B1248" s="5" t="s">
        <v>33</v>
      </c>
      <c r="C1248" s="5" t="s">
        <v>27</v>
      </c>
      <c r="D1248" s="5" t="s">
        <v>23</v>
      </c>
      <c r="E1248" s="5" t="s">
        <v>15</v>
      </c>
      <c r="F1248" s="5">
        <v>1251</v>
      </c>
      <c r="G1248" s="5" t="str">
        <f>VLOOKUP(C1248,Sheet2!$C$3:$D$12,2,0)</f>
        <v>Variable</v>
      </c>
      <c r="H1248" s="5" t="str">
        <f>IFERROR(VLOOKUP(E1248,Sheet2!$G$3:$H$8,2,0),"unkwon")</f>
        <v>online</v>
      </c>
      <c r="I1248" s="5">
        <f>VLOOKUP(B1248,Sheet2!$J$4:$K$15,2,0)</f>
        <v>2</v>
      </c>
      <c r="J1248" s="5">
        <f>IFERROR(VLOOKUP(C1248,Sheet2!$M$4:$N$12,2,0),0)</f>
        <v>4000</v>
      </c>
      <c r="K1248" s="5" t="str">
        <f t="shared" si="19"/>
        <v>within budget</v>
      </c>
    </row>
    <row r="1249" spans="1:11" x14ac:dyDescent="0.3">
      <c r="A1249" s="6">
        <v>45048</v>
      </c>
      <c r="B1249" s="5" t="s">
        <v>28</v>
      </c>
      <c r="C1249" s="5" t="s">
        <v>10</v>
      </c>
      <c r="D1249" s="5" t="s">
        <v>11</v>
      </c>
      <c r="E1249" s="5" t="s">
        <v>12</v>
      </c>
      <c r="F1249" s="5">
        <v>2322</v>
      </c>
      <c r="G1249" s="5" t="str">
        <f>VLOOKUP(C1249,Sheet2!$C$3:$D$12,2,0)</f>
        <v>Variable</v>
      </c>
      <c r="H1249" s="5" t="str">
        <f>IFERROR(VLOOKUP(E1249,Sheet2!$G$3:$H$8,2,0),"unkwon")</f>
        <v>online</v>
      </c>
      <c r="I1249" s="5">
        <f>VLOOKUP(B1249,Sheet2!$J$4:$K$15,2,0)</f>
        <v>5</v>
      </c>
      <c r="J1249" s="5">
        <f>IFERROR(VLOOKUP(C1249,Sheet2!$M$4:$N$12,2,0),0)</f>
        <v>5000</v>
      </c>
      <c r="K1249" s="5" t="str">
        <f t="shared" si="19"/>
        <v>within budget</v>
      </c>
    </row>
    <row r="1250" spans="1:11" x14ac:dyDescent="0.3">
      <c r="A1250" s="6">
        <v>45252</v>
      </c>
      <c r="B1250" s="5" t="s">
        <v>40</v>
      </c>
      <c r="C1250" s="5" t="s">
        <v>7</v>
      </c>
      <c r="D1250" s="5" t="s">
        <v>18</v>
      </c>
      <c r="E1250" s="5" t="s">
        <v>17</v>
      </c>
      <c r="F1250" s="5">
        <v>285</v>
      </c>
      <c r="G1250" s="5" t="str">
        <f>VLOOKUP(C1250,Sheet2!$C$3:$D$12,2,0)</f>
        <v>Fixed</v>
      </c>
      <c r="H1250" s="5" t="str">
        <f>IFERROR(VLOOKUP(E1250,Sheet2!$G$3:$H$8,2,0),"unkwon")</f>
        <v>online</v>
      </c>
      <c r="I1250" s="5">
        <f>VLOOKUP(B1250,Sheet2!$J$4:$K$15,2,0)</f>
        <v>11</v>
      </c>
      <c r="J1250" s="5">
        <f>IFERROR(VLOOKUP(C1250,Sheet2!$M$4:$N$12,2,0),0)</f>
        <v>2000</v>
      </c>
      <c r="K1250" s="5" t="str">
        <f t="shared" si="19"/>
        <v>within budget</v>
      </c>
    </row>
    <row r="1251" spans="1:11" x14ac:dyDescent="0.3">
      <c r="A1251" s="6">
        <v>45443</v>
      </c>
      <c r="B1251" s="5" t="s">
        <v>28</v>
      </c>
      <c r="C1251" s="5" t="s">
        <v>7</v>
      </c>
      <c r="D1251" s="5" t="s">
        <v>24</v>
      </c>
      <c r="E1251" s="5" t="s">
        <v>15</v>
      </c>
      <c r="F1251" s="5">
        <v>2503</v>
      </c>
      <c r="G1251" s="5" t="str">
        <f>VLOOKUP(C1251,Sheet2!$C$3:$D$12,2,0)</f>
        <v>Fixed</v>
      </c>
      <c r="H1251" s="5" t="str">
        <f>IFERROR(VLOOKUP(E1251,Sheet2!$G$3:$H$8,2,0),"unkwon")</f>
        <v>online</v>
      </c>
      <c r="I1251" s="5">
        <f>VLOOKUP(B1251,Sheet2!$J$4:$K$15,2,0)</f>
        <v>5</v>
      </c>
      <c r="J1251" s="5">
        <f>IFERROR(VLOOKUP(C1251,Sheet2!$M$4:$N$12,2,0),0)</f>
        <v>2000</v>
      </c>
      <c r="K1251" s="5" t="str">
        <f t="shared" si="19"/>
        <v>over budget</v>
      </c>
    </row>
    <row r="1252" spans="1:11" x14ac:dyDescent="0.3">
      <c r="A1252" s="6">
        <v>44944</v>
      </c>
      <c r="B1252" s="5" t="s">
        <v>37</v>
      </c>
      <c r="C1252" s="5" t="s">
        <v>13</v>
      </c>
      <c r="D1252" s="5" t="s">
        <v>34</v>
      </c>
      <c r="E1252" s="5" t="s">
        <v>17</v>
      </c>
      <c r="F1252" s="5">
        <v>2932</v>
      </c>
      <c r="G1252" s="5" t="str">
        <f>VLOOKUP(C1252,Sheet2!$C$3:$D$12,2,0)</f>
        <v>Variable</v>
      </c>
      <c r="H1252" s="5" t="str">
        <f>IFERROR(VLOOKUP(E1252,Sheet2!$G$3:$H$8,2,0),"unkwon")</f>
        <v>online</v>
      </c>
      <c r="I1252" s="5">
        <f>VLOOKUP(B1252,Sheet2!$J$4:$K$15,2,0)</f>
        <v>1</v>
      </c>
      <c r="J1252" s="5">
        <f>IFERROR(VLOOKUP(C1252,Sheet2!$M$4:$N$12,2,0),0)</f>
        <v>5000</v>
      </c>
      <c r="K1252" s="5" t="str">
        <f t="shared" si="19"/>
        <v>within budget</v>
      </c>
    </row>
    <row r="1253" spans="1:11" x14ac:dyDescent="0.3">
      <c r="A1253" s="6">
        <v>45643</v>
      </c>
      <c r="B1253" s="5" t="s">
        <v>16</v>
      </c>
      <c r="C1253" s="5" t="s">
        <v>22</v>
      </c>
      <c r="D1253" s="5" t="s">
        <v>24</v>
      </c>
      <c r="E1253" s="5" t="s">
        <v>15</v>
      </c>
      <c r="F1253" s="5">
        <v>3404</v>
      </c>
      <c r="G1253" s="5" t="str">
        <f>VLOOKUP(C1253,Sheet2!$C$3:$D$12,2,0)</f>
        <v>Variable</v>
      </c>
      <c r="H1253" s="5" t="str">
        <f>IFERROR(VLOOKUP(E1253,Sheet2!$G$3:$H$8,2,0),"unkwon")</f>
        <v>online</v>
      </c>
      <c r="I1253" s="5">
        <f>VLOOKUP(B1253,Sheet2!$J$4:$K$15,2,0)</f>
        <v>12</v>
      </c>
      <c r="J1253" s="5">
        <f>IFERROR(VLOOKUP(C1253,Sheet2!$M$4:$N$12,2,0),0)</f>
        <v>1000</v>
      </c>
      <c r="K1253" s="5" t="str">
        <f t="shared" si="19"/>
        <v>over budget</v>
      </c>
    </row>
    <row r="1254" spans="1:11" x14ac:dyDescent="0.3">
      <c r="A1254" s="6">
        <v>45153</v>
      </c>
      <c r="B1254" s="5" t="s">
        <v>25</v>
      </c>
      <c r="C1254" s="5" t="s">
        <v>13</v>
      </c>
      <c r="D1254" s="5" t="s">
        <v>8</v>
      </c>
      <c r="E1254" s="5" t="s">
        <v>9</v>
      </c>
      <c r="F1254" s="5">
        <v>2521</v>
      </c>
      <c r="G1254" s="5" t="str">
        <f>VLOOKUP(C1254,Sheet2!$C$3:$D$12,2,0)</f>
        <v>Variable</v>
      </c>
      <c r="H1254" s="5" t="str">
        <f>IFERROR(VLOOKUP(E1254,Sheet2!$G$3:$H$8,2,0),"unkwon")</f>
        <v>online</v>
      </c>
      <c r="I1254" s="5">
        <f>VLOOKUP(B1254,Sheet2!$J$4:$K$15,2,0)</f>
        <v>8</v>
      </c>
      <c r="J1254" s="5">
        <f>IFERROR(VLOOKUP(C1254,Sheet2!$M$4:$N$12,2,0),0)</f>
        <v>5000</v>
      </c>
      <c r="K1254" s="5" t="str">
        <f t="shared" si="19"/>
        <v>within budget</v>
      </c>
    </row>
    <row r="1255" spans="1:11" x14ac:dyDescent="0.3">
      <c r="A1255" s="6">
        <v>45596</v>
      </c>
      <c r="B1255" s="5" t="s">
        <v>6</v>
      </c>
      <c r="C1255" s="5" t="s">
        <v>41</v>
      </c>
      <c r="D1255" s="5" t="s">
        <v>26</v>
      </c>
      <c r="E1255" s="5" t="s">
        <v>32</v>
      </c>
      <c r="F1255" s="5">
        <v>614</v>
      </c>
      <c r="G1255" s="5" t="str">
        <f>VLOOKUP(C1255,Sheet2!$C$3:$D$12,2,0)</f>
        <v>Variable</v>
      </c>
      <c r="H1255" s="5" t="str">
        <f>IFERROR(VLOOKUP(E1255,Sheet2!$G$3:$H$8,2,0),"unkwon")</f>
        <v>offline</v>
      </c>
      <c r="I1255" s="5">
        <f>VLOOKUP(B1255,Sheet2!$J$4:$K$15,2,0)</f>
        <v>10</v>
      </c>
      <c r="J1255" s="5">
        <f>IFERROR(VLOOKUP(C1255,Sheet2!$M$4:$N$12,2,0),0)</f>
        <v>7000</v>
      </c>
      <c r="K1255" s="5" t="str">
        <f t="shared" si="19"/>
        <v>within budget</v>
      </c>
    </row>
    <row r="1256" spans="1:11" x14ac:dyDescent="0.3">
      <c r="A1256" s="6">
        <v>45066</v>
      </c>
      <c r="B1256" s="5" t="s">
        <v>28</v>
      </c>
      <c r="C1256" s="5" t="s">
        <v>7</v>
      </c>
      <c r="D1256" s="5" t="s">
        <v>31</v>
      </c>
      <c r="E1256" s="5" t="s">
        <v>32</v>
      </c>
      <c r="F1256" s="5">
        <v>483</v>
      </c>
      <c r="G1256" s="5" t="str">
        <f>VLOOKUP(C1256,Sheet2!$C$3:$D$12,2,0)</f>
        <v>Fixed</v>
      </c>
      <c r="H1256" s="5" t="str">
        <f>IFERROR(VLOOKUP(E1256,Sheet2!$G$3:$H$8,2,0),"unkwon")</f>
        <v>offline</v>
      </c>
      <c r="I1256" s="5">
        <f>VLOOKUP(B1256,Sheet2!$J$4:$K$15,2,0)</f>
        <v>5</v>
      </c>
      <c r="J1256" s="5">
        <f>IFERROR(VLOOKUP(C1256,Sheet2!$M$4:$N$12,2,0),0)</f>
        <v>2000</v>
      </c>
      <c r="K1256" s="5" t="str">
        <f t="shared" si="19"/>
        <v>within budget</v>
      </c>
    </row>
    <row r="1257" spans="1:11" x14ac:dyDescent="0.3">
      <c r="A1257" s="6">
        <v>45109</v>
      </c>
      <c r="B1257" s="5" t="s">
        <v>21</v>
      </c>
      <c r="C1257" s="5" t="s">
        <v>22</v>
      </c>
      <c r="D1257" s="5" t="s">
        <v>18</v>
      </c>
      <c r="E1257" s="5" t="s">
        <v>15</v>
      </c>
      <c r="F1257" s="5">
        <v>4008</v>
      </c>
      <c r="G1257" s="5" t="str">
        <f>VLOOKUP(C1257,Sheet2!$C$3:$D$12,2,0)</f>
        <v>Variable</v>
      </c>
      <c r="H1257" s="5" t="str">
        <f>IFERROR(VLOOKUP(E1257,Sheet2!$G$3:$H$8,2,0),"unkwon")</f>
        <v>online</v>
      </c>
      <c r="I1257" s="5">
        <f>VLOOKUP(B1257,Sheet2!$J$4:$K$15,2,0)</f>
        <v>7</v>
      </c>
      <c r="J1257" s="5">
        <f>IFERROR(VLOOKUP(C1257,Sheet2!$M$4:$N$12,2,0),0)</f>
        <v>1000</v>
      </c>
      <c r="K1257" s="5" t="str">
        <f t="shared" si="19"/>
        <v>over budget</v>
      </c>
    </row>
    <row r="1258" spans="1:11" x14ac:dyDescent="0.3">
      <c r="A1258" s="6">
        <v>45211</v>
      </c>
      <c r="B1258" s="5" t="s">
        <v>6</v>
      </c>
      <c r="C1258" s="5" t="s">
        <v>13</v>
      </c>
      <c r="D1258" s="5" t="s">
        <v>8</v>
      </c>
      <c r="E1258" s="5" t="s">
        <v>32</v>
      </c>
      <c r="F1258" s="5">
        <v>3095</v>
      </c>
      <c r="G1258" s="5" t="str">
        <f>VLOOKUP(C1258,Sheet2!$C$3:$D$12,2,0)</f>
        <v>Variable</v>
      </c>
      <c r="H1258" s="5" t="str">
        <f>IFERROR(VLOOKUP(E1258,Sheet2!$G$3:$H$8,2,0),"unkwon")</f>
        <v>offline</v>
      </c>
      <c r="I1258" s="5">
        <f>VLOOKUP(B1258,Sheet2!$J$4:$K$15,2,0)</f>
        <v>10</v>
      </c>
      <c r="J1258" s="5">
        <f>IFERROR(VLOOKUP(C1258,Sheet2!$M$4:$N$12,2,0),0)</f>
        <v>5000</v>
      </c>
      <c r="K1258" s="5" t="str">
        <f t="shared" si="19"/>
        <v>within budget</v>
      </c>
    </row>
    <row r="1259" spans="1:11" x14ac:dyDescent="0.3">
      <c r="A1259" s="6">
        <v>45091</v>
      </c>
      <c r="B1259" s="5" t="s">
        <v>39</v>
      </c>
      <c r="C1259" s="5" t="s">
        <v>22</v>
      </c>
      <c r="D1259" s="5" t="s">
        <v>31</v>
      </c>
      <c r="E1259" s="5" t="s">
        <v>17</v>
      </c>
      <c r="F1259" s="5">
        <v>519</v>
      </c>
      <c r="G1259" s="5" t="str">
        <f>VLOOKUP(C1259,Sheet2!$C$3:$D$12,2,0)</f>
        <v>Variable</v>
      </c>
      <c r="H1259" s="5" t="str">
        <f>IFERROR(VLOOKUP(E1259,Sheet2!$G$3:$H$8,2,0),"unkwon")</f>
        <v>online</v>
      </c>
      <c r="I1259" s="5">
        <f>VLOOKUP(B1259,Sheet2!$J$4:$K$15,2,0)</f>
        <v>6</v>
      </c>
      <c r="J1259" s="5">
        <f>IFERROR(VLOOKUP(C1259,Sheet2!$M$4:$N$12,2,0),0)</f>
        <v>1000</v>
      </c>
      <c r="K1259" s="5" t="str">
        <f t="shared" si="19"/>
        <v>within budget</v>
      </c>
    </row>
    <row r="1260" spans="1:11" x14ac:dyDescent="0.3">
      <c r="A1260" s="6">
        <v>45386</v>
      </c>
      <c r="B1260" s="5" t="s">
        <v>29</v>
      </c>
      <c r="C1260" s="5" t="s">
        <v>22</v>
      </c>
      <c r="D1260" s="5" t="s">
        <v>34</v>
      </c>
      <c r="E1260" s="5" t="s">
        <v>17</v>
      </c>
      <c r="F1260" s="5">
        <v>4961</v>
      </c>
      <c r="G1260" s="5" t="str">
        <f>VLOOKUP(C1260,Sheet2!$C$3:$D$12,2,0)</f>
        <v>Variable</v>
      </c>
      <c r="H1260" s="5" t="str">
        <f>IFERROR(VLOOKUP(E1260,Sheet2!$G$3:$H$8,2,0),"unkwon")</f>
        <v>online</v>
      </c>
      <c r="I1260" s="5">
        <f>VLOOKUP(B1260,Sheet2!$J$4:$K$15,2,0)</f>
        <v>4</v>
      </c>
      <c r="J1260" s="5">
        <f>IFERROR(VLOOKUP(C1260,Sheet2!$M$4:$N$12,2,0),0)</f>
        <v>1000</v>
      </c>
      <c r="K1260" s="5" t="str">
        <f t="shared" si="19"/>
        <v>over budget</v>
      </c>
    </row>
    <row r="1261" spans="1:11" x14ac:dyDescent="0.3">
      <c r="A1261" s="6">
        <v>45083</v>
      </c>
      <c r="B1261" s="5" t="s">
        <v>39</v>
      </c>
      <c r="C1261" s="5" t="s">
        <v>13</v>
      </c>
      <c r="D1261" s="5" t="s">
        <v>11</v>
      </c>
      <c r="E1261" s="5" t="s">
        <v>17</v>
      </c>
      <c r="F1261" s="5">
        <v>3288</v>
      </c>
      <c r="G1261" s="5" t="str">
        <f>VLOOKUP(C1261,Sheet2!$C$3:$D$12,2,0)</f>
        <v>Variable</v>
      </c>
      <c r="H1261" s="5" t="str">
        <f>IFERROR(VLOOKUP(E1261,Sheet2!$G$3:$H$8,2,0),"unkwon")</f>
        <v>online</v>
      </c>
      <c r="I1261" s="5">
        <f>VLOOKUP(B1261,Sheet2!$J$4:$K$15,2,0)</f>
        <v>6</v>
      </c>
      <c r="J1261" s="5">
        <f>IFERROR(VLOOKUP(C1261,Sheet2!$M$4:$N$12,2,0),0)</f>
        <v>5000</v>
      </c>
      <c r="K1261" s="5" t="str">
        <f t="shared" si="19"/>
        <v>within budget</v>
      </c>
    </row>
    <row r="1262" spans="1:11" x14ac:dyDescent="0.3">
      <c r="A1262" s="6">
        <v>45567</v>
      </c>
      <c r="B1262" s="5" t="s">
        <v>6</v>
      </c>
      <c r="C1262" s="5" t="s">
        <v>10</v>
      </c>
      <c r="D1262" s="5" t="s">
        <v>26</v>
      </c>
      <c r="E1262" s="5" t="s">
        <v>32</v>
      </c>
      <c r="F1262" s="5">
        <v>2909</v>
      </c>
      <c r="G1262" s="5" t="str">
        <f>VLOOKUP(C1262,Sheet2!$C$3:$D$12,2,0)</f>
        <v>Variable</v>
      </c>
      <c r="H1262" s="5" t="str">
        <f>IFERROR(VLOOKUP(E1262,Sheet2!$G$3:$H$8,2,0),"unkwon")</f>
        <v>offline</v>
      </c>
      <c r="I1262" s="5">
        <f>VLOOKUP(B1262,Sheet2!$J$4:$K$15,2,0)</f>
        <v>10</v>
      </c>
      <c r="J1262" s="5">
        <f>IFERROR(VLOOKUP(C1262,Sheet2!$M$4:$N$12,2,0),0)</f>
        <v>5000</v>
      </c>
      <c r="K1262" s="5" t="str">
        <f t="shared" si="19"/>
        <v>within budget</v>
      </c>
    </row>
    <row r="1263" spans="1:11" x14ac:dyDescent="0.3">
      <c r="A1263" s="6">
        <v>45085</v>
      </c>
      <c r="B1263" s="5" t="s">
        <v>39</v>
      </c>
      <c r="C1263" s="5" t="s">
        <v>36</v>
      </c>
      <c r="D1263" s="5" t="s">
        <v>11</v>
      </c>
      <c r="E1263" s="5" t="s">
        <v>15</v>
      </c>
      <c r="F1263" s="5">
        <v>3647</v>
      </c>
      <c r="G1263" s="5" t="str">
        <f>VLOOKUP(C1263,Sheet2!$C$3:$D$12,2,0)</f>
        <v>Variable</v>
      </c>
      <c r="H1263" s="5" t="str">
        <f>IFERROR(VLOOKUP(E1263,Sheet2!$G$3:$H$8,2,0),"unkwon")</f>
        <v>online</v>
      </c>
      <c r="I1263" s="5">
        <f>VLOOKUP(B1263,Sheet2!$J$4:$K$15,2,0)</f>
        <v>6</v>
      </c>
      <c r="J1263" s="5">
        <f>IFERROR(VLOOKUP(C1263,Sheet2!$M$4:$N$12,2,0),0)</f>
        <v>10000</v>
      </c>
      <c r="K1263" s="5" t="str">
        <f t="shared" si="19"/>
        <v>within budget</v>
      </c>
    </row>
    <row r="1264" spans="1:11" x14ac:dyDescent="0.3">
      <c r="A1264" s="6">
        <v>45010</v>
      </c>
      <c r="B1264" s="5" t="s">
        <v>19</v>
      </c>
      <c r="C1264" s="5" t="s">
        <v>7</v>
      </c>
      <c r="D1264" s="5" t="s">
        <v>20</v>
      </c>
      <c r="E1264" s="5" t="s">
        <v>32</v>
      </c>
      <c r="F1264" s="5">
        <v>1500</v>
      </c>
      <c r="G1264" s="5" t="str">
        <f>VLOOKUP(C1264,Sheet2!$C$3:$D$12,2,0)</f>
        <v>Fixed</v>
      </c>
      <c r="H1264" s="5" t="str">
        <f>IFERROR(VLOOKUP(E1264,Sheet2!$G$3:$H$8,2,0),"unkwon")</f>
        <v>offline</v>
      </c>
      <c r="I1264" s="5">
        <f>VLOOKUP(B1264,Sheet2!$J$4:$K$15,2,0)</f>
        <v>3</v>
      </c>
      <c r="J1264" s="5">
        <f>IFERROR(VLOOKUP(C1264,Sheet2!$M$4:$N$12,2,0),0)</f>
        <v>2000</v>
      </c>
      <c r="K1264" s="5" t="str">
        <f t="shared" si="19"/>
        <v>within budget</v>
      </c>
    </row>
    <row r="1265" spans="1:11" x14ac:dyDescent="0.3">
      <c r="A1265" s="6">
        <v>45079</v>
      </c>
      <c r="B1265" s="5" t="s">
        <v>39</v>
      </c>
      <c r="C1265" s="5" t="s">
        <v>35</v>
      </c>
      <c r="D1265" s="5" t="s">
        <v>34</v>
      </c>
      <c r="E1265" s="5" t="s">
        <v>32</v>
      </c>
      <c r="F1265" s="5">
        <v>1110</v>
      </c>
      <c r="G1265" s="5" t="str">
        <f>VLOOKUP(C1265,Sheet2!$C$3:$D$12,2,0)</f>
        <v>Fixed</v>
      </c>
      <c r="H1265" s="5" t="str">
        <f>IFERROR(VLOOKUP(E1265,Sheet2!$G$3:$H$8,2,0),"unkwon")</f>
        <v>offline</v>
      </c>
      <c r="I1265" s="5">
        <f>VLOOKUP(B1265,Sheet2!$J$4:$K$15,2,0)</f>
        <v>6</v>
      </c>
      <c r="J1265" s="5">
        <f>IFERROR(VLOOKUP(C1265,Sheet2!$M$4:$N$12,2,0),0)</f>
        <v>5500</v>
      </c>
      <c r="K1265" s="5" t="str">
        <f t="shared" si="19"/>
        <v>within budget</v>
      </c>
    </row>
    <row r="1266" spans="1:11" x14ac:dyDescent="0.3">
      <c r="A1266" s="6">
        <v>45236</v>
      </c>
      <c r="B1266" s="5" t="s">
        <v>40</v>
      </c>
      <c r="C1266" s="5" t="s">
        <v>35</v>
      </c>
      <c r="D1266" s="5" t="s">
        <v>34</v>
      </c>
      <c r="E1266" s="5" t="s">
        <v>9</v>
      </c>
      <c r="F1266" s="5">
        <v>3067</v>
      </c>
      <c r="G1266" s="5" t="str">
        <f>VLOOKUP(C1266,Sheet2!$C$3:$D$12,2,0)</f>
        <v>Fixed</v>
      </c>
      <c r="H1266" s="5" t="str">
        <f>IFERROR(VLOOKUP(E1266,Sheet2!$G$3:$H$8,2,0),"unkwon")</f>
        <v>online</v>
      </c>
      <c r="I1266" s="5">
        <f>VLOOKUP(B1266,Sheet2!$J$4:$K$15,2,0)</f>
        <v>11</v>
      </c>
      <c r="J1266" s="5">
        <f>IFERROR(VLOOKUP(C1266,Sheet2!$M$4:$N$12,2,0),0)</f>
        <v>5500</v>
      </c>
      <c r="K1266" s="5" t="str">
        <f t="shared" si="19"/>
        <v>within budget</v>
      </c>
    </row>
    <row r="1267" spans="1:11" x14ac:dyDescent="0.3">
      <c r="A1267" s="6">
        <v>45166</v>
      </c>
      <c r="B1267" s="5" t="s">
        <v>25</v>
      </c>
      <c r="C1267" s="5" t="s">
        <v>36</v>
      </c>
      <c r="D1267" s="5" t="s">
        <v>26</v>
      </c>
      <c r="E1267" s="5" t="s">
        <v>17</v>
      </c>
      <c r="F1267" s="5">
        <v>1306</v>
      </c>
      <c r="G1267" s="5" t="str">
        <f>VLOOKUP(C1267,Sheet2!$C$3:$D$12,2,0)</f>
        <v>Variable</v>
      </c>
      <c r="H1267" s="5" t="str">
        <f>IFERROR(VLOOKUP(E1267,Sheet2!$G$3:$H$8,2,0),"unkwon")</f>
        <v>online</v>
      </c>
      <c r="I1267" s="5">
        <f>VLOOKUP(B1267,Sheet2!$J$4:$K$15,2,0)</f>
        <v>8</v>
      </c>
      <c r="J1267" s="5">
        <f>IFERROR(VLOOKUP(C1267,Sheet2!$M$4:$N$12,2,0),0)</f>
        <v>10000</v>
      </c>
      <c r="K1267" s="5" t="str">
        <f t="shared" si="19"/>
        <v>within budget</v>
      </c>
    </row>
    <row r="1268" spans="1:11" x14ac:dyDescent="0.3">
      <c r="A1268" s="6">
        <v>45562</v>
      </c>
      <c r="B1268" s="5" t="s">
        <v>38</v>
      </c>
      <c r="C1268" s="5" t="s">
        <v>22</v>
      </c>
      <c r="D1268" s="5" t="s">
        <v>24</v>
      </c>
      <c r="E1268" s="5" t="s">
        <v>17</v>
      </c>
      <c r="F1268" s="5">
        <v>4005</v>
      </c>
      <c r="G1268" s="5" t="str">
        <f>VLOOKUP(C1268,Sheet2!$C$3:$D$12,2,0)</f>
        <v>Variable</v>
      </c>
      <c r="H1268" s="5" t="str">
        <f>IFERROR(VLOOKUP(E1268,Sheet2!$G$3:$H$8,2,0),"unkwon")</f>
        <v>online</v>
      </c>
      <c r="I1268" s="5">
        <f>VLOOKUP(B1268,Sheet2!$J$4:$K$15,2,0)</f>
        <v>9</v>
      </c>
      <c r="J1268" s="5">
        <f>IFERROR(VLOOKUP(C1268,Sheet2!$M$4:$N$12,2,0),0)</f>
        <v>1000</v>
      </c>
      <c r="K1268" s="5" t="str">
        <f t="shared" si="19"/>
        <v>over budget</v>
      </c>
    </row>
    <row r="1269" spans="1:11" x14ac:dyDescent="0.3">
      <c r="A1269" s="6">
        <v>45469</v>
      </c>
      <c r="B1269" s="5" t="s">
        <v>39</v>
      </c>
      <c r="C1269" s="5" t="s">
        <v>30</v>
      </c>
      <c r="D1269" s="5" t="s">
        <v>20</v>
      </c>
      <c r="E1269" s="5" t="s">
        <v>17</v>
      </c>
      <c r="F1269" s="5">
        <v>3186</v>
      </c>
      <c r="G1269" s="5" t="str">
        <f>VLOOKUP(C1269,Sheet2!$C$3:$D$12,2,0)</f>
        <v>Fixed</v>
      </c>
      <c r="H1269" s="5" t="str">
        <f>IFERROR(VLOOKUP(E1269,Sheet2!$G$3:$H$8,2,0),"unkwon")</f>
        <v>online</v>
      </c>
      <c r="I1269" s="5">
        <f>VLOOKUP(B1269,Sheet2!$J$4:$K$15,2,0)</f>
        <v>6</v>
      </c>
      <c r="J1269" s="5">
        <f>IFERROR(VLOOKUP(C1269,Sheet2!$M$4:$N$12,2,0),0)</f>
        <v>3000</v>
      </c>
      <c r="K1269" s="5" t="str">
        <f t="shared" si="19"/>
        <v>over budget</v>
      </c>
    </row>
    <row r="1270" spans="1:11" x14ac:dyDescent="0.3">
      <c r="A1270" s="6">
        <v>45515</v>
      </c>
      <c r="B1270" s="5" t="s">
        <v>25</v>
      </c>
      <c r="C1270" s="5" t="s">
        <v>30</v>
      </c>
      <c r="D1270" s="5" t="s">
        <v>11</v>
      </c>
      <c r="E1270" s="5" t="s">
        <v>9</v>
      </c>
      <c r="F1270" s="5">
        <v>4531</v>
      </c>
      <c r="G1270" s="5" t="str">
        <f>VLOOKUP(C1270,Sheet2!$C$3:$D$12,2,0)</f>
        <v>Fixed</v>
      </c>
      <c r="H1270" s="5" t="str">
        <f>IFERROR(VLOOKUP(E1270,Sheet2!$G$3:$H$8,2,0),"unkwon")</f>
        <v>online</v>
      </c>
      <c r="I1270" s="5">
        <f>VLOOKUP(B1270,Sheet2!$J$4:$K$15,2,0)</f>
        <v>8</v>
      </c>
      <c r="J1270" s="5">
        <f>IFERROR(VLOOKUP(C1270,Sheet2!$M$4:$N$12,2,0),0)</f>
        <v>3000</v>
      </c>
      <c r="K1270" s="5" t="str">
        <f t="shared" si="19"/>
        <v>over budget</v>
      </c>
    </row>
    <row r="1271" spans="1:11" x14ac:dyDescent="0.3">
      <c r="A1271" s="6">
        <v>45155</v>
      </c>
      <c r="B1271" s="5" t="s">
        <v>25</v>
      </c>
      <c r="C1271" s="5" t="s">
        <v>7</v>
      </c>
      <c r="D1271" s="5" t="s">
        <v>31</v>
      </c>
      <c r="E1271" s="5" t="s">
        <v>9</v>
      </c>
      <c r="F1271" s="5">
        <v>2456</v>
      </c>
      <c r="G1271" s="5" t="str">
        <f>VLOOKUP(C1271,Sheet2!$C$3:$D$12,2,0)</f>
        <v>Fixed</v>
      </c>
      <c r="H1271" s="5" t="str">
        <f>IFERROR(VLOOKUP(E1271,Sheet2!$G$3:$H$8,2,0),"unkwon")</f>
        <v>online</v>
      </c>
      <c r="I1271" s="5">
        <f>VLOOKUP(B1271,Sheet2!$J$4:$K$15,2,0)</f>
        <v>8</v>
      </c>
      <c r="J1271" s="5">
        <f>IFERROR(VLOOKUP(C1271,Sheet2!$M$4:$N$12,2,0),0)</f>
        <v>2000</v>
      </c>
      <c r="K1271" s="5" t="str">
        <f t="shared" si="19"/>
        <v>over budget</v>
      </c>
    </row>
    <row r="1272" spans="1:11" x14ac:dyDescent="0.3">
      <c r="A1272" s="6">
        <v>45651</v>
      </c>
      <c r="B1272" s="5" t="s">
        <v>16</v>
      </c>
      <c r="C1272" s="5" t="s">
        <v>10</v>
      </c>
      <c r="D1272" s="5" t="s">
        <v>11</v>
      </c>
      <c r="E1272" s="5" t="s">
        <v>15</v>
      </c>
      <c r="F1272" s="5">
        <v>1086</v>
      </c>
      <c r="G1272" s="5" t="str">
        <f>VLOOKUP(C1272,Sheet2!$C$3:$D$12,2,0)</f>
        <v>Variable</v>
      </c>
      <c r="H1272" s="5" t="str">
        <f>IFERROR(VLOOKUP(E1272,Sheet2!$G$3:$H$8,2,0),"unkwon")</f>
        <v>online</v>
      </c>
      <c r="I1272" s="5">
        <f>VLOOKUP(B1272,Sheet2!$J$4:$K$15,2,0)</f>
        <v>12</v>
      </c>
      <c r="J1272" s="5">
        <f>IFERROR(VLOOKUP(C1272,Sheet2!$M$4:$N$12,2,0),0)</f>
        <v>5000</v>
      </c>
      <c r="K1272" s="5" t="str">
        <f t="shared" si="19"/>
        <v>within budget</v>
      </c>
    </row>
    <row r="1273" spans="1:11" x14ac:dyDescent="0.3">
      <c r="A1273" s="6">
        <v>45425</v>
      </c>
      <c r="B1273" s="5" t="s">
        <v>28</v>
      </c>
      <c r="C1273" s="5" t="s">
        <v>30</v>
      </c>
      <c r="D1273" s="5" t="s">
        <v>20</v>
      </c>
      <c r="E1273" s="5" t="s">
        <v>9</v>
      </c>
      <c r="F1273" s="5">
        <v>3159</v>
      </c>
      <c r="G1273" s="5" t="str">
        <f>VLOOKUP(C1273,Sheet2!$C$3:$D$12,2,0)</f>
        <v>Fixed</v>
      </c>
      <c r="H1273" s="5" t="str">
        <f>IFERROR(VLOOKUP(E1273,Sheet2!$G$3:$H$8,2,0),"unkwon")</f>
        <v>online</v>
      </c>
      <c r="I1273" s="5">
        <f>VLOOKUP(B1273,Sheet2!$J$4:$K$15,2,0)</f>
        <v>5</v>
      </c>
      <c r="J1273" s="5">
        <f>IFERROR(VLOOKUP(C1273,Sheet2!$M$4:$N$12,2,0),0)</f>
        <v>3000</v>
      </c>
      <c r="K1273" s="5" t="str">
        <f t="shared" si="19"/>
        <v>over budget</v>
      </c>
    </row>
    <row r="1274" spans="1:11" x14ac:dyDescent="0.3">
      <c r="A1274" s="6">
        <v>45280</v>
      </c>
      <c r="B1274" s="5" t="s">
        <v>16</v>
      </c>
      <c r="C1274" s="5" t="s">
        <v>30</v>
      </c>
      <c r="D1274" s="5" t="s">
        <v>31</v>
      </c>
      <c r="E1274" s="5" t="s">
        <v>17</v>
      </c>
      <c r="F1274" s="5">
        <v>3783</v>
      </c>
      <c r="G1274" s="5" t="str">
        <f>VLOOKUP(C1274,Sheet2!$C$3:$D$12,2,0)</f>
        <v>Fixed</v>
      </c>
      <c r="H1274" s="5" t="str">
        <f>IFERROR(VLOOKUP(E1274,Sheet2!$G$3:$H$8,2,0),"unkwon")</f>
        <v>online</v>
      </c>
      <c r="I1274" s="5">
        <f>VLOOKUP(B1274,Sheet2!$J$4:$K$15,2,0)</f>
        <v>12</v>
      </c>
      <c r="J1274" s="5">
        <f>IFERROR(VLOOKUP(C1274,Sheet2!$M$4:$N$12,2,0),0)</f>
        <v>3000</v>
      </c>
      <c r="K1274" s="5" t="str">
        <f t="shared" si="19"/>
        <v>over budget</v>
      </c>
    </row>
    <row r="1275" spans="1:11" x14ac:dyDescent="0.3">
      <c r="A1275" s="6">
        <v>45628</v>
      </c>
      <c r="B1275" s="5" t="s">
        <v>16</v>
      </c>
      <c r="C1275" s="5" t="s">
        <v>10</v>
      </c>
      <c r="D1275" s="5" t="s">
        <v>24</v>
      </c>
      <c r="E1275" s="5" t="s">
        <v>32</v>
      </c>
      <c r="F1275" s="5">
        <v>184</v>
      </c>
      <c r="G1275" s="5" t="str">
        <f>VLOOKUP(C1275,Sheet2!$C$3:$D$12,2,0)</f>
        <v>Variable</v>
      </c>
      <c r="H1275" s="5" t="str">
        <f>IFERROR(VLOOKUP(E1275,Sheet2!$G$3:$H$8,2,0),"unkwon")</f>
        <v>offline</v>
      </c>
      <c r="I1275" s="5">
        <f>VLOOKUP(B1275,Sheet2!$J$4:$K$15,2,0)</f>
        <v>12</v>
      </c>
      <c r="J1275" s="5">
        <f>IFERROR(VLOOKUP(C1275,Sheet2!$M$4:$N$12,2,0),0)</f>
        <v>5000</v>
      </c>
      <c r="K1275" s="5" t="str">
        <f t="shared" si="19"/>
        <v>within budget</v>
      </c>
    </row>
    <row r="1276" spans="1:11" x14ac:dyDescent="0.3">
      <c r="A1276" s="6">
        <v>45213</v>
      </c>
      <c r="B1276" s="5" t="s">
        <v>6</v>
      </c>
      <c r="C1276" s="5" t="s">
        <v>27</v>
      </c>
      <c r="D1276" s="5" t="s">
        <v>8</v>
      </c>
      <c r="E1276" s="5" t="s">
        <v>12</v>
      </c>
      <c r="F1276" s="5">
        <v>246</v>
      </c>
      <c r="G1276" s="5" t="str">
        <f>VLOOKUP(C1276,Sheet2!$C$3:$D$12,2,0)</f>
        <v>Variable</v>
      </c>
      <c r="H1276" s="5" t="str">
        <f>IFERROR(VLOOKUP(E1276,Sheet2!$G$3:$H$8,2,0),"unkwon")</f>
        <v>online</v>
      </c>
      <c r="I1276" s="5">
        <f>VLOOKUP(B1276,Sheet2!$J$4:$K$15,2,0)</f>
        <v>10</v>
      </c>
      <c r="J1276" s="5">
        <f>IFERROR(VLOOKUP(C1276,Sheet2!$M$4:$N$12,2,0),0)</f>
        <v>4000</v>
      </c>
      <c r="K1276" s="5" t="str">
        <f t="shared" si="19"/>
        <v>within budget</v>
      </c>
    </row>
    <row r="1277" spans="1:11" x14ac:dyDescent="0.3">
      <c r="A1277" s="6">
        <v>44961</v>
      </c>
      <c r="B1277" s="5" t="s">
        <v>33</v>
      </c>
      <c r="C1277" s="5" t="s">
        <v>35</v>
      </c>
      <c r="D1277" s="5" t="s">
        <v>8</v>
      </c>
      <c r="E1277" s="5" t="s">
        <v>9</v>
      </c>
      <c r="F1277" s="5">
        <v>4290</v>
      </c>
      <c r="G1277" s="5" t="str">
        <f>VLOOKUP(C1277,Sheet2!$C$3:$D$12,2,0)</f>
        <v>Fixed</v>
      </c>
      <c r="H1277" s="5" t="str">
        <f>IFERROR(VLOOKUP(E1277,Sheet2!$G$3:$H$8,2,0),"unkwon")</f>
        <v>online</v>
      </c>
      <c r="I1277" s="5">
        <f>VLOOKUP(B1277,Sheet2!$J$4:$K$15,2,0)</f>
        <v>2</v>
      </c>
      <c r="J1277" s="5">
        <f>IFERROR(VLOOKUP(C1277,Sheet2!$M$4:$N$12,2,0),0)</f>
        <v>5500</v>
      </c>
      <c r="K1277" s="5" t="str">
        <f t="shared" si="19"/>
        <v>within budget</v>
      </c>
    </row>
    <row r="1278" spans="1:11" x14ac:dyDescent="0.3">
      <c r="A1278" s="6">
        <v>45388</v>
      </c>
      <c r="B1278" s="5" t="s">
        <v>29</v>
      </c>
      <c r="C1278" s="5" t="s">
        <v>7</v>
      </c>
      <c r="D1278" s="5" t="s">
        <v>14</v>
      </c>
      <c r="E1278" s="5" t="s">
        <v>12</v>
      </c>
      <c r="F1278" s="5">
        <v>1191</v>
      </c>
      <c r="G1278" s="5" t="str">
        <f>VLOOKUP(C1278,Sheet2!$C$3:$D$12,2,0)</f>
        <v>Fixed</v>
      </c>
      <c r="H1278" s="5" t="str">
        <f>IFERROR(VLOOKUP(E1278,Sheet2!$G$3:$H$8,2,0),"unkwon")</f>
        <v>online</v>
      </c>
      <c r="I1278" s="5">
        <f>VLOOKUP(B1278,Sheet2!$J$4:$K$15,2,0)</f>
        <v>4</v>
      </c>
      <c r="J1278" s="5">
        <f>IFERROR(VLOOKUP(C1278,Sheet2!$M$4:$N$12,2,0),0)</f>
        <v>2000</v>
      </c>
      <c r="K1278" s="5" t="str">
        <f t="shared" si="19"/>
        <v>within budget</v>
      </c>
    </row>
    <row r="1279" spans="1:11" x14ac:dyDescent="0.3">
      <c r="A1279" s="6">
        <v>45057</v>
      </c>
      <c r="B1279" s="5" t="s">
        <v>28</v>
      </c>
      <c r="C1279" s="5" t="s">
        <v>35</v>
      </c>
      <c r="D1279" s="5" t="s">
        <v>20</v>
      </c>
      <c r="E1279" s="5" t="s">
        <v>17</v>
      </c>
      <c r="F1279" s="5">
        <v>2621</v>
      </c>
      <c r="G1279" s="5" t="str">
        <f>VLOOKUP(C1279,Sheet2!$C$3:$D$12,2,0)</f>
        <v>Fixed</v>
      </c>
      <c r="H1279" s="5" t="str">
        <f>IFERROR(VLOOKUP(E1279,Sheet2!$G$3:$H$8,2,0),"unkwon")</f>
        <v>online</v>
      </c>
      <c r="I1279" s="5">
        <f>VLOOKUP(B1279,Sheet2!$J$4:$K$15,2,0)</f>
        <v>5</v>
      </c>
      <c r="J1279" s="5">
        <f>IFERROR(VLOOKUP(C1279,Sheet2!$M$4:$N$12,2,0),0)</f>
        <v>5500</v>
      </c>
      <c r="K1279" s="5" t="str">
        <f t="shared" si="19"/>
        <v>within budget</v>
      </c>
    </row>
    <row r="1280" spans="1:11" x14ac:dyDescent="0.3">
      <c r="A1280" s="6">
        <v>45058</v>
      </c>
      <c r="B1280" s="5" t="s">
        <v>28</v>
      </c>
      <c r="C1280" s="5" t="s">
        <v>10</v>
      </c>
      <c r="D1280" s="5" t="s">
        <v>31</v>
      </c>
      <c r="E1280" s="5" t="s">
        <v>15</v>
      </c>
      <c r="F1280" s="5">
        <v>1492</v>
      </c>
      <c r="G1280" s="5" t="str">
        <f>VLOOKUP(C1280,Sheet2!$C$3:$D$12,2,0)</f>
        <v>Variable</v>
      </c>
      <c r="H1280" s="5" t="str">
        <f>IFERROR(VLOOKUP(E1280,Sheet2!$G$3:$H$8,2,0),"unkwon")</f>
        <v>online</v>
      </c>
      <c r="I1280" s="5">
        <f>VLOOKUP(B1280,Sheet2!$J$4:$K$15,2,0)</f>
        <v>5</v>
      </c>
      <c r="J1280" s="5">
        <f>IFERROR(VLOOKUP(C1280,Sheet2!$M$4:$N$12,2,0),0)</f>
        <v>5000</v>
      </c>
      <c r="K1280" s="5" t="str">
        <f t="shared" si="19"/>
        <v>within budget</v>
      </c>
    </row>
    <row r="1281" spans="1:11" x14ac:dyDescent="0.3">
      <c r="A1281" s="6">
        <v>45622</v>
      </c>
      <c r="B1281" s="5" t="s">
        <v>40</v>
      </c>
      <c r="C1281" s="5" t="s">
        <v>13</v>
      </c>
      <c r="D1281" s="5" t="s">
        <v>20</v>
      </c>
      <c r="E1281" s="5" t="s">
        <v>17</v>
      </c>
      <c r="F1281" s="5">
        <v>4911</v>
      </c>
      <c r="G1281" s="5" t="str">
        <f>VLOOKUP(C1281,Sheet2!$C$3:$D$12,2,0)</f>
        <v>Variable</v>
      </c>
      <c r="H1281" s="5" t="str">
        <f>IFERROR(VLOOKUP(E1281,Sheet2!$G$3:$H$8,2,0),"unkwon")</f>
        <v>online</v>
      </c>
      <c r="I1281" s="5">
        <f>VLOOKUP(B1281,Sheet2!$J$4:$K$15,2,0)</f>
        <v>11</v>
      </c>
      <c r="J1281" s="5">
        <f>IFERROR(VLOOKUP(C1281,Sheet2!$M$4:$N$12,2,0),0)</f>
        <v>5000</v>
      </c>
      <c r="K1281" s="5" t="str">
        <f t="shared" si="19"/>
        <v>within budget</v>
      </c>
    </row>
    <row r="1282" spans="1:11" x14ac:dyDescent="0.3">
      <c r="A1282" s="6">
        <v>45298</v>
      </c>
      <c r="B1282" s="5" t="s">
        <v>37</v>
      </c>
      <c r="C1282" s="5" t="s">
        <v>41</v>
      </c>
      <c r="D1282" s="5" t="s">
        <v>26</v>
      </c>
      <c r="E1282" s="5" t="s">
        <v>9</v>
      </c>
      <c r="F1282" s="5">
        <v>730</v>
      </c>
      <c r="G1282" s="5" t="str">
        <f>VLOOKUP(C1282,Sheet2!$C$3:$D$12,2,0)</f>
        <v>Variable</v>
      </c>
      <c r="H1282" s="5" t="str">
        <f>IFERROR(VLOOKUP(E1282,Sheet2!$G$3:$H$8,2,0),"unkwon")</f>
        <v>online</v>
      </c>
      <c r="I1282" s="5">
        <f>VLOOKUP(B1282,Sheet2!$J$4:$K$15,2,0)</f>
        <v>1</v>
      </c>
      <c r="J1282" s="5">
        <f>IFERROR(VLOOKUP(C1282,Sheet2!$M$4:$N$12,2,0),0)</f>
        <v>7000</v>
      </c>
      <c r="K1282" s="5" t="str">
        <f t="shared" si="19"/>
        <v>within budget</v>
      </c>
    </row>
    <row r="1283" spans="1:11" x14ac:dyDescent="0.3">
      <c r="A1283" s="6">
        <v>45604</v>
      </c>
      <c r="B1283" s="5" t="s">
        <v>40</v>
      </c>
      <c r="C1283" s="5" t="s">
        <v>10</v>
      </c>
      <c r="D1283" s="5" t="s">
        <v>18</v>
      </c>
      <c r="E1283" s="5" t="s">
        <v>17</v>
      </c>
      <c r="F1283" s="5">
        <v>3351</v>
      </c>
      <c r="G1283" s="5" t="str">
        <f>VLOOKUP(C1283,Sheet2!$C$3:$D$12,2,0)</f>
        <v>Variable</v>
      </c>
      <c r="H1283" s="5" t="str">
        <f>IFERROR(VLOOKUP(E1283,Sheet2!$G$3:$H$8,2,0),"unkwon")</f>
        <v>online</v>
      </c>
      <c r="I1283" s="5">
        <f>VLOOKUP(B1283,Sheet2!$J$4:$K$15,2,0)</f>
        <v>11</v>
      </c>
      <c r="J1283" s="5">
        <f>IFERROR(VLOOKUP(C1283,Sheet2!$M$4:$N$12,2,0),0)</f>
        <v>5000</v>
      </c>
      <c r="K1283" s="5" t="str">
        <f t="shared" ref="K1283:K1346" si="20">IF(F1283&gt;J1283,"over budget","within budget")</f>
        <v>within budget</v>
      </c>
    </row>
    <row r="1284" spans="1:11" x14ac:dyDescent="0.3">
      <c r="A1284" s="6">
        <v>45572</v>
      </c>
      <c r="B1284" s="5" t="s">
        <v>6</v>
      </c>
      <c r="C1284" s="5" t="s">
        <v>22</v>
      </c>
      <c r="D1284" s="5" t="s">
        <v>23</v>
      </c>
      <c r="E1284" s="5" t="s">
        <v>17</v>
      </c>
      <c r="F1284" s="5">
        <v>2509</v>
      </c>
      <c r="G1284" s="5" t="str">
        <f>VLOOKUP(C1284,Sheet2!$C$3:$D$12,2,0)</f>
        <v>Variable</v>
      </c>
      <c r="H1284" s="5" t="str">
        <f>IFERROR(VLOOKUP(E1284,Sheet2!$G$3:$H$8,2,0),"unkwon")</f>
        <v>online</v>
      </c>
      <c r="I1284" s="5">
        <f>VLOOKUP(B1284,Sheet2!$J$4:$K$15,2,0)</f>
        <v>10</v>
      </c>
      <c r="J1284" s="5">
        <f>IFERROR(VLOOKUP(C1284,Sheet2!$M$4:$N$12,2,0),0)</f>
        <v>1000</v>
      </c>
      <c r="K1284" s="5" t="str">
        <f t="shared" si="20"/>
        <v>over budget</v>
      </c>
    </row>
    <row r="1285" spans="1:11" x14ac:dyDescent="0.3">
      <c r="A1285" s="6">
        <v>45209</v>
      </c>
      <c r="B1285" s="5" t="s">
        <v>6</v>
      </c>
      <c r="C1285" s="5" t="s">
        <v>22</v>
      </c>
      <c r="D1285" s="5" t="s">
        <v>8</v>
      </c>
      <c r="E1285" s="5" t="s">
        <v>12</v>
      </c>
      <c r="F1285" s="5">
        <v>4856</v>
      </c>
      <c r="G1285" s="5" t="str">
        <f>VLOOKUP(C1285,Sheet2!$C$3:$D$12,2,0)</f>
        <v>Variable</v>
      </c>
      <c r="H1285" s="5" t="str">
        <f>IFERROR(VLOOKUP(E1285,Sheet2!$G$3:$H$8,2,0),"unkwon")</f>
        <v>online</v>
      </c>
      <c r="I1285" s="5">
        <f>VLOOKUP(B1285,Sheet2!$J$4:$K$15,2,0)</f>
        <v>10</v>
      </c>
      <c r="J1285" s="5">
        <f>IFERROR(VLOOKUP(C1285,Sheet2!$M$4:$N$12,2,0),0)</f>
        <v>1000</v>
      </c>
      <c r="K1285" s="5" t="str">
        <f t="shared" si="20"/>
        <v>over budget</v>
      </c>
    </row>
    <row r="1286" spans="1:11" x14ac:dyDescent="0.3">
      <c r="A1286" s="6">
        <v>45091</v>
      </c>
      <c r="B1286" s="5" t="s">
        <v>39</v>
      </c>
      <c r="C1286" s="5" t="s">
        <v>35</v>
      </c>
      <c r="D1286" s="5" t="s">
        <v>20</v>
      </c>
      <c r="E1286" s="5" t="s">
        <v>32</v>
      </c>
      <c r="F1286" s="5">
        <v>952</v>
      </c>
      <c r="G1286" s="5" t="str">
        <f>VLOOKUP(C1286,Sheet2!$C$3:$D$12,2,0)</f>
        <v>Fixed</v>
      </c>
      <c r="H1286" s="5" t="str">
        <f>IFERROR(VLOOKUP(E1286,Sheet2!$G$3:$H$8,2,0),"unkwon")</f>
        <v>offline</v>
      </c>
      <c r="I1286" s="5">
        <f>VLOOKUP(B1286,Sheet2!$J$4:$K$15,2,0)</f>
        <v>6</v>
      </c>
      <c r="J1286" s="5">
        <f>IFERROR(VLOOKUP(C1286,Sheet2!$M$4:$N$12,2,0),0)</f>
        <v>5500</v>
      </c>
      <c r="K1286" s="5" t="str">
        <f t="shared" si="20"/>
        <v>within budget</v>
      </c>
    </row>
    <row r="1287" spans="1:11" x14ac:dyDescent="0.3">
      <c r="A1287" s="6">
        <v>45319</v>
      </c>
      <c r="B1287" s="5" t="s">
        <v>37</v>
      </c>
      <c r="C1287" s="5" t="s">
        <v>35</v>
      </c>
      <c r="D1287" s="5" t="s">
        <v>18</v>
      </c>
      <c r="E1287" s="5" t="s">
        <v>12</v>
      </c>
      <c r="F1287" s="5">
        <v>1174</v>
      </c>
      <c r="G1287" s="5" t="str">
        <f>VLOOKUP(C1287,Sheet2!$C$3:$D$12,2,0)</f>
        <v>Fixed</v>
      </c>
      <c r="H1287" s="5" t="str">
        <f>IFERROR(VLOOKUP(E1287,Sheet2!$G$3:$H$8,2,0),"unkwon")</f>
        <v>online</v>
      </c>
      <c r="I1287" s="5">
        <f>VLOOKUP(B1287,Sheet2!$J$4:$K$15,2,0)</f>
        <v>1</v>
      </c>
      <c r="J1287" s="5">
        <f>IFERROR(VLOOKUP(C1287,Sheet2!$M$4:$N$12,2,0),0)</f>
        <v>5500</v>
      </c>
      <c r="K1287" s="5" t="str">
        <f t="shared" si="20"/>
        <v>within budget</v>
      </c>
    </row>
    <row r="1288" spans="1:11" x14ac:dyDescent="0.3">
      <c r="A1288" s="6">
        <v>45009</v>
      </c>
      <c r="B1288" s="5" t="s">
        <v>19</v>
      </c>
      <c r="C1288" s="5" t="s">
        <v>30</v>
      </c>
      <c r="D1288" s="5" t="s">
        <v>11</v>
      </c>
      <c r="E1288" s="5" t="s">
        <v>32</v>
      </c>
      <c r="F1288" s="5">
        <v>749</v>
      </c>
      <c r="G1288" s="5" t="str">
        <f>VLOOKUP(C1288,Sheet2!$C$3:$D$12,2,0)</f>
        <v>Fixed</v>
      </c>
      <c r="H1288" s="5" t="str">
        <f>IFERROR(VLOOKUP(E1288,Sheet2!$G$3:$H$8,2,0),"unkwon")</f>
        <v>offline</v>
      </c>
      <c r="I1288" s="5">
        <f>VLOOKUP(B1288,Sheet2!$J$4:$K$15,2,0)</f>
        <v>3</v>
      </c>
      <c r="J1288" s="5">
        <f>IFERROR(VLOOKUP(C1288,Sheet2!$M$4:$N$12,2,0),0)</f>
        <v>3000</v>
      </c>
      <c r="K1288" s="5" t="str">
        <f t="shared" si="20"/>
        <v>within budget</v>
      </c>
    </row>
    <row r="1289" spans="1:11" x14ac:dyDescent="0.3">
      <c r="A1289" s="6">
        <v>45416</v>
      </c>
      <c r="B1289" s="5" t="s">
        <v>28</v>
      </c>
      <c r="C1289" s="5" t="s">
        <v>36</v>
      </c>
      <c r="D1289" s="5" t="s">
        <v>26</v>
      </c>
      <c r="E1289" s="5" t="s">
        <v>12</v>
      </c>
      <c r="F1289" s="5">
        <v>1590</v>
      </c>
      <c r="G1289" s="5" t="str">
        <f>VLOOKUP(C1289,Sheet2!$C$3:$D$12,2,0)</f>
        <v>Variable</v>
      </c>
      <c r="H1289" s="5" t="str">
        <f>IFERROR(VLOOKUP(E1289,Sheet2!$G$3:$H$8,2,0),"unkwon")</f>
        <v>online</v>
      </c>
      <c r="I1289" s="5">
        <f>VLOOKUP(B1289,Sheet2!$J$4:$K$15,2,0)</f>
        <v>5</v>
      </c>
      <c r="J1289" s="5">
        <f>IFERROR(VLOOKUP(C1289,Sheet2!$M$4:$N$12,2,0),0)</f>
        <v>10000</v>
      </c>
      <c r="K1289" s="5" t="str">
        <f t="shared" si="20"/>
        <v>within budget</v>
      </c>
    </row>
    <row r="1290" spans="1:11" x14ac:dyDescent="0.3">
      <c r="A1290" s="6">
        <v>44992</v>
      </c>
      <c r="B1290" s="5" t="s">
        <v>19</v>
      </c>
      <c r="C1290" s="5" t="s">
        <v>36</v>
      </c>
      <c r="D1290" s="5" t="s">
        <v>34</v>
      </c>
      <c r="E1290" s="5" t="s">
        <v>15</v>
      </c>
      <c r="F1290" s="5">
        <v>3749</v>
      </c>
      <c r="G1290" s="5" t="str">
        <f>VLOOKUP(C1290,Sheet2!$C$3:$D$12,2,0)</f>
        <v>Variable</v>
      </c>
      <c r="H1290" s="5" t="str">
        <f>IFERROR(VLOOKUP(E1290,Sheet2!$G$3:$H$8,2,0),"unkwon")</f>
        <v>online</v>
      </c>
      <c r="I1290" s="5">
        <f>VLOOKUP(B1290,Sheet2!$J$4:$K$15,2,0)</f>
        <v>3</v>
      </c>
      <c r="J1290" s="5">
        <f>IFERROR(VLOOKUP(C1290,Sheet2!$M$4:$N$12,2,0),0)</f>
        <v>10000</v>
      </c>
      <c r="K1290" s="5" t="str">
        <f t="shared" si="20"/>
        <v>within budget</v>
      </c>
    </row>
    <row r="1291" spans="1:11" x14ac:dyDescent="0.3">
      <c r="A1291" s="6">
        <v>45331</v>
      </c>
      <c r="B1291" s="5" t="s">
        <v>33</v>
      </c>
      <c r="C1291" s="5" t="s">
        <v>7</v>
      </c>
      <c r="D1291" s="5" t="s">
        <v>23</v>
      </c>
      <c r="E1291" s="5" t="s">
        <v>17</v>
      </c>
      <c r="F1291" s="5">
        <v>3346</v>
      </c>
      <c r="G1291" s="5" t="str">
        <f>VLOOKUP(C1291,Sheet2!$C$3:$D$12,2,0)</f>
        <v>Fixed</v>
      </c>
      <c r="H1291" s="5" t="str">
        <f>IFERROR(VLOOKUP(E1291,Sheet2!$G$3:$H$8,2,0),"unkwon")</f>
        <v>online</v>
      </c>
      <c r="I1291" s="5">
        <f>VLOOKUP(B1291,Sheet2!$J$4:$K$15,2,0)</f>
        <v>2</v>
      </c>
      <c r="J1291" s="5">
        <f>IFERROR(VLOOKUP(C1291,Sheet2!$M$4:$N$12,2,0),0)</f>
        <v>2000</v>
      </c>
      <c r="K1291" s="5" t="str">
        <f t="shared" si="20"/>
        <v>over budget</v>
      </c>
    </row>
    <row r="1292" spans="1:11" x14ac:dyDescent="0.3">
      <c r="A1292" s="6">
        <v>45379</v>
      </c>
      <c r="B1292" s="5" t="s">
        <v>19</v>
      </c>
      <c r="C1292" s="5" t="s">
        <v>10</v>
      </c>
      <c r="D1292" s="5" t="s">
        <v>18</v>
      </c>
      <c r="E1292" s="5" t="s">
        <v>15</v>
      </c>
      <c r="F1292" s="5">
        <v>4781</v>
      </c>
      <c r="G1292" s="5" t="str">
        <f>VLOOKUP(C1292,Sheet2!$C$3:$D$12,2,0)</f>
        <v>Variable</v>
      </c>
      <c r="H1292" s="5" t="str">
        <f>IFERROR(VLOOKUP(E1292,Sheet2!$G$3:$H$8,2,0),"unkwon")</f>
        <v>online</v>
      </c>
      <c r="I1292" s="5">
        <f>VLOOKUP(B1292,Sheet2!$J$4:$K$15,2,0)</f>
        <v>3</v>
      </c>
      <c r="J1292" s="5">
        <f>IFERROR(VLOOKUP(C1292,Sheet2!$M$4:$N$12,2,0),0)</f>
        <v>5000</v>
      </c>
      <c r="K1292" s="5" t="str">
        <f t="shared" si="20"/>
        <v>within budget</v>
      </c>
    </row>
    <row r="1293" spans="1:11" x14ac:dyDescent="0.3">
      <c r="A1293" s="6">
        <v>45226</v>
      </c>
      <c r="B1293" s="5" t="s">
        <v>6</v>
      </c>
      <c r="C1293" s="5" t="s">
        <v>35</v>
      </c>
      <c r="D1293" s="5" t="s">
        <v>24</v>
      </c>
      <c r="E1293" s="5" t="s">
        <v>9</v>
      </c>
      <c r="F1293" s="5">
        <v>1301</v>
      </c>
      <c r="G1293" s="5" t="str">
        <f>VLOOKUP(C1293,Sheet2!$C$3:$D$12,2,0)</f>
        <v>Fixed</v>
      </c>
      <c r="H1293" s="5" t="str">
        <f>IFERROR(VLOOKUP(E1293,Sheet2!$G$3:$H$8,2,0),"unkwon")</f>
        <v>online</v>
      </c>
      <c r="I1293" s="5">
        <f>VLOOKUP(B1293,Sheet2!$J$4:$K$15,2,0)</f>
        <v>10</v>
      </c>
      <c r="J1293" s="5">
        <f>IFERROR(VLOOKUP(C1293,Sheet2!$M$4:$N$12,2,0),0)</f>
        <v>5500</v>
      </c>
      <c r="K1293" s="5" t="str">
        <f t="shared" si="20"/>
        <v>within budget</v>
      </c>
    </row>
    <row r="1294" spans="1:11" x14ac:dyDescent="0.3">
      <c r="A1294" s="6">
        <v>45624</v>
      </c>
      <c r="B1294" s="5" t="s">
        <v>40</v>
      </c>
      <c r="C1294" s="5" t="s">
        <v>30</v>
      </c>
      <c r="D1294" s="5" t="s">
        <v>8</v>
      </c>
      <c r="E1294" s="5" t="s">
        <v>32</v>
      </c>
      <c r="F1294" s="5">
        <v>605</v>
      </c>
      <c r="G1294" s="5" t="str">
        <f>VLOOKUP(C1294,Sheet2!$C$3:$D$12,2,0)</f>
        <v>Fixed</v>
      </c>
      <c r="H1294" s="5" t="str">
        <f>IFERROR(VLOOKUP(E1294,Sheet2!$G$3:$H$8,2,0),"unkwon")</f>
        <v>offline</v>
      </c>
      <c r="I1294" s="5">
        <f>VLOOKUP(B1294,Sheet2!$J$4:$K$15,2,0)</f>
        <v>11</v>
      </c>
      <c r="J1294" s="5">
        <f>IFERROR(VLOOKUP(C1294,Sheet2!$M$4:$N$12,2,0),0)</f>
        <v>3000</v>
      </c>
      <c r="K1294" s="5" t="str">
        <f t="shared" si="20"/>
        <v>within budget</v>
      </c>
    </row>
    <row r="1295" spans="1:11" x14ac:dyDescent="0.3">
      <c r="A1295" s="6">
        <v>45089</v>
      </c>
      <c r="B1295" s="5" t="s">
        <v>39</v>
      </c>
      <c r="C1295" s="5" t="s">
        <v>36</v>
      </c>
      <c r="D1295" s="5" t="s">
        <v>11</v>
      </c>
      <c r="E1295" s="5" t="s">
        <v>9</v>
      </c>
      <c r="F1295" s="5">
        <v>4191</v>
      </c>
      <c r="G1295" s="5" t="str">
        <f>VLOOKUP(C1295,Sheet2!$C$3:$D$12,2,0)</f>
        <v>Variable</v>
      </c>
      <c r="H1295" s="5" t="str">
        <f>IFERROR(VLOOKUP(E1295,Sheet2!$G$3:$H$8,2,0),"unkwon")</f>
        <v>online</v>
      </c>
      <c r="I1295" s="5">
        <f>VLOOKUP(B1295,Sheet2!$J$4:$K$15,2,0)</f>
        <v>6</v>
      </c>
      <c r="J1295" s="5">
        <f>IFERROR(VLOOKUP(C1295,Sheet2!$M$4:$N$12,2,0),0)</f>
        <v>10000</v>
      </c>
      <c r="K1295" s="5" t="str">
        <f t="shared" si="20"/>
        <v>within budget</v>
      </c>
    </row>
    <row r="1296" spans="1:11" x14ac:dyDescent="0.3">
      <c r="A1296" s="6">
        <v>45604</v>
      </c>
      <c r="B1296" s="5" t="s">
        <v>40</v>
      </c>
      <c r="C1296" s="5" t="s">
        <v>41</v>
      </c>
      <c r="D1296" s="5" t="s">
        <v>24</v>
      </c>
      <c r="E1296" s="5" t="s">
        <v>15</v>
      </c>
      <c r="F1296" s="5">
        <v>1250</v>
      </c>
      <c r="G1296" s="5" t="str">
        <f>VLOOKUP(C1296,Sheet2!$C$3:$D$12,2,0)</f>
        <v>Variable</v>
      </c>
      <c r="H1296" s="5" t="str">
        <f>IFERROR(VLOOKUP(E1296,Sheet2!$G$3:$H$8,2,0),"unkwon")</f>
        <v>online</v>
      </c>
      <c r="I1296" s="5">
        <f>VLOOKUP(B1296,Sheet2!$J$4:$K$15,2,0)</f>
        <v>11</v>
      </c>
      <c r="J1296" s="5">
        <f>IFERROR(VLOOKUP(C1296,Sheet2!$M$4:$N$12,2,0),0)</f>
        <v>7000</v>
      </c>
      <c r="K1296" s="5" t="str">
        <f t="shared" si="20"/>
        <v>within budget</v>
      </c>
    </row>
    <row r="1297" spans="1:11" x14ac:dyDescent="0.3">
      <c r="A1297" s="6">
        <v>45236</v>
      </c>
      <c r="B1297" s="5" t="s">
        <v>40</v>
      </c>
      <c r="C1297" s="5" t="s">
        <v>35</v>
      </c>
      <c r="D1297" s="5" t="s">
        <v>23</v>
      </c>
      <c r="E1297" s="5" t="s">
        <v>17</v>
      </c>
      <c r="F1297" s="5">
        <v>4550</v>
      </c>
      <c r="G1297" s="5" t="str">
        <f>VLOOKUP(C1297,Sheet2!$C$3:$D$12,2,0)</f>
        <v>Fixed</v>
      </c>
      <c r="H1297" s="5" t="str">
        <f>IFERROR(VLOOKUP(E1297,Sheet2!$G$3:$H$8,2,0),"unkwon")</f>
        <v>online</v>
      </c>
      <c r="I1297" s="5">
        <f>VLOOKUP(B1297,Sheet2!$J$4:$K$15,2,0)</f>
        <v>11</v>
      </c>
      <c r="J1297" s="5">
        <f>IFERROR(VLOOKUP(C1297,Sheet2!$M$4:$N$12,2,0),0)</f>
        <v>5500</v>
      </c>
      <c r="K1297" s="5" t="str">
        <f t="shared" si="20"/>
        <v>within budget</v>
      </c>
    </row>
    <row r="1298" spans="1:11" x14ac:dyDescent="0.3">
      <c r="A1298" s="6">
        <v>44958</v>
      </c>
      <c r="B1298" s="5" t="s">
        <v>33</v>
      </c>
      <c r="C1298" s="5" t="s">
        <v>13</v>
      </c>
      <c r="D1298" s="5" t="s">
        <v>31</v>
      </c>
      <c r="E1298" s="5" t="s">
        <v>9</v>
      </c>
      <c r="F1298" s="5">
        <v>836</v>
      </c>
      <c r="G1298" s="5" t="str">
        <f>VLOOKUP(C1298,Sheet2!$C$3:$D$12,2,0)</f>
        <v>Variable</v>
      </c>
      <c r="H1298" s="5" t="str">
        <f>IFERROR(VLOOKUP(E1298,Sheet2!$G$3:$H$8,2,0),"unkwon")</f>
        <v>online</v>
      </c>
      <c r="I1298" s="5">
        <f>VLOOKUP(B1298,Sheet2!$J$4:$K$15,2,0)</f>
        <v>2</v>
      </c>
      <c r="J1298" s="5">
        <f>IFERROR(VLOOKUP(C1298,Sheet2!$M$4:$N$12,2,0),0)</f>
        <v>5000</v>
      </c>
      <c r="K1298" s="5" t="str">
        <f t="shared" si="20"/>
        <v>within budget</v>
      </c>
    </row>
    <row r="1299" spans="1:11" x14ac:dyDescent="0.3">
      <c r="A1299" s="6">
        <v>45388</v>
      </c>
      <c r="B1299" s="5" t="s">
        <v>29</v>
      </c>
      <c r="C1299" s="5" t="s">
        <v>35</v>
      </c>
      <c r="D1299" s="5" t="s">
        <v>24</v>
      </c>
      <c r="E1299" s="5" t="s">
        <v>12</v>
      </c>
      <c r="F1299" s="5">
        <v>1183</v>
      </c>
      <c r="G1299" s="5" t="str">
        <f>VLOOKUP(C1299,Sheet2!$C$3:$D$12,2,0)</f>
        <v>Fixed</v>
      </c>
      <c r="H1299" s="5" t="str">
        <f>IFERROR(VLOOKUP(E1299,Sheet2!$G$3:$H$8,2,0),"unkwon")</f>
        <v>online</v>
      </c>
      <c r="I1299" s="5">
        <f>VLOOKUP(B1299,Sheet2!$J$4:$K$15,2,0)</f>
        <v>4</v>
      </c>
      <c r="J1299" s="5">
        <f>IFERROR(VLOOKUP(C1299,Sheet2!$M$4:$N$12,2,0),0)</f>
        <v>5500</v>
      </c>
      <c r="K1299" s="5" t="str">
        <f t="shared" si="20"/>
        <v>within budget</v>
      </c>
    </row>
    <row r="1300" spans="1:11" x14ac:dyDescent="0.3">
      <c r="A1300" s="6">
        <v>45201</v>
      </c>
      <c r="B1300" s="5" t="s">
        <v>6</v>
      </c>
      <c r="C1300" s="5" t="s">
        <v>36</v>
      </c>
      <c r="D1300" s="5" t="s">
        <v>23</v>
      </c>
      <c r="E1300" s="5" t="s">
        <v>15</v>
      </c>
      <c r="F1300" s="5">
        <v>4636</v>
      </c>
      <c r="G1300" s="5" t="str">
        <f>VLOOKUP(C1300,Sheet2!$C$3:$D$12,2,0)</f>
        <v>Variable</v>
      </c>
      <c r="H1300" s="5" t="str">
        <f>IFERROR(VLOOKUP(E1300,Sheet2!$G$3:$H$8,2,0),"unkwon")</f>
        <v>online</v>
      </c>
      <c r="I1300" s="5">
        <f>VLOOKUP(B1300,Sheet2!$J$4:$K$15,2,0)</f>
        <v>10</v>
      </c>
      <c r="J1300" s="5">
        <f>IFERROR(VLOOKUP(C1300,Sheet2!$M$4:$N$12,2,0),0)</f>
        <v>10000</v>
      </c>
      <c r="K1300" s="5" t="str">
        <f t="shared" si="20"/>
        <v>within budget</v>
      </c>
    </row>
    <row r="1301" spans="1:11" x14ac:dyDescent="0.3">
      <c r="A1301" s="6">
        <v>45473</v>
      </c>
      <c r="B1301" s="5" t="s">
        <v>39</v>
      </c>
      <c r="C1301" s="5" t="s">
        <v>13</v>
      </c>
      <c r="D1301" s="5" t="s">
        <v>34</v>
      </c>
      <c r="E1301" s="5" t="s">
        <v>12</v>
      </c>
      <c r="F1301" s="5">
        <v>4481</v>
      </c>
      <c r="G1301" s="5" t="str">
        <f>VLOOKUP(C1301,Sheet2!$C$3:$D$12,2,0)</f>
        <v>Variable</v>
      </c>
      <c r="H1301" s="5" t="str">
        <f>IFERROR(VLOOKUP(E1301,Sheet2!$G$3:$H$8,2,0),"unkwon")</f>
        <v>online</v>
      </c>
      <c r="I1301" s="5">
        <f>VLOOKUP(B1301,Sheet2!$J$4:$K$15,2,0)</f>
        <v>6</v>
      </c>
      <c r="J1301" s="5">
        <f>IFERROR(VLOOKUP(C1301,Sheet2!$M$4:$N$12,2,0),0)</f>
        <v>5000</v>
      </c>
      <c r="K1301" s="5" t="str">
        <f t="shared" si="20"/>
        <v>within budget</v>
      </c>
    </row>
    <row r="1302" spans="1:11" x14ac:dyDescent="0.3">
      <c r="A1302" s="6">
        <v>45613</v>
      </c>
      <c r="B1302" s="5" t="s">
        <v>40</v>
      </c>
      <c r="C1302" s="5" t="s">
        <v>10</v>
      </c>
      <c r="D1302" s="5" t="s">
        <v>26</v>
      </c>
      <c r="E1302" s="5" t="s">
        <v>12</v>
      </c>
      <c r="F1302" s="5">
        <v>269</v>
      </c>
      <c r="G1302" s="5" t="str">
        <f>VLOOKUP(C1302,Sheet2!$C$3:$D$12,2,0)</f>
        <v>Variable</v>
      </c>
      <c r="H1302" s="5" t="str">
        <f>IFERROR(VLOOKUP(E1302,Sheet2!$G$3:$H$8,2,0),"unkwon")</f>
        <v>online</v>
      </c>
      <c r="I1302" s="5">
        <f>VLOOKUP(B1302,Sheet2!$J$4:$K$15,2,0)</f>
        <v>11</v>
      </c>
      <c r="J1302" s="5">
        <f>IFERROR(VLOOKUP(C1302,Sheet2!$M$4:$N$12,2,0),0)</f>
        <v>5000</v>
      </c>
      <c r="K1302" s="5" t="str">
        <f t="shared" si="20"/>
        <v>within budget</v>
      </c>
    </row>
    <row r="1303" spans="1:11" x14ac:dyDescent="0.3">
      <c r="A1303" s="6">
        <v>45224</v>
      </c>
      <c r="B1303" s="5" t="s">
        <v>6</v>
      </c>
      <c r="C1303" s="5" t="s">
        <v>41</v>
      </c>
      <c r="D1303" s="5" t="s">
        <v>11</v>
      </c>
      <c r="E1303" s="5" t="s">
        <v>17</v>
      </c>
      <c r="F1303" s="5">
        <v>2201</v>
      </c>
      <c r="G1303" s="5" t="str">
        <f>VLOOKUP(C1303,Sheet2!$C$3:$D$12,2,0)</f>
        <v>Variable</v>
      </c>
      <c r="H1303" s="5" t="str">
        <f>IFERROR(VLOOKUP(E1303,Sheet2!$G$3:$H$8,2,0),"unkwon")</f>
        <v>online</v>
      </c>
      <c r="I1303" s="5">
        <f>VLOOKUP(B1303,Sheet2!$J$4:$K$15,2,0)</f>
        <v>10</v>
      </c>
      <c r="J1303" s="5">
        <f>IFERROR(VLOOKUP(C1303,Sheet2!$M$4:$N$12,2,0),0)</f>
        <v>7000</v>
      </c>
      <c r="K1303" s="5" t="str">
        <f t="shared" si="20"/>
        <v>within budget</v>
      </c>
    </row>
    <row r="1304" spans="1:11" x14ac:dyDescent="0.3">
      <c r="A1304" s="6">
        <v>45137</v>
      </c>
      <c r="B1304" s="5" t="s">
        <v>21</v>
      </c>
      <c r="C1304" s="5" t="s">
        <v>22</v>
      </c>
      <c r="D1304" s="5" t="s">
        <v>18</v>
      </c>
      <c r="E1304" s="5" t="s">
        <v>9</v>
      </c>
      <c r="F1304" s="5">
        <v>3951</v>
      </c>
      <c r="G1304" s="5" t="str">
        <f>VLOOKUP(C1304,Sheet2!$C$3:$D$12,2,0)</f>
        <v>Variable</v>
      </c>
      <c r="H1304" s="5" t="str">
        <f>IFERROR(VLOOKUP(E1304,Sheet2!$G$3:$H$8,2,0),"unkwon")</f>
        <v>online</v>
      </c>
      <c r="I1304" s="5">
        <f>VLOOKUP(B1304,Sheet2!$J$4:$K$15,2,0)</f>
        <v>7</v>
      </c>
      <c r="J1304" s="5">
        <f>IFERROR(VLOOKUP(C1304,Sheet2!$M$4:$N$12,2,0),0)</f>
        <v>1000</v>
      </c>
      <c r="K1304" s="5" t="str">
        <f t="shared" si="20"/>
        <v>over budget</v>
      </c>
    </row>
    <row r="1305" spans="1:11" x14ac:dyDescent="0.3">
      <c r="A1305" s="6">
        <v>45290</v>
      </c>
      <c r="B1305" s="5" t="s">
        <v>16</v>
      </c>
      <c r="C1305" s="5" t="s">
        <v>22</v>
      </c>
      <c r="D1305" s="5" t="s">
        <v>31</v>
      </c>
      <c r="E1305" s="5" t="s">
        <v>32</v>
      </c>
      <c r="F1305" s="5">
        <v>1608</v>
      </c>
      <c r="G1305" s="5" t="str">
        <f>VLOOKUP(C1305,Sheet2!$C$3:$D$12,2,0)</f>
        <v>Variable</v>
      </c>
      <c r="H1305" s="5" t="str">
        <f>IFERROR(VLOOKUP(E1305,Sheet2!$G$3:$H$8,2,0),"unkwon")</f>
        <v>offline</v>
      </c>
      <c r="I1305" s="5">
        <f>VLOOKUP(B1305,Sheet2!$J$4:$K$15,2,0)</f>
        <v>12</v>
      </c>
      <c r="J1305" s="5">
        <f>IFERROR(VLOOKUP(C1305,Sheet2!$M$4:$N$12,2,0),0)</f>
        <v>1000</v>
      </c>
      <c r="K1305" s="5" t="str">
        <f t="shared" si="20"/>
        <v>over budget</v>
      </c>
    </row>
    <row r="1306" spans="1:11" x14ac:dyDescent="0.3">
      <c r="A1306" s="6">
        <v>45545</v>
      </c>
      <c r="B1306" s="5" t="s">
        <v>38</v>
      </c>
      <c r="C1306" s="5" t="s">
        <v>35</v>
      </c>
      <c r="D1306" s="5" t="s">
        <v>20</v>
      </c>
      <c r="E1306" s="5" t="s">
        <v>32</v>
      </c>
      <c r="F1306" s="5">
        <v>4368</v>
      </c>
      <c r="G1306" s="5" t="str">
        <f>VLOOKUP(C1306,Sheet2!$C$3:$D$12,2,0)</f>
        <v>Fixed</v>
      </c>
      <c r="H1306" s="5" t="str">
        <f>IFERROR(VLOOKUP(E1306,Sheet2!$G$3:$H$8,2,0),"unkwon")</f>
        <v>offline</v>
      </c>
      <c r="I1306" s="5">
        <f>VLOOKUP(B1306,Sheet2!$J$4:$K$15,2,0)</f>
        <v>9</v>
      </c>
      <c r="J1306" s="5">
        <f>IFERROR(VLOOKUP(C1306,Sheet2!$M$4:$N$12,2,0),0)</f>
        <v>5500</v>
      </c>
      <c r="K1306" s="5" t="str">
        <f t="shared" si="20"/>
        <v>within budget</v>
      </c>
    </row>
    <row r="1307" spans="1:11" x14ac:dyDescent="0.3">
      <c r="A1307" s="6">
        <v>45642</v>
      </c>
      <c r="B1307" s="5" t="s">
        <v>16</v>
      </c>
      <c r="C1307" s="5" t="s">
        <v>7</v>
      </c>
      <c r="D1307" s="5" t="s">
        <v>18</v>
      </c>
      <c r="E1307" s="5" t="s">
        <v>12</v>
      </c>
      <c r="F1307" s="5">
        <v>1519</v>
      </c>
      <c r="G1307" s="5" t="str">
        <f>VLOOKUP(C1307,Sheet2!$C$3:$D$12,2,0)</f>
        <v>Fixed</v>
      </c>
      <c r="H1307" s="5" t="str">
        <f>IFERROR(VLOOKUP(E1307,Sheet2!$G$3:$H$8,2,0),"unkwon")</f>
        <v>online</v>
      </c>
      <c r="I1307" s="5">
        <f>VLOOKUP(B1307,Sheet2!$J$4:$K$15,2,0)</f>
        <v>12</v>
      </c>
      <c r="J1307" s="5">
        <f>IFERROR(VLOOKUP(C1307,Sheet2!$M$4:$N$12,2,0),0)</f>
        <v>2000</v>
      </c>
      <c r="K1307" s="5" t="str">
        <f t="shared" si="20"/>
        <v>within budget</v>
      </c>
    </row>
    <row r="1308" spans="1:11" x14ac:dyDescent="0.3">
      <c r="A1308" s="6">
        <v>45141</v>
      </c>
      <c r="B1308" s="5" t="s">
        <v>25</v>
      </c>
      <c r="C1308" s="5" t="s">
        <v>7</v>
      </c>
      <c r="D1308" s="5" t="s">
        <v>24</v>
      </c>
      <c r="E1308" s="5" t="s">
        <v>17</v>
      </c>
      <c r="F1308" s="5">
        <v>4066</v>
      </c>
      <c r="G1308" s="5" t="str">
        <f>VLOOKUP(C1308,Sheet2!$C$3:$D$12,2,0)</f>
        <v>Fixed</v>
      </c>
      <c r="H1308" s="5" t="str">
        <f>IFERROR(VLOOKUP(E1308,Sheet2!$G$3:$H$8,2,0),"unkwon")</f>
        <v>online</v>
      </c>
      <c r="I1308" s="5">
        <f>VLOOKUP(B1308,Sheet2!$J$4:$K$15,2,0)</f>
        <v>8</v>
      </c>
      <c r="J1308" s="5">
        <f>IFERROR(VLOOKUP(C1308,Sheet2!$M$4:$N$12,2,0),0)</f>
        <v>2000</v>
      </c>
      <c r="K1308" s="5" t="str">
        <f t="shared" si="20"/>
        <v>over budget</v>
      </c>
    </row>
    <row r="1309" spans="1:11" x14ac:dyDescent="0.3">
      <c r="A1309" s="6">
        <v>45525</v>
      </c>
      <c r="B1309" s="5" t="s">
        <v>25</v>
      </c>
      <c r="C1309" s="5" t="s">
        <v>13</v>
      </c>
      <c r="D1309" s="5" t="s">
        <v>24</v>
      </c>
      <c r="E1309" s="5" t="s">
        <v>9</v>
      </c>
      <c r="F1309" s="5">
        <v>716</v>
      </c>
      <c r="G1309" s="5" t="str">
        <f>VLOOKUP(C1309,Sheet2!$C$3:$D$12,2,0)</f>
        <v>Variable</v>
      </c>
      <c r="H1309" s="5" t="str">
        <f>IFERROR(VLOOKUP(E1309,Sheet2!$G$3:$H$8,2,0),"unkwon")</f>
        <v>online</v>
      </c>
      <c r="I1309" s="5">
        <f>VLOOKUP(B1309,Sheet2!$J$4:$K$15,2,0)</f>
        <v>8</v>
      </c>
      <c r="J1309" s="5">
        <f>IFERROR(VLOOKUP(C1309,Sheet2!$M$4:$N$12,2,0),0)</f>
        <v>5000</v>
      </c>
      <c r="K1309" s="5" t="str">
        <f t="shared" si="20"/>
        <v>within budget</v>
      </c>
    </row>
    <row r="1310" spans="1:11" x14ac:dyDescent="0.3">
      <c r="A1310" s="6">
        <v>45410</v>
      </c>
      <c r="B1310" s="5" t="s">
        <v>29</v>
      </c>
      <c r="C1310" s="5" t="s">
        <v>22</v>
      </c>
      <c r="D1310" s="5" t="s">
        <v>18</v>
      </c>
      <c r="E1310" s="5" t="s">
        <v>9</v>
      </c>
      <c r="F1310" s="5">
        <v>3853</v>
      </c>
      <c r="G1310" s="5" t="str">
        <f>VLOOKUP(C1310,Sheet2!$C$3:$D$12,2,0)</f>
        <v>Variable</v>
      </c>
      <c r="H1310" s="5" t="str">
        <f>IFERROR(VLOOKUP(E1310,Sheet2!$G$3:$H$8,2,0),"unkwon")</f>
        <v>online</v>
      </c>
      <c r="I1310" s="5">
        <f>VLOOKUP(B1310,Sheet2!$J$4:$K$15,2,0)</f>
        <v>4</v>
      </c>
      <c r="J1310" s="5">
        <f>IFERROR(VLOOKUP(C1310,Sheet2!$M$4:$N$12,2,0),0)</f>
        <v>1000</v>
      </c>
      <c r="K1310" s="5" t="str">
        <f t="shared" si="20"/>
        <v>over budget</v>
      </c>
    </row>
    <row r="1311" spans="1:11" x14ac:dyDescent="0.3">
      <c r="A1311" s="6">
        <v>45599</v>
      </c>
      <c r="B1311" s="5" t="s">
        <v>40</v>
      </c>
      <c r="C1311" s="5" t="s">
        <v>27</v>
      </c>
      <c r="D1311" s="5" t="s">
        <v>8</v>
      </c>
      <c r="E1311" s="5" t="s">
        <v>32</v>
      </c>
      <c r="F1311" s="5">
        <v>1995</v>
      </c>
      <c r="G1311" s="5" t="str">
        <f>VLOOKUP(C1311,Sheet2!$C$3:$D$12,2,0)</f>
        <v>Variable</v>
      </c>
      <c r="H1311" s="5" t="str">
        <f>IFERROR(VLOOKUP(E1311,Sheet2!$G$3:$H$8,2,0),"unkwon")</f>
        <v>offline</v>
      </c>
      <c r="I1311" s="5">
        <f>VLOOKUP(B1311,Sheet2!$J$4:$K$15,2,0)</f>
        <v>11</v>
      </c>
      <c r="J1311" s="5">
        <f>IFERROR(VLOOKUP(C1311,Sheet2!$M$4:$N$12,2,0),0)</f>
        <v>4000</v>
      </c>
      <c r="K1311" s="5" t="str">
        <f t="shared" si="20"/>
        <v>within budget</v>
      </c>
    </row>
    <row r="1312" spans="1:11" x14ac:dyDescent="0.3">
      <c r="A1312" s="6">
        <v>45148</v>
      </c>
      <c r="B1312" s="5" t="s">
        <v>25</v>
      </c>
      <c r="C1312" s="5" t="s">
        <v>22</v>
      </c>
      <c r="D1312" s="5" t="s">
        <v>26</v>
      </c>
      <c r="E1312" s="5" t="s">
        <v>32</v>
      </c>
      <c r="F1312" s="5">
        <v>2548</v>
      </c>
      <c r="G1312" s="5" t="str">
        <f>VLOOKUP(C1312,Sheet2!$C$3:$D$12,2,0)</f>
        <v>Variable</v>
      </c>
      <c r="H1312" s="5" t="str">
        <f>IFERROR(VLOOKUP(E1312,Sheet2!$G$3:$H$8,2,0),"unkwon")</f>
        <v>offline</v>
      </c>
      <c r="I1312" s="5">
        <f>VLOOKUP(B1312,Sheet2!$J$4:$K$15,2,0)</f>
        <v>8</v>
      </c>
      <c r="J1312" s="5">
        <f>IFERROR(VLOOKUP(C1312,Sheet2!$M$4:$N$12,2,0),0)</f>
        <v>1000</v>
      </c>
      <c r="K1312" s="5" t="str">
        <f t="shared" si="20"/>
        <v>over budget</v>
      </c>
    </row>
    <row r="1313" spans="1:11" x14ac:dyDescent="0.3">
      <c r="A1313" s="6">
        <v>45072</v>
      </c>
      <c r="B1313" s="5" t="s">
        <v>28</v>
      </c>
      <c r="C1313" s="5" t="s">
        <v>36</v>
      </c>
      <c r="D1313" s="5" t="s">
        <v>20</v>
      </c>
      <c r="E1313" s="5" t="s">
        <v>12</v>
      </c>
      <c r="F1313" s="5">
        <v>3367</v>
      </c>
      <c r="G1313" s="5" t="str">
        <f>VLOOKUP(C1313,Sheet2!$C$3:$D$12,2,0)</f>
        <v>Variable</v>
      </c>
      <c r="H1313" s="5" t="str">
        <f>IFERROR(VLOOKUP(E1313,Sheet2!$G$3:$H$8,2,0),"unkwon")</f>
        <v>online</v>
      </c>
      <c r="I1313" s="5">
        <f>VLOOKUP(B1313,Sheet2!$J$4:$K$15,2,0)</f>
        <v>5</v>
      </c>
      <c r="J1313" s="5">
        <f>IFERROR(VLOOKUP(C1313,Sheet2!$M$4:$N$12,2,0),0)</f>
        <v>10000</v>
      </c>
      <c r="K1313" s="5" t="str">
        <f t="shared" si="20"/>
        <v>within budget</v>
      </c>
    </row>
    <row r="1314" spans="1:11" x14ac:dyDescent="0.3">
      <c r="A1314" s="6">
        <v>45123</v>
      </c>
      <c r="B1314" s="5" t="s">
        <v>21</v>
      </c>
      <c r="C1314" s="5" t="s">
        <v>41</v>
      </c>
      <c r="D1314" s="5" t="s">
        <v>34</v>
      </c>
      <c r="E1314" s="5" t="s">
        <v>32</v>
      </c>
      <c r="F1314" s="5">
        <v>2953</v>
      </c>
      <c r="G1314" s="5" t="str">
        <f>VLOOKUP(C1314,Sheet2!$C$3:$D$12,2,0)</f>
        <v>Variable</v>
      </c>
      <c r="H1314" s="5" t="str">
        <f>IFERROR(VLOOKUP(E1314,Sheet2!$G$3:$H$8,2,0),"unkwon")</f>
        <v>offline</v>
      </c>
      <c r="I1314" s="5">
        <f>VLOOKUP(B1314,Sheet2!$J$4:$K$15,2,0)</f>
        <v>7</v>
      </c>
      <c r="J1314" s="5">
        <f>IFERROR(VLOOKUP(C1314,Sheet2!$M$4:$N$12,2,0),0)</f>
        <v>7000</v>
      </c>
      <c r="K1314" s="5" t="str">
        <f t="shared" si="20"/>
        <v>within budget</v>
      </c>
    </row>
    <row r="1315" spans="1:11" x14ac:dyDescent="0.3">
      <c r="A1315" s="6">
        <v>45122</v>
      </c>
      <c r="B1315" s="5" t="s">
        <v>21</v>
      </c>
      <c r="C1315" s="5" t="s">
        <v>36</v>
      </c>
      <c r="D1315" s="5" t="s">
        <v>18</v>
      </c>
      <c r="E1315" s="5" t="s">
        <v>15</v>
      </c>
      <c r="F1315" s="5">
        <v>2398</v>
      </c>
      <c r="G1315" s="5" t="str">
        <f>VLOOKUP(C1315,Sheet2!$C$3:$D$12,2,0)</f>
        <v>Variable</v>
      </c>
      <c r="H1315" s="5" t="str">
        <f>IFERROR(VLOOKUP(E1315,Sheet2!$G$3:$H$8,2,0),"unkwon")</f>
        <v>online</v>
      </c>
      <c r="I1315" s="5">
        <f>VLOOKUP(B1315,Sheet2!$J$4:$K$15,2,0)</f>
        <v>7</v>
      </c>
      <c r="J1315" s="5">
        <f>IFERROR(VLOOKUP(C1315,Sheet2!$M$4:$N$12,2,0),0)</f>
        <v>10000</v>
      </c>
      <c r="K1315" s="5" t="str">
        <f t="shared" si="20"/>
        <v>within budget</v>
      </c>
    </row>
    <row r="1316" spans="1:11" x14ac:dyDescent="0.3">
      <c r="A1316" s="6">
        <v>45389</v>
      </c>
      <c r="B1316" s="5" t="s">
        <v>29</v>
      </c>
      <c r="C1316" s="5" t="s">
        <v>36</v>
      </c>
      <c r="D1316" s="5" t="s">
        <v>8</v>
      </c>
      <c r="E1316" s="5" t="s">
        <v>15</v>
      </c>
      <c r="F1316" s="5">
        <v>1243</v>
      </c>
      <c r="G1316" s="5" t="str">
        <f>VLOOKUP(C1316,Sheet2!$C$3:$D$12,2,0)</f>
        <v>Variable</v>
      </c>
      <c r="H1316" s="5" t="str">
        <f>IFERROR(VLOOKUP(E1316,Sheet2!$G$3:$H$8,2,0),"unkwon")</f>
        <v>online</v>
      </c>
      <c r="I1316" s="5">
        <f>VLOOKUP(B1316,Sheet2!$J$4:$K$15,2,0)</f>
        <v>4</v>
      </c>
      <c r="J1316" s="5">
        <f>IFERROR(VLOOKUP(C1316,Sheet2!$M$4:$N$12,2,0),0)</f>
        <v>10000</v>
      </c>
      <c r="K1316" s="5" t="str">
        <f t="shared" si="20"/>
        <v>within budget</v>
      </c>
    </row>
    <row r="1317" spans="1:11" x14ac:dyDescent="0.3">
      <c r="A1317" s="6">
        <v>45496</v>
      </c>
      <c r="B1317" s="5" t="s">
        <v>21</v>
      </c>
      <c r="C1317" s="5" t="s">
        <v>30</v>
      </c>
      <c r="D1317" s="5" t="s">
        <v>26</v>
      </c>
      <c r="E1317" s="5" t="s">
        <v>15</v>
      </c>
      <c r="F1317" s="5">
        <v>3579</v>
      </c>
      <c r="G1317" s="5" t="str">
        <f>VLOOKUP(C1317,Sheet2!$C$3:$D$12,2,0)</f>
        <v>Fixed</v>
      </c>
      <c r="H1317" s="5" t="str">
        <f>IFERROR(VLOOKUP(E1317,Sheet2!$G$3:$H$8,2,0),"unkwon")</f>
        <v>online</v>
      </c>
      <c r="I1317" s="5">
        <f>VLOOKUP(B1317,Sheet2!$J$4:$K$15,2,0)</f>
        <v>7</v>
      </c>
      <c r="J1317" s="5">
        <f>IFERROR(VLOOKUP(C1317,Sheet2!$M$4:$N$12,2,0),0)</f>
        <v>3000</v>
      </c>
      <c r="K1317" s="5" t="str">
        <f t="shared" si="20"/>
        <v>over budget</v>
      </c>
    </row>
    <row r="1318" spans="1:11" x14ac:dyDescent="0.3">
      <c r="A1318" s="6">
        <v>45067</v>
      </c>
      <c r="B1318" s="5" t="s">
        <v>28</v>
      </c>
      <c r="C1318" s="5" t="s">
        <v>41</v>
      </c>
      <c r="D1318" s="5" t="s">
        <v>31</v>
      </c>
      <c r="E1318" s="5" t="s">
        <v>32</v>
      </c>
      <c r="F1318" s="5">
        <v>2396</v>
      </c>
      <c r="G1318" s="5" t="str">
        <f>VLOOKUP(C1318,Sheet2!$C$3:$D$12,2,0)</f>
        <v>Variable</v>
      </c>
      <c r="H1318" s="5" t="str">
        <f>IFERROR(VLOOKUP(E1318,Sheet2!$G$3:$H$8,2,0),"unkwon")</f>
        <v>offline</v>
      </c>
      <c r="I1318" s="5">
        <f>VLOOKUP(B1318,Sheet2!$J$4:$K$15,2,0)</f>
        <v>5</v>
      </c>
      <c r="J1318" s="5">
        <f>IFERROR(VLOOKUP(C1318,Sheet2!$M$4:$N$12,2,0),0)</f>
        <v>7000</v>
      </c>
      <c r="K1318" s="5" t="str">
        <f t="shared" si="20"/>
        <v>within budget</v>
      </c>
    </row>
    <row r="1319" spans="1:11" x14ac:dyDescent="0.3">
      <c r="A1319" s="6">
        <v>45586</v>
      </c>
      <c r="B1319" s="5" t="s">
        <v>6</v>
      </c>
      <c r="C1319" s="5" t="s">
        <v>30</v>
      </c>
      <c r="D1319" s="5" t="s">
        <v>11</v>
      </c>
      <c r="E1319" s="5" t="s">
        <v>17</v>
      </c>
      <c r="F1319" s="5">
        <v>2109</v>
      </c>
      <c r="G1319" s="5" t="str">
        <f>VLOOKUP(C1319,Sheet2!$C$3:$D$12,2,0)</f>
        <v>Fixed</v>
      </c>
      <c r="H1319" s="5" t="str">
        <f>IFERROR(VLOOKUP(E1319,Sheet2!$G$3:$H$8,2,0),"unkwon")</f>
        <v>online</v>
      </c>
      <c r="I1319" s="5">
        <f>VLOOKUP(B1319,Sheet2!$J$4:$K$15,2,0)</f>
        <v>10</v>
      </c>
      <c r="J1319" s="5">
        <f>IFERROR(VLOOKUP(C1319,Sheet2!$M$4:$N$12,2,0),0)</f>
        <v>3000</v>
      </c>
      <c r="K1319" s="5" t="str">
        <f t="shared" si="20"/>
        <v>within budget</v>
      </c>
    </row>
    <row r="1320" spans="1:11" x14ac:dyDescent="0.3">
      <c r="A1320" s="6">
        <v>45588</v>
      </c>
      <c r="B1320" s="5" t="s">
        <v>6</v>
      </c>
      <c r="C1320" s="5" t="s">
        <v>10</v>
      </c>
      <c r="D1320" s="5" t="s">
        <v>20</v>
      </c>
      <c r="E1320" s="5" t="s">
        <v>15</v>
      </c>
      <c r="F1320" s="5">
        <v>3853</v>
      </c>
      <c r="G1320" s="5" t="str">
        <f>VLOOKUP(C1320,Sheet2!$C$3:$D$12,2,0)</f>
        <v>Variable</v>
      </c>
      <c r="H1320" s="5" t="str">
        <f>IFERROR(VLOOKUP(E1320,Sheet2!$G$3:$H$8,2,0),"unkwon")</f>
        <v>online</v>
      </c>
      <c r="I1320" s="5">
        <f>VLOOKUP(B1320,Sheet2!$J$4:$K$15,2,0)</f>
        <v>10</v>
      </c>
      <c r="J1320" s="5">
        <f>IFERROR(VLOOKUP(C1320,Sheet2!$M$4:$N$12,2,0),0)</f>
        <v>5000</v>
      </c>
      <c r="K1320" s="5" t="str">
        <f t="shared" si="20"/>
        <v>within budget</v>
      </c>
    </row>
    <row r="1321" spans="1:11" x14ac:dyDescent="0.3">
      <c r="A1321" s="6">
        <v>45083</v>
      </c>
      <c r="B1321" s="5" t="s">
        <v>39</v>
      </c>
      <c r="C1321" s="5" t="s">
        <v>13</v>
      </c>
      <c r="D1321" s="5" t="s">
        <v>11</v>
      </c>
      <c r="E1321" s="5" t="s">
        <v>12</v>
      </c>
      <c r="F1321" s="5">
        <v>776</v>
      </c>
      <c r="G1321" s="5" t="str">
        <f>VLOOKUP(C1321,Sheet2!$C$3:$D$12,2,0)</f>
        <v>Variable</v>
      </c>
      <c r="H1321" s="5" t="str">
        <f>IFERROR(VLOOKUP(E1321,Sheet2!$G$3:$H$8,2,0),"unkwon")</f>
        <v>online</v>
      </c>
      <c r="I1321" s="5">
        <f>VLOOKUP(B1321,Sheet2!$J$4:$K$15,2,0)</f>
        <v>6</v>
      </c>
      <c r="J1321" s="5">
        <f>IFERROR(VLOOKUP(C1321,Sheet2!$M$4:$N$12,2,0),0)</f>
        <v>5000</v>
      </c>
      <c r="K1321" s="5" t="str">
        <f t="shared" si="20"/>
        <v>within budget</v>
      </c>
    </row>
    <row r="1322" spans="1:11" x14ac:dyDescent="0.3">
      <c r="A1322" s="6">
        <v>45146</v>
      </c>
      <c r="B1322" s="5" t="s">
        <v>25</v>
      </c>
      <c r="C1322" s="5" t="s">
        <v>36</v>
      </c>
      <c r="D1322" s="5" t="s">
        <v>14</v>
      </c>
      <c r="E1322" s="5" t="s">
        <v>9</v>
      </c>
      <c r="F1322" s="5">
        <v>176</v>
      </c>
      <c r="G1322" s="5" t="str">
        <f>VLOOKUP(C1322,Sheet2!$C$3:$D$12,2,0)</f>
        <v>Variable</v>
      </c>
      <c r="H1322" s="5" t="str">
        <f>IFERROR(VLOOKUP(E1322,Sheet2!$G$3:$H$8,2,0),"unkwon")</f>
        <v>online</v>
      </c>
      <c r="I1322" s="5">
        <f>VLOOKUP(B1322,Sheet2!$J$4:$K$15,2,0)</f>
        <v>8</v>
      </c>
      <c r="J1322" s="5">
        <f>IFERROR(VLOOKUP(C1322,Sheet2!$M$4:$N$12,2,0),0)</f>
        <v>10000</v>
      </c>
      <c r="K1322" s="5" t="str">
        <f t="shared" si="20"/>
        <v>within budget</v>
      </c>
    </row>
    <row r="1323" spans="1:11" x14ac:dyDescent="0.3">
      <c r="A1323" s="6">
        <v>45448</v>
      </c>
      <c r="B1323" s="5" t="s">
        <v>39</v>
      </c>
      <c r="C1323" s="5" t="s">
        <v>13</v>
      </c>
      <c r="D1323" s="5" t="s">
        <v>26</v>
      </c>
      <c r="E1323" s="5" t="s">
        <v>17</v>
      </c>
      <c r="F1323" s="5">
        <v>1327</v>
      </c>
      <c r="G1323" s="5" t="str">
        <f>VLOOKUP(C1323,Sheet2!$C$3:$D$12,2,0)</f>
        <v>Variable</v>
      </c>
      <c r="H1323" s="5" t="str">
        <f>IFERROR(VLOOKUP(E1323,Sheet2!$G$3:$H$8,2,0),"unkwon")</f>
        <v>online</v>
      </c>
      <c r="I1323" s="5">
        <f>VLOOKUP(B1323,Sheet2!$J$4:$K$15,2,0)</f>
        <v>6</v>
      </c>
      <c r="J1323" s="5">
        <f>IFERROR(VLOOKUP(C1323,Sheet2!$M$4:$N$12,2,0),0)</f>
        <v>5000</v>
      </c>
      <c r="K1323" s="5" t="str">
        <f t="shared" si="20"/>
        <v>within budget</v>
      </c>
    </row>
    <row r="1324" spans="1:11" x14ac:dyDescent="0.3">
      <c r="A1324" s="6">
        <v>45140</v>
      </c>
      <c r="B1324" s="5" t="s">
        <v>25</v>
      </c>
      <c r="C1324" s="5" t="s">
        <v>27</v>
      </c>
      <c r="D1324" s="5" t="s">
        <v>11</v>
      </c>
      <c r="E1324" s="5" t="s">
        <v>17</v>
      </c>
      <c r="F1324" s="5">
        <v>1142</v>
      </c>
      <c r="G1324" s="5" t="str">
        <f>VLOOKUP(C1324,Sheet2!$C$3:$D$12,2,0)</f>
        <v>Variable</v>
      </c>
      <c r="H1324" s="5" t="str">
        <f>IFERROR(VLOOKUP(E1324,Sheet2!$G$3:$H$8,2,0),"unkwon")</f>
        <v>online</v>
      </c>
      <c r="I1324" s="5">
        <f>VLOOKUP(B1324,Sheet2!$J$4:$K$15,2,0)</f>
        <v>8</v>
      </c>
      <c r="J1324" s="5">
        <f>IFERROR(VLOOKUP(C1324,Sheet2!$M$4:$N$12,2,0),0)</f>
        <v>4000</v>
      </c>
      <c r="K1324" s="5" t="str">
        <f t="shared" si="20"/>
        <v>within budget</v>
      </c>
    </row>
    <row r="1325" spans="1:11" x14ac:dyDescent="0.3">
      <c r="A1325" s="6">
        <v>45646</v>
      </c>
      <c r="B1325" s="5" t="s">
        <v>16</v>
      </c>
      <c r="C1325" s="5" t="s">
        <v>7</v>
      </c>
      <c r="D1325" s="5" t="s">
        <v>8</v>
      </c>
      <c r="E1325" s="5" t="s">
        <v>9</v>
      </c>
      <c r="F1325" s="5">
        <v>4382</v>
      </c>
      <c r="G1325" s="5" t="str">
        <f>VLOOKUP(C1325,Sheet2!$C$3:$D$12,2,0)</f>
        <v>Fixed</v>
      </c>
      <c r="H1325" s="5" t="str">
        <f>IFERROR(VLOOKUP(E1325,Sheet2!$G$3:$H$8,2,0),"unkwon")</f>
        <v>online</v>
      </c>
      <c r="I1325" s="5">
        <f>VLOOKUP(B1325,Sheet2!$J$4:$K$15,2,0)</f>
        <v>12</v>
      </c>
      <c r="J1325" s="5">
        <f>IFERROR(VLOOKUP(C1325,Sheet2!$M$4:$N$12,2,0),0)</f>
        <v>2000</v>
      </c>
      <c r="K1325" s="5" t="str">
        <f t="shared" si="20"/>
        <v>over budget</v>
      </c>
    </row>
    <row r="1326" spans="1:11" x14ac:dyDescent="0.3">
      <c r="A1326" s="6">
        <v>45426</v>
      </c>
      <c r="B1326" s="5" t="s">
        <v>28</v>
      </c>
      <c r="C1326" s="5" t="s">
        <v>10</v>
      </c>
      <c r="D1326" s="5" t="s">
        <v>24</v>
      </c>
      <c r="E1326" s="5" t="s">
        <v>9</v>
      </c>
      <c r="F1326" s="5">
        <v>4545</v>
      </c>
      <c r="G1326" s="5" t="str">
        <f>VLOOKUP(C1326,Sheet2!$C$3:$D$12,2,0)</f>
        <v>Variable</v>
      </c>
      <c r="H1326" s="5" t="str">
        <f>IFERROR(VLOOKUP(E1326,Sheet2!$G$3:$H$8,2,0),"unkwon")</f>
        <v>online</v>
      </c>
      <c r="I1326" s="5">
        <f>VLOOKUP(B1326,Sheet2!$J$4:$K$15,2,0)</f>
        <v>5</v>
      </c>
      <c r="J1326" s="5">
        <f>IFERROR(VLOOKUP(C1326,Sheet2!$M$4:$N$12,2,0),0)</f>
        <v>5000</v>
      </c>
      <c r="K1326" s="5" t="str">
        <f t="shared" si="20"/>
        <v>within budget</v>
      </c>
    </row>
    <row r="1327" spans="1:11" x14ac:dyDescent="0.3">
      <c r="A1327" s="6">
        <v>45428</v>
      </c>
      <c r="B1327" s="5" t="s">
        <v>28</v>
      </c>
      <c r="C1327" s="5" t="s">
        <v>13</v>
      </c>
      <c r="D1327" s="5" t="s">
        <v>24</v>
      </c>
      <c r="E1327" s="5" t="s">
        <v>15</v>
      </c>
      <c r="F1327" s="5">
        <v>430</v>
      </c>
      <c r="G1327" s="5" t="str">
        <f>VLOOKUP(C1327,Sheet2!$C$3:$D$12,2,0)</f>
        <v>Variable</v>
      </c>
      <c r="H1327" s="5" t="str">
        <f>IFERROR(VLOOKUP(E1327,Sheet2!$G$3:$H$8,2,0),"unkwon")</f>
        <v>online</v>
      </c>
      <c r="I1327" s="5">
        <f>VLOOKUP(B1327,Sheet2!$J$4:$K$15,2,0)</f>
        <v>5</v>
      </c>
      <c r="J1327" s="5">
        <f>IFERROR(VLOOKUP(C1327,Sheet2!$M$4:$N$12,2,0),0)</f>
        <v>5000</v>
      </c>
      <c r="K1327" s="5" t="str">
        <f t="shared" si="20"/>
        <v>within budget</v>
      </c>
    </row>
    <row r="1328" spans="1:11" x14ac:dyDescent="0.3">
      <c r="A1328" s="6">
        <v>44965</v>
      </c>
      <c r="B1328" s="5" t="s">
        <v>33</v>
      </c>
      <c r="C1328" s="5" t="s">
        <v>27</v>
      </c>
      <c r="D1328" s="5" t="s">
        <v>31</v>
      </c>
      <c r="E1328" s="5" t="s">
        <v>15</v>
      </c>
      <c r="F1328" s="5">
        <v>2508</v>
      </c>
      <c r="G1328" s="5" t="str">
        <f>VLOOKUP(C1328,Sheet2!$C$3:$D$12,2,0)</f>
        <v>Variable</v>
      </c>
      <c r="H1328" s="5" t="str">
        <f>IFERROR(VLOOKUP(E1328,Sheet2!$G$3:$H$8,2,0),"unkwon")</f>
        <v>online</v>
      </c>
      <c r="I1328" s="5">
        <f>VLOOKUP(B1328,Sheet2!$J$4:$K$15,2,0)</f>
        <v>2</v>
      </c>
      <c r="J1328" s="5">
        <f>IFERROR(VLOOKUP(C1328,Sheet2!$M$4:$N$12,2,0),0)</f>
        <v>4000</v>
      </c>
      <c r="K1328" s="5" t="str">
        <f t="shared" si="20"/>
        <v>within budget</v>
      </c>
    </row>
    <row r="1329" spans="1:11" x14ac:dyDescent="0.3">
      <c r="A1329" s="6">
        <v>45106</v>
      </c>
      <c r="B1329" s="5" t="s">
        <v>39</v>
      </c>
      <c r="C1329" s="5" t="s">
        <v>35</v>
      </c>
      <c r="D1329" s="5" t="s">
        <v>34</v>
      </c>
      <c r="E1329" s="5" t="s">
        <v>12</v>
      </c>
      <c r="F1329" s="5">
        <v>1414</v>
      </c>
      <c r="G1329" s="5" t="str">
        <f>VLOOKUP(C1329,Sheet2!$C$3:$D$12,2,0)</f>
        <v>Fixed</v>
      </c>
      <c r="H1329" s="5" t="str">
        <f>IFERROR(VLOOKUP(E1329,Sheet2!$G$3:$H$8,2,0),"unkwon")</f>
        <v>online</v>
      </c>
      <c r="I1329" s="5">
        <f>VLOOKUP(B1329,Sheet2!$J$4:$K$15,2,0)</f>
        <v>6</v>
      </c>
      <c r="J1329" s="5">
        <f>IFERROR(VLOOKUP(C1329,Sheet2!$M$4:$N$12,2,0),0)</f>
        <v>5500</v>
      </c>
      <c r="K1329" s="5" t="str">
        <f t="shared" si="20"/>
        <v>within budget</v>
      </c>
    </row>
    <row r="1330" spans="1:11" x14ac:dyDescent="0.3">
      <c r="A1330" s="6">
        <v>45129</v>
      </c>
      <c r="B1330" s="5" t="s">
        <v>21</v>
      </c>
      <c r="C1330" s="5" t="s">
        <v>30</v>
      </c>
      <c r="D1330" s="5" t="s">
        <v>24</v>
      </c>
      <c r="E1330" s="5" t="s">
        <v>12</v>
      </c>
      <c r="F1330" s="5">
        <v>362</v>
      </c>
      <c r="G1330" s="5" t="str">
        <f>VLOOKUP(C1330,Sheet2!$C$3:$D$12,2,0)</f>
        <v>Fixed</v>
      </c>
      <c r="H1330" s="5" t="str">
        <f>IFERROR(VLOOKUP(E1330,Sheet2!$G$3:$H$8,2,0),"unkwon")</f>
        <v>online</v>
      </c>
      <c r="I1330" s="5">
        <f>VLOOKUP(B1330,Sheet2!$J$4:$K$15,2,0)</f>
        <v>7</v>
      </c>
      <c r="J1330" s="5">
        <f>IFERROR(VLOOKUP(C1330,Sheet2!$M$4:$N$12,2,0),0)</f>
        <v>3000</v>
      </c>
      <c r="K1330" s="5" t="str">
        <f t="shared" si="20"/>
        <v>within budget</v>
      </c>
    </row>
    <row r="1331" spans="1:11" x14ac:dyDescent="0.3">
      <c r="A1331" s="6">
        <v>45648</v>
      </c>
      <c r="B1331" s="5" t="s">
        <v>16</v>
      </c>
      <c r="C1331" s="5" t="s">
        <v>27</v>
      </c>
      <c r="D1331" s="5" t="s">
        <v>31</v>
      </c>
      <c r="E1331" s="5" t="s">
        <v>9</v>
      </c>
      <c r="F1331" s="5">
        <v>1719</v>
      </c>
      <c r="G1331" s="5" t="str">
        <f>VLOOKUP(C1331,Sheet2!$C$3:$D$12,2,0)</f>
        <v>Variable</v>
      </c>
      <c r="H1331" s="5" t="str">
        <f>IFERROR(VLOOKUP(E1331,Sheet2!$G$3:$H$8,2,0),"unkwon")</f>
        <v>online</v>
      </c>
      <c r="I1331" s="5">
        <f>VLOOKUP(B1331,Sheet2!$J$4:$K$15,2,0)</f>
        <v>12</v>
      </c>
      <c r="J1331" s="5">
        <f>IFERROR(VLOOKUP(C1331,Sheet2!$M$4:$N$12,2,0),0)</f>
        <v>4000</v>
      </c>
      <c r="K1331" s="5" t="str">
        <f t="shared" si="20"/>
        <v>within budget</v>
      </c>
    </row>
    <row r="1332" spans="1:11" x14ac:dyDescent="0.3">
      <c r="A1332" s="6">
        <v>45428</v>
      </c>
      <c r="B1332" s="5" t="s">
        <v>28</v>
      </c>
      <c r="C1332" s="5" t="s">
        <v>41</v>
      </c>
      <c r="D1332" s="5" t="s">
        <v>18</v>
      </c>
      <c r="E1332" s="5" t="s">
        <v>12</v>
      </c>
      <c r="F1332" s="5">
        <v>3146</v>
      </c>
      <c r="G1332" s="5" t="str">
        <f>VLOOKUP(C1332,Sheet2!$C$3:$D$12,2,0)</f>
        <v>Variable</v>
      </c>
      <c r="H1332" s="5" t="str">
        <f>IFERROR(VLOOKUP(E1332,Sheet2!$G$3:$H$8,2,0),"unkwon")</f>
        <v>online</v>
      </c>
      <c r="I1332" s="5">
        <f>VLOOKUP(B1332,Sheet2!$J$4:$K$15,2,0)</f>
        <v>5</v>
      </c>
      <c r="J1332" s="5">
        <f>IFERROR(VLOOKUP(C1332,Sheet2!$M$4:$N$12,2,0),0)</f>
        <v>7000</v>
      </c>
      <c r="K1332" s="5" t="str">
        <f t="shared" si="20"/>
        <v>within budget</v>
      </c>
    </row>
    <row r="1333" spans="1:11" x14ac:dyDescent="0.3">
      <c r="A1333" s="6">
        <v>45455</v>
      </c>
      <c r="B1333" s="5" t="s">
        <v>39</v>
      </c>
      <c r="C1333" s="5" t="s">
        <v>30</v>
      </c>
      <c r="D1333" s="5" t="s">
        <v>31</v>
      </c>
      <c r="E1333" s="5" t="s">
        <v>32</v>
      </c>
      <c r="F1333" s="5">
        <v>2810</v>
      </c>
      <c r="G1333" s="5" t="str">
        <f>VLOOKUP(C1333,Sheet2!$C$3:$D$12,2,0)</f>
        <v>Fixed</v>
      </c>
      <c r="H1333" s="5" t="str">
        <f>IFERROR(VLOOKUP(E1333,Sheet2!$G$3:$H$8,2,0),"unkwon")</f>
        <v>offline</v>
      </c>
      <c r="I1333" s="5">
        <f>VLOOKUP(B1333,Sheet2!$J$4:$K$15,2,0)</f>
        <v>6</v>
      </c>
      <c r="J1333" s="5">
        <f>IFERROR(VLOOKUP(C1333,Sheet2!$M$4:$N$12,2,0),0)</f>
        <v>3000</v>
      </c>
      <c r="K1333" s="5" t="str">
        <f t="shared" si="20"/>
        <v>within budget</v>
      </c>
    </row>
    <row r="1334" spans="1:11" x14ac:dyDescent="0.3">
      <c r="A1334" s="6">
        <v>45114</v>
      </c>
      <c r="B1334" s="5" t="s">
        <v>21</v>
      </c>
      <c r="C1334" s="5" t="s">
        <v>27</v>
      </c>
      <c r="D1334" s="5" t="s">
        <v>14</v>
      </c>
      <c r="E1334" s="5" t="s">
        <v>9</v>
      </c>
      <c r="F1334" s="5">
        <v>4465</v>
      </c>
      <c r="G1334" s="5" t="str">
        <f>VLOOKUP(C1334,Sheet2!$C$3:$D$12,2,0)</f>
        <v>Variable</v>
      </c>
      <c r="H1334" s="5" t="str">
        <f>IFERROR(VLOOKUP(E1334,Sheet2!$G$3:$H$8,2,0),"unkwon")</f>
        <v>online</v>
      </c>
      <c r="I1334" s="5">
        <f>VLOOKUP(B1334,Sheet2!$J$4:$K$15,2,0)</f>
        <v>7</v>
      </c>
      <c r="J1334" s="5">
        <f>IFERROR(VLOOKUP(C1334,Sheet2!$M$4:$N$12,2,0),0)</f>
        <v>4000</v>
      </c>
      <c r="K1334" s="5" t="str">
        <f t="shared" si="20"/>
        <v>over budget</v>
      </c>
    </row>
    <row r="1335" spans="1:11" x14ac:dyDescent="0.3">
      <c r="A1335" s="6">
        <v>45522</v>
      </c>
      <c r="B1335" s="5" t="s">
        <v>25</v>
      </c>
      <c r="C1335" s="5" t="s">
        <v>36</v>
      </c>
      <c r="D1335" s="5" t="s">
        <v>8</v>
      </c>
      <c r="E1335" s="5" t="s">
        <v>17</v>
      </c>
      <c r="F1335" s="5">
        <v>2497</v>
      </c>
      <c r="G1335" s="5" t="str">
        <f>VLOOKUP(C1335,Sheet2!$C$3:$D$12,2,0)</f>
        <v>Variable</v>
      </c>
      <c r="H1335" s="5" t="str">
        <f>IFERROR(VLOOKUP(E1335,Sheet2!$G$3:$H$8,2,0),"unkwon")</f>
        <v>online</v>
      </c>
      <c r="I1335" s="5">
        <f>VLOOKUP(B1335,Sheet2!$J$4:$K$15,2,0)</f>
        <v>8</v>
      </c>
      <c r="J1335" s="5">
        <f>IFERROR(VLOOKUP(C1335,Sheet2!$M$4:$N$12,2,0),0)</f>
        <v>10000</v>
      </c>
      <c r="K1335" s="5" t="str">
        <f t="shared" si="20"/>
        <v>within budget</v>
      </c>
    </row>
    <row r="1336" spans="1:11" x14ac:dyDescent="0.3">
      <c r="A1336" s="6">
        <v>45111</v>
      </c>
      <c r="B1336" s="5" t="s">
        <v>21</v>
      </c>
      <c r="C1336" s="5" t="s">
        <v>27</v>
      </c>
      <c r="D1336" s="5" t="s">
        <v>20</v>
      </c>
      <c r="E1336" s="5" t="s">
        <v>12</v>
      </c>
      <c r="F1336" s="5">
        <v>2820</v>
      </c>
      <c r="G1336" s="5" t="str">
        <f>VLOOKUP(C1336,Sheet2!$C$3:$D$12,2,0)</f>
        <v>Variable</v>
      </c>
      <c r="H1336" s="5" t="str">
        <f>IFERROR(VLOOKUP(E1336,Sheet2!$G$3:$H$8,2,0),"unkwon")</f>
        <v>online</v>
      </c>
      <c r="I1336" s="5">
        <f>VLOOKUP(B1336,Sheet2!$J$4:$K$15,2,0)</f>
        <v>7</v>
      </c>
      <c r="J1336" s="5">
        <f>IFERROR(VLOOKUP(C1336,Sheet2!$M$4:$N$12,2,0),0)</f>
        <v>4000</v>
      </c>
      <c r="K1336" s="5" t="str">
        <f t="shared" si="20"/>
        <v>within budget</v>
      </c>
    </row>
    <row r="1337" spans="1:11" x14ac:dyDescent="0.3">
      <c r="A1337" s="6">
        <v>45298</v>
      </c>
      <c r="B1337" s="5" t="s">
        <v>37</v>
      </c>
      <c r="C1337" s="5" t="s">
        <v>10</v>
      </c>
      <c r="D1337" s="5" t="s">
        <v>8</v>
      </c>
      <c r="E1337" s="5" t="s">
        <v>9</v>
      </c>
      <c r="F1337" s="5">
        <v>4242</v>
      </c>
      <c r="G1337" s="5" t="str">
        <f>VLOOKUP(C1337,Sheet2!$C$3:$D$12,2,0)</f>
        <v>Variable</v>
      </c>
      <c r="H1337" s="5" t="str">
        <f>IFERROR(VLOOKUP(E1337,Sheet2!$G$3:$H$8,2,0),"unkwon")</f>
        <v>online</v>
      </c>
      <c r="I1337" s="5">
        <f>VLOOKUP(B1337,Sheet2!$J$4:$K$15,2,0)</f>
        <v>1</v>
      </c>
      <c r="J1337" s="5">
        <f>IFERROR(VLOOKUP(C1337,Sheet2!$M$4:$N$12,2,0),0)</f>
        <v>5000</v>
      </c>
      <c r="K1337" s="5" t="str">
        <f t="shared" si="20"/>
        <v>within budget</v>
      </c>
    </row>
    <row r="1338" spans="1:11" x14ac:dyDescent="0.3">
      <c r="A1338" s="6">
        <v>44951</v>
      </c>
      <c r="B1338" s="5" t="s">
        <v>37</v>
      </c>
      <c r="C1338" s="5" t="s">
        <v>10</v>
      </c>
      <c r="D1338" s="5" t="s">
        <v>18</v>
      </c>
      <c r="E1338" s="5" t="s">
        <v>32</v>
      </c>
      <c r="F1338" s="5">
        <v>4771</v>
      </c>
      <c r="G1338" s="5" t="str">
        <f>VLOOKUP(C1338,Sheet2!$C$3:$D$12,2,0)</f>
        <v>Variable</v>
      </c>
      <c r="H1338" s="5" t="str">
        <f>IFERROR(VLOOKUP(E1338,Sheet2!$G$3:$H$8,2,0),"unkwon")</f>
        <v>offline</v>
      </c>
      <c r="I1338" s="5">
        <f>VLOOKUP(B1338,Sheet2!$J$4:$K$15,2,0)</f>
        <v>1</v>
      </c>
      <c r="J1338" s="5">
        <f>IFERROR(VLOOKUP(C1338,Sheet2!$M$4:$N$12,2,0),0)</f>
        <v>5000</v>
      </c>
      <c r="K1338" s="5" t="str">
        <f t="shared" si="20"/>
        <v>within budget</v>
      </c>
    </row>
    <row r="1339" spans="1:11" x14ac:dyDescent="0.3">
      <c r="A1339" s="6">
        <v>45382</v>
      </c>
      <c r="B1339" s="5" t="s">
        <v>19</v>
      </c>
      <c r="C1339" s="5" t="s">
        <v>10</v>
      </c>
      <c r="D1339" s="5" t="s">
        <v>24</v>
      </c>
      <c r="E1339" s="5" t="s">
        <v>9</v>
      </c>
      <c r="F1339" s="5">
        <v>308</v>
      </c>
      <c r="G1339" s="5" t="str">
        <f>VLOOKUP(C1339,Sheet2!$C$3:$D$12,2,0)</f>
        <v>Variable</v>
      </c>
      <c r="H1339" s="5" t="str">
        <f>IFERROR(VLOOKUP(E1339,Sheet2!$G$3:$H$8,2,0),"unkwon")</f>
        <v>online</v>
      </c>
      <c r="I1339" s="5">
        <f>VLOOKUP(B1339,Sheet2!$J$4:$K$15,2,0)</f>
        <v>3</v>
      </c>
      <c r="J1339" s="5">
        <f>IFERROR(VLOOKUP(C1339,Sheet2!$M$4:$N$12,2,0),0)</f>
        <v>5000</v>
      </c>
      <c r="K1339" s="5" t="str">
        <f t="shared" si="20"/>
        <v>within budget</v>
      </c>
    </row>
    <row r="1340" spans="1:11" x14ac:dyDescent="0.3">
      <c r="A1340" s="6">
        <v>45606</v>
      </c>
      <c r="B1340" s="5" t="s">
        <v>40</v>
      </c>
      <c r="C1340" s="5" t="s">
        <v>30</v>
      </c>
      <c r="D1340" s="5" t="s">
        <v>34</v>
      </c>
      <c r="E1340" s="5" t="s">
        <v>15</v>
      </c>
      <c r="F1340" s="5">
        <v>4687</v>
      </c>
      <c r="G1340" s="5" t="str">
        <f>VLOOKUP(C1340,Sheet2!$C$3:$D$12,2,0)</f>
        <v>Fixed</v>
      </c>
      <c r="H1340" s="5" t="str">
        <f>IFERROR(VLOOKUP(E1340,Sheet2!$G$3:$H$8,2,0),"unkwon")</f>
        <v>online</v>
      </c>
      <c r="I1340" s="5">
        <f>VLOOKUP(B1340,Sheet2!$J$4:$K$15,2,0)</f>
        <v>11</v>
      </c>
      <c r="J1340" s="5">
        <f>IFERROR(VLOOKUP(C1340,Sheet2!$M$4:$N$12,2,0),0)</f>
        <v>3000</v>
      </c>
      <c r="K1340" s="5" t="str">
        <f t="shared" si="20"/>
        <v>over budget</v>
      </c>
    </row>
    <row r="1341" spans="1:11" x14ac:dyDescent="0.3">
      <c r="A1341" s="6">
        <v>45410</v>
      </c>
      <c r="B1341" s="5" t="s">
        <v>29</v>
      </c>
      <c r="C1341" s="5" t="s">
        <v>13</v>
      </c>
      <c r="D1341" s="5" t="s">
        <v>31</v>
      </c>
      <c r="E1341" s="5" t="s">
        <v>12</v>
      </c>
      <c r="F1341" s="5">
        <v>2102</v>
      </c>
      <c r="G1341" s="5" t="str">
        <f>VLOOKUP(C1341,Sheet2!$C$3:$D$12,2,0)</f>
        <v>Variable</v>
      </c>
      <c r="H1341" s="5" t="str">
        <f>IFERROR(VLOOKUP(E1341,Sheet2!$G$3:$H$8,2,0),"unkwon")</f>
        <v>online</v>
      </c>
      <c r="I1341" s="5">
        <f>VLOOKUP(B1341,Sheet2!$J$4:$K$15,2,0)</f>
        <v>4</v>
      </c>
      <c r="J1341" s="5">
        <f>IFERROR(VLOOKUP(C1341,Sheet2!$M$4:$N$12,2,0),0)</f>
        <v>5000</v>
      </c>
      <c r="K1341" s="5" t="str">
        <f t="shared" si="20"/>
        <v>within budget</v>
      </c>
    </row>
    <row r="1342" spans="1:11" x14ac:dyDescent="0.3">
      <c r="A1342" s="6">
        <v>45616</v>
      </c>
      <c r="B1342" s="5" t="s">
        <v>40</v>
      </c>
      <c r="C1342" s="5" t="s">
        <v>27</v>
      </c>
      <c r="D1342" s="5" t="s">
        <v>8</v>
      </c>
      <c r="E1342" s="5" t="s">
        <v>15</v>
      </c>
      <c r="F1342" s="5">
        <v>4490</v>
      </c>
      <c r="G1342" s="5" t="str">
        <f>VLOOKUP(C1342,Sheet2!$C$3:$D$12,2,0)</f>
        <v>Variable</v>
      </c>
      <c r="H1342" s="5" t="str">
        <f>IFERROR(VLOOKUP(E1342,Sheet2!$G$3:$H$8,2,0),"unkwon")</f>
        <v>online</v>
      </c>
      <c r="I1342" s="5">
        <f>VLOOKUP(B1342,Sheet2!$J$4:$K$15,2,0)</f>
        <v>11</v>
      </c>
      <c r="J1342" s="5">
        <f>IFERROR(VLOOKUP(C1342,Sheet2!$M$4:$N$12,2,0),0)</f>
        <v>4000</v>
      </c>
      <c r="K1342" s="5" t="str">
        <f t="shared" si="20"/>
        <v>over budget</v>
      </c>
    </row>
    <row r="1343" spans="1:11" x14ac:dyDescent="0.3">
      <c r="A1343" s="6">
        <v>45597</v>
      </c>
      <c r="B1343" s="5" t="s">
        <v>40</v>
      </c>
      <c r="C1343" s="5" t="s">
        <v>30</v>
      </c>
      <c r="D1343" s="5" t="s">
        <v>18</v>
      </c>
      <c r="E1343" s="5" t="s">
        <v>17</v>
      </c>
      <c r="F1343" s="5">
        <v>3477</v>
      </c>
      <c r="G1343" s="5" t="str">
        <f>VLOOKUP(C1343,Sheet2!$C$3:$D$12,2,0)</f>
        <v>Fixed</v>
      </c>
      <c r="H1343" s="5" t="str">
        <f>IFERROR(VLOOKUP(E1343,Sheet2!$G$3:$H$8,2,0),"unkwon")</f>
        <v>online</v>
      </c>
      <c r="I1343" s="5">
        <f>VLOOKUP(B1343,Sheet2!$J$4:$K$15,2,0)</f>
        <v>11</v>
      </c>
      <c r="J1343" s="5">
        <f>IFERROR(VLOOKUP(C1343,Sheet2!$M$4:$N$12,2,0),0)</f>
        <v>3000</v>
      </c>
      <c r="K1343" s="5" t="str">
        <f t="shared" si="20"/>
        <v>over budget</v>
      </c>
    </row>
    <row r="1344" spans="1:11" x14ac:dyDescent="0.3">
      <c r="A1344" s="6">
        <v>45158</v>
      </c>
      <c r="B1344" s="5" t="s">
        <v>25</v>
      </c>
      <c r="C1344" s="5" t="s">
        <v>35</v>
      </c>
      <c r="D1344" s="5" t="s">
        <v>34</v>
      </c>
      <c r="E1344" s="5" t="s">
        <v>17</v>
      </c>
      <c r="F1344" s="5">
        <v>944</v>
      </c>
      <c r="G1344" s="5" t="str">
        <f>VLOOKUP(C1344,Sheet2!$C$3:$D$12,2,0)</f>
        <v>Fixed</v>
      </c>
      <c r="H1344" s="5" t="str">
        <f>IFERROR(VLOOKUP(E1344,Sheet2!$G$3:$H$8,2,0),"unkwon")</f>
        <v>online</v>
      </c>
      <c r="I1344" s="5">
        <f>VLOOKUP(B1344,Sheet2!$J$4:$K$15,2,0)</f>
        <v>8</v>
      </c>
      <c r="J1344" s="5">
        <f>IFERROR(VLOOKUP(C1344,Sheet2!$M$4:$N$12,2,0),0)</f>
        <v>5500</v>
      </c>
      <c r="K1344" s="5" t="str">
        <f t="shared" si="20"/>
        <v>within budget</v>
      </c>
    </row>
    <row r="1345" spans="1:11" x14ac:dyDescent="0.3">
      <c r="A1345" s="6">
        <v>45644</v>
      </c>
      <c r="B1345" s="5" t="s">
        <v>16</v>
      </c>
      <c r="C1345" s="5" t="s">
        <v>36</v>
      </c>
      <c r="D1345" s="5" t="s">
        <v>31</v>
      </c>
      <c r="E1345" s="5" t="s">
        <v>32</v>
      </c>
      <c r="F1345" s="5">
        <v>2101</v>
      </c>
      <c r="G1345" s="5" t="str">
        <f>VLOOKUP(C1345,Sheet2!$C$3:$D$12,2,0)</f>
        <v>Variable</v>
      </c>
      <c r="H1345" s="5" t="str">
        <f>IFERROR(VLOOKUP(E1345,Sheet2!$G$3:$H$8,2,0),"unkwon")</f>
        <v>offline</v>
      </c>
      <c r="I1345" s="5">
        <f>VLOOKUP(B1345,Sheet2!$J$4:$K$15,2,0)</f>
        <v>12</v>
      </c>
      <c r="J1345" s="5">
        <f>IFERROR(VLOOKUP(C1345,Sheet2!$M$4:$N$12,2,0),0)</f>
        <v>10000</v>
      </c>
      <c r="K1345" s="5" t="str">
        <f t="shared" si="20"/>
        <v>within budget</v>
      </c>
    </row>
    <row r="1346" spans="1:11" x14ac:dyDescent="0.3">
      <c r="A1346" s="6">
        <v>45252</v>
      </c>
      <c r="B1346" s="5" t="s">
        <v>40</v>
      </c>
      <c r="C1346" s="5" t="s">
        <v>27</v>
      </c>
      <c r="D1346" s="5" t="s">
        <v>18</v>
      </c>
      <c r="E1346" s="5" t="s">
        <v>9</v>
      </c>
      <c r="F1346" s="5">
        <v>2510</v>
      </c>
      <c r="G1346" s="5" t="str">
        <f>VLOOKUP(C1346,Sheet2!$C$3:$D$12,2,0)</f>
        <v>Variable</v>
      </c>
      <c r="H1346" s="5" t="str">
        <f>IFERROR(VLOOKUP(E1346,Sheet2!$G$3:$H$8,2,0),"unkwon")</f>
        <v>online</v>
      </c>
      <c r="I1346" s="5">
        <f>VLOOKUP(B1346,Sheet2!$J$4:$K$15,2,0)</f>
        <v>11</v>
      </c>
      <c r="J1346" s="5">
        <f>IFERROR(VLOOKUP(C1346,Sheet2!$M$4:$N$12,2,0),0)</f>
        <v>4000</v>
      </c>
      <c r="K1346" s="5" t="str">
        <f t="shared" si="20"/>
        <v>within budget</v>
      </c>
    </row>
    <row r="1347" spans="1:11" x14ac:dyDescent="0.3">
      <c r="A1347" s="6">
        <v>44935</v>
      </c>
      <c r="B1347" s="5" t="s">
        <v>37</v>
      </c>
      <c r="C1347" s="5" t="s">
        <v>36</v>
      </c>
      <c r="D1347" s="5" t="s">
        <v>23</v>
      </c>
      <c r="E1347" s="5" t="s">
        <v>15</v>
      </c>
      <c r="F1347" s="5">
        <v>396</v>
      </c>
      <c r="G1347" s="5" t="str">
        <f>VLOOKUP(C1347,Sheet2!$C$3:$D$12,2,0)</f>
        <v>Variable</v>
      </c>
      <c r="H1347" s="5" t="str">
        <f>IFERROR(VLOOKUP(E1347,Sheet2!$G$3:$H$8,2,0),"unkwon")</f>
        <v>online</v>
      </c>
      <c r="I1347" s="5">
        <f>VLOOKUP(B1347,Sheet2!$J$4:$K$15,2,0)</f>
        <v>1</v>
      </c>
      <c r="J1347" s="5">
        <f>IFERROR(VLOOKUP(C1347,Sheet2!$M$4:$N$12,2,0),0)</f>
        <v>10000</v>
      </c>
      <c r="K1347" s="5" t="str">
        <f t="shared" ref="K1347:K1410" si="21">IF(F1347&gt;J1347,"over budget","within budget")</f>
        <v>within budget</v>
      </c>
    </row>
    <row r="1348" spans="1:11" x14ac:dyDescent="0.3">
      <c r="A1348" s="6">
        <v>45158</v>
      </c>
      <c r="B1348" s="5" t="s">
        <v>25</v>
      </c>
      <c r="C1348" s="5" t="s">
        <v>30</v>
      </c>
      <c r="D1348" s="5" t="s">
        <v>26</v>
      </c>
      <c r="E1348" s="5" t="s">
        <v>15</v>
      </c>
      <c r="F1348" s="5">
        <v>2404</v>
      </c>
      <c r="G1348" s="5" t="str">
        <f>VLOOKUP(C1348,Sheet2!$C$3:$D$12,2,0)</f>
        <v>Fixed</v>
      </c>
      <c r="H1348" s="5" t="str">
        <f>IFERROR(VLOOKUP(E1348,Sheet2!$G$3:$H$8,2,0),"unkwon")</f>
        <v>online</v>
      </c>
      <c r="I1348" s="5">
        <f>VLOOKUP(B1348,Sheet2!$J$4:$K$15,2,0)</f>
        <v>8</v>
      </c>
      <c r="J1348" s="5">
        <f>IFERROR(VLOOKUP(C1348,Sheet2!$M$4:$N$12,2,0),0)</f>
        <v>3000</v>
      </c>
      <c r="K1348" s="5" t="str">
        <f t="shared" si="21"/>
        <v>within budget</v>
      </c>
    </row>
    <row r="1349" spans="1:11" x14ac:dyDescent="0.3">
      <c r="A1349" s="6">
        <v>45013</v>
      </c>
      <c r="B1349" s="5" t="s">
        <v>19</v>
      </c>
      <c r="C1349" s="5" t="s">
        <v>30</v>
      </c>
      <c r="D1349" s="5" t="s">
        <v>26</v>
      </c>
      <c r="E1349" s="5" t="s">
        <v>32</v>
      </c>
      <c r="F1349" s="5">
        <v>1026</v>
      </c>
      <c r="G1349" s="5" t="str">
        <f>VLOOKUP(C1349,Sheet2!$C$3:$D$12,2,0)</f>
        <v>Fixed</v>
      </c>
      <c r="H1349" s="5" t="str">
        <f>IFERROR(VLOOKUP(E1349,Sheet2!$G$3:$H$8,2,0),"unkwon")</f>
        <v>offline</v>
      </c>
      <c r="I1349" s="5">
        <f>VLOOKUP(B1349,Sheet2!$J$4:$K$15,2,0)</f>
        <v>3</v>
      </c>
      <c r="J1349" s="5">
        <f>IFERROR(VLOOKUP(C1349,Sheet2!$M$4:$N$12,2,0),0)</f>
        <v>3000</v>
      </c>
      <c r="K1349" s="5" t="str">
        <f t="shared" si="21"/>
        <v>within budget</v>
      </c>
    </row>
    <row r="1350" spans="1:11" x14ac:dyDescent="0.3">
      <c r="A1350" s="6">
        <v>45625</v>
      </c>
      <c r="B1350" s="5" t="s">
        <v>40</v>
      </c>
      <c r="C1350" s="5" t="s">
        <v>10</v>
      </c>
      <c r="D1350" s="5" t="s">
        <v>14</v>
      </c>
      <c r="E1350" s="5" t="s">
        <v>17</v>
      </c>
      <c r="F1350" s="5">
        <v>2110</v>
      </c>
      <c r="G1350" s="5" t="str">
        <f>VLOOKUP(C1350,Sheet2!$C$3:$D$12,2,0)</f>
        <v>Variable</v>
      </c>
      <c r="H1350" s="5" t="str">
        <f>IFERROR(VLOOKUP(E1350,Sheet2!$G$3:$H$8,2,0),"unkwon")</f>
        <v>online</v>
      </c>
      <c r="I1350" s="5">
        <f>VLOOKUP(B1350,Sheet2!$J$4:$K$15,2,0)</f>
        <v>11</v>
      </c>
      <c r="J1350" s="5">
        <f>IFERROR(VLOOKUP(C1350,Sheet2!$M$4:$N$12,2,0),0)</f>
        <v>5000</v>
      </c>
      <c r="K1350" s="5" t="str">
        <f t="shared" si="21"/>
        <v>within budget</v>
      </c>
    </row>
    <row r="1351" spans="1:11" x14ac:dyDescent="0.3">
      <c r="A1351" s="6">
        <v>45042</v>
      </c>
      <c r="B1351" s="5" t="s">
        <v>29</v>
      </c>
      <c r="C1351" s="5" t="s">
        <v>22</v>
      </c>
      <c r="D1351" s="5" t="s">
        <v>14</v>
      </c>
      <c r="E1351" s="5" t="s">
        <v>15</v>
      </c>
      <c r="F1351" s="5">
        <v>1777</v>
      </c>
      <c r="G1351" s="5" t="str">
        <f>VLOOKUP(C1351,Sheet2!$C$3:$D$12,2,0)</f>
        <v>Variable</v>
      </c>
      <c r="H1351" s="5" t="str">
        <f>IFERROR(VLOOKUP(E1351,Sheet2!$G$3:$H$8,2,0),"unkwon")</f>
        <v>online</v>
      </c>
      <c r="I1351" s="5">
        <f>VLOOKUP(B1351,Sheet2!$J$4:$K$15,2,0)</f>
        <v>4</v>
      </c>
      <c r="J1351" s="5">
        <f>IFERROR(VLOOKUP(C1351,Sheet2!$M$4:$N$12,2,0),0)</f>
        <v>1000</v>
      </c>
      <c r="K1351" s="5" t="str">
        <f t="shared" si="21"/>
        <v>over budget</v>
      </c>
    </row>
    <row r="1352" spans="1:11" x14ac:dyDescent="0.3">
      <c r="A1352" s="6">
        <v>45247</v>
      </c>
      <c r="B1352" s="5" t="s">
        <v>40</v>
      </c>
      <c r="C1352" s="5" t="s">
        <v>30</v>
      </c>
      <c r="D1352" s="5" t="s">
        <v>24</v>
      </c>
      <c r="E1352" s="5" t="s">
        <v>15</v>
      </c>
      <c r="F1352" s="5">
        <v>325</v>
      </c>
      <c r="G1352" s="5" t="str">
        <f>VLOOKUP(C1352,Sheet2!$C$3:$D$12,2,0)</f>
        <v>Fixed</v>
      </c>
      <c r="H1352" s="5" t="str">
        <f>IFERROR(VLOOKUP(E1352,Sheet2!$G$3:$H$8,2,0),"unkwon")</f>
        <v>online</v>
      </c>
      <c r="I1352" s="5">
        <f>VLOOKUP(B1352,Sheet2!$J$4:$K$15,2,0)</f>
        <v>11</v>
      </c>
      <c r="J1352" s="5">
        <f>IFERROR(VLOOKUP(C1352,Sheet2!$M$4:$N$12,2,0),0)</f>
        <v>3000</v>
      </c>
      <c r="K1352" s="5" t="str">
        <f t="shared" si="21"/>
        <v>within budget</v>
      </c>
    </row>
    <row r="1353" spans="1:11" x14ac:dyDescent="0.3">
      <c r="A1353" s="6">
        <v>45348</v>
      </c>
      <c r="B1353" s="5" t="s">
        <v>33</v>
      </c>
      <c r="C1353" s="5" t="s">
        <v>30</v>
      </c>
      <c r="D1353" s="5" t="s">
        <v>26</v>
      </c>
      <c r="E1353" s="5" t="s">
        <v>32</v>
      </c>
      <c r="F1353" s="5">
        <v>800</v>
      </c>
      <c r="G1353" s="5" t="str">
        <f>VLOOKUP(C1353,Sheet2!$C$3:$D$12,2,0)</f>
        <v>Fixed</v>
      </c>
      <c r="H1353" s="5" t="str">
        <f>IFERROR(VLOOKUP(E1353,Sheet2!$G$3:$H$8,2,0),"unkwon")</f>
        <v>offline</v>
      </c>
      <c r="I1353" s="5">
        <f>VLOOKUP(B1353,Sheet2!$J$4:$K$15,2,0)</f>
        <v>2</v>
      </c>
      <c r="J1353" s="5">
        <f>IFERROR(VLOOKUP(C1353,Sheet2!$M$4:$N$12,2,0),0)</f>
        <v>3000</v>
      </c>
      <c r="K1353" s="5" t="str">
        <f t="shared" si="21"/>
        <v>within budget</v>
      </c>
    </row>
    <row r="1354" spans="1:11" x14ac:dyDescent="0.3">
      <c r="A1354" s="6">
        <v>45540</v>
      </c>
      <c r="B1354" s="5" t="s">
        <v>38</v>
      </c>
      <c r="C1354" s="5" t="s">
        <v>13</v>
      </c>
      <c r="D1354" s="5" t="s">
        <v>31</v>
      </c>
      <c r="E1354" s="5" t="s">
        <v>9</v>
      </c>
      <c r="F1354" s="5">
        <v>4390</v>
      </c>
      <c r="G1354" s="5" t="str">
        <f>VLOOKUP(C1354,Sheet2!$C$3:$D$12,2,0)</f>
        <v>Variable</v>
      </c>
      <c r="H1354" s="5" t="str">
        <f>IFERROR(VLOOKUP(E1354,Sheet2!$G$3:$H$8,2,0),"unkwon")</f>
        <v>online</v>
      </c>
      <c r="I1354" s="5">
        <f>VLOOKUP(B1354,Sheet2!$J$4:$K$15,2,0)</f>
        <v>9</v>
      </c>
      <c r="J1354" s="5">
        <f>IFERROR(VLOOKUP(C1354,Sheet2!$M$4:$N$12,2,0),0)</f>
        <v>5000</v>
      </c>
      <c r="K1354" s="5" t="str">
        <f t="shared" si="21"/>
        <v>within budget</v>
      </c>
    </row>
    <row r="1355" spans="1:11" x14ac:dyDescent="0.3">
      <c r="A1355" s="6">
        <v>44934</v>
      </c>
      <c r="B1355" s="5" t="s">
        <v>37</v>
      </c>
      <c r="C1355" s="5" t="s">
        <v>41</v>
      </c>
      <c r="D1355" s="5" t="s">
        <v>20</v>
      </c>
      <c r="E1355" s="5" t="s">
        <v>15</v>
      </c>
      <c r="F1355" s="5">
        <v>3345</v>
      </c>
      <c r="G1355" s="5" t="str">
        <f>VLOOKUP(C1355,Sheet2!$C$3:$D$12,2,0)</f>
        <v>Variable</v>
      </c>
      <c r="H1355" s="5" t="str">
        <f>IFERROR(VLOOKUP(E1355,Sheet2!$G$3:$H$8,2,0),"unkwon")</f>
        <v>online</v>
      </c>
      <c r="I1355" s="5">
        <f>VLOOKUP(B1355,Sheet2!$J$4:$K$15,2,0)</f>
        <v>1</v>
      </c>
      <c r="J1355" s="5">
        <f>IFERROR(VLOOKUP(C1355,Sheet2!$M$4:$N$12,2,0),0)</f>
        <v>7000</v>
      </c>
      <c r="K1355" s="5" t="str">
        <f t="shared" si="21"/>
        <v>within budget</v>
      </c>
    </row>
    <row r="1356" spans="1:11" x14ac:dyDescent="0.3">
      <c r="A1356" s="6">
        <v>44996</v>
      </c>
      <c r="B1356" s="5" t="s">
        <v>19</v>
      </c>
      <c r="C1356" s="5" t="s">
        <v>30</v>
      </c>
      <c r="D1356" s="5" t="s">
        <v>26</v>
      </c>
      <c r="E1356" s="5" t="s">
        <v>17</v>
      </c>
      <c r="F1356" s="5">
        <v>3078</v>
      </c>
      <c r="G1356" s="5" t="str">
        <f>VLOOKUP(C1356,Sheet2!$C$3:$D$12,2,0)</f>
        <v>Fixed</v>
      </c>
      <c r="H1356" s="5" t="str">
        <f>IFERROR(VLOOKUP(E1356,Sheet2!$G$3:$H$8,2,0),"unkwon")</f>
        <v>online</v>
      </c>
      <c r="I1356" s="5">
        <f>VLOOKUP(B1356,Sheet2!$J$4:$K$15,2,0)</f>
        <v>3</v>
      </c>
      <c r="J1356" s="5">
        <f>IFERROR(VLOOKUP(C1356,Sheet2!$M$4:$N$12,2,0),0)</f>
        <v>3000</v>
      </c>
      <c r="K1356" s="5" t="str">
        <f t="shared" si="21"/>
        <v>over budget</v>
      </c>
    </row>
    <row r="1357" spans="1:11" x14ac:dyDescent="0.3">
      <c r="A1357" s="6">
        <v>45600</v>
      </c>
      <c r="B1357" s="5" t="s">
        <v>40</v>
      </c>
      <c r="C1357" s="5" t="s">
        <v>7</v>
      </c>
      <c r="D1357" s="5" t="s">
        <v>23</v>
      </c>
      <c r="E1357" s="5" t="s">
        <v>9</v>
      </c>
      <c r="F1357" s="5">
        <v>1210</v>
      </c>
      <c r="G1357" s="5" t="str">
        <f>VLOOKUP(C1357,Sheet2!$C$3:$D$12,2,0)</f>
        <v>Fixed</v>
      </c>
      <c r="H1357" s="5" t="str">
        <f>IFERROR(VLOOKUP(E1357,Sheet2!$G$3:$H$8,2,0),"unkwon")</f>
        <v>online</v>
      </c>
      <c r="I1357" s="5">
        <f>VLOOKUP(B1357,Sheet2!$J$4:$K$15,2,0)</f>
        <v>11</v>
      </c>
      <c r="J1357" s="5">
        <f>IFERROR(VLOOKUP(C1357,Sheet2!$M$4:$N$12,2,0),0)</f>
        <v>2000</v>
      </c>
      <c r="K1357" s="5" t="str">
        <f t="shared" si="21"/>
        <v>within budget</v>
      </c>
    </row>
    <row r="1358" spans="1:11" x14ac:dyDescent="0.3">
      <c r="A1358" s="6">
        <v>44962</v>
      </c>
      <c r="B1358" s="5" t="s">
        <v>33</v>
      </c>
      <c r="C1358" s="5" t="s">
        <v>10</v>
      </c>
      <c r="D1358" s="5" t="s">
        <v>23</v>
      </c>
      <c r="E1358" s="5" t="s">
        <v>15</v>
      </c>
      <c r="F1358" s="5">
        <v>1476</v>
      </c>
      <c r="G1358" s="5" t="str">
        <f>VLOOKUP(C1358,Sheet2!$C$3:$D$12,2,0)</f>
        <v>Variable</v>
      </c>
      <c r="H1358" s="5" t="str">
        <f>IFERROR(VLOOKUP(E1358,Sheet2!$G$3:$H$8,2,0),"unkwon")</f>
        <v>online</v>
      </c>
      <c r="I1358" s="5">
        <f>VLOOKUP(B1358,Sheet2!$J$4:$K$15,2,0)</f>
        <v>2</v>
      </c>
      <c r="J1358" s="5">
        <f>IFERROR(VLOOKUP(C1358,Sheet2!$M$4:$N$12,2,0),0)</f>
        <v>5000</v>
      </c>
      <c r="K1358" s="5" t="str">
        <f t="shared" si="21"/>
        <v>within budget</v>
      </c>
    </row>
    <row r="1359" spans="1:11" x14ac:dyDescent="0.3">
      <c r="A1359" s="6">
        <v>45081</v>
      </c>
      <c r="B1359" s="5" t="s">
        <v>39</v>
      </c>
      <c r="C1359" s="5" t="s">
        <v>27</v>
      </c>
      <c r="D1359" s="5" t="s">
        <v>18</v>
      </c>
      <c r="E1359" s="5" t="s">
        <v>32</v>
      </c>
      <c r="F1359" s="5">
        <v>2241</v>
      </c>
      <c r="G1359" s="5" t="str">
        <f>VLOOKUP(C1359,Sheet2!$C$3:$D$12,2,0)</f>
        <v>Variable</v>
      </c>
      <c r="H1359" s="5" t="str">
        <f>IFERROR(VLOOKUP(E1359,Sheet2!$G$3:$H$8,2,0),"unkwon")</f>
        <v>offline</v>
      </c>
      <c r="I1359" s="5">
        <f>VLOOKUP(B1359,Sheet2!$J$4:$K$15,2,0)</f>
        <v>6</v>
      </c>
      <c r="J1359" s="5">
        <f>IFERROR(VLOOKUP(C1359,Sheet2!$M$4:$N$12,2,0),0)</f>
        <v>4000</v>
      </c>
      <c r="K1359" s="5" t="str">
        <f t="shared" si="21"/>
        <v>within budget</v>
      </c>
    </row>
    <row r="1360" spans="1:11" x14ac:dyDescent="0.3">
      <c r="A1360" s="6">
        <v>45463</v>
      </c>
      <c r="B1360" s="5" t="s">
        <v>39</v>
      </c>
      <c r="C1360" s="5" t="s">
        <v>10</v>
      </c>
      <c r="D1360" s="5" t="s">
        <v>11</v>
      </c>
      <c r="E1360" s="5" t="s">
        <v>12</v>
      </c>
      <c r="F1360" s="5">
        <v>2149</v>
      </c>
      <c r="G1360" s="5" t="str">
        <f>VLOOKUP(C1360,Sheet2!$C$3:$D$12,2,0)</f>
        <v>Variable</v>
      </c>
      <c r="H1360" s="5" t="str">
        <f>IFERROR(VLOOKUP(E1360,Sheet2!$G$3:$H$8,2,0),"unkwon")</f>
        <v>online</v>
      </c>
      <c r="I1360" s="5">
        <f>VLOOKUP(B1360,Sheet2!$J$4:$K$15,2,0)</f>
        <v>6</v>
      </c>
      <c r="J1360" s="5">
        <f>IFERROR(VLOOKUP(C1360,Sheet2!$M$4:$N$12,2,0),0)</f>
        <v>5000</v>
      </c>
      <c r="K1360" s="5" t="str">
        <f t="shared" si="21"/>
        <v>within budget</v>
      </c>
    </row>
    <row r="1361" spans="1:11" x14ac:dyDescent="0.3">
      <c r="A1361" s="6">
        <v>45059</v>
      </c>
      <c r="B1361" s="5" t="s">
        <v>28</v>
      </c>
      <c r="C1361" s="5" t="s">
        <v>41</v>
      </c>
      <c r="D1361" s="5" t="s">
        <v>8</v>
      </c>
      <c r="E1361" s="5" t="s">
        <v>15</v>
      </c>
      <c r="F1361" s="5">
        <v>4738</v>
      </c>
      <c r="G1361" s="5" t="str">
        <f>VLOOKUP(C1361,Sheet2!$C$3:$D$12,2,0)</f>
        <v>Variable</v>
      </c>
      <c r="H1361" s="5" t="str">
        <f>IFERROR(VLOOKUP(E1361,Sheet2!$G$3:$H$8,2,0),"unkwon")</f>
        <v>online</v>
      </c>
      <c r="I1361" s="5">
        <f>VLOOKUP(B1361,Sheet2!$J$4:$K$15,2,0)</f>
        <v>5</v>
      </c>
      <c r="J1361" s="5">
        <f>IFERROR(VLOOKUP(C1361,Sheet2!$M$4:$N$12,2,0),0)</f>
        <v>7000</v>
      </c>
      <c r="K1361" s="5" t="str">
        <f t="shared" si="21"/>
        <v>within budget</v>
      </c>
    </row>
    <row r="1362" spans="1:11" x14ac:dyDescent="0.3">
      <c r="A1362" s="6">
        <v>45507</v>
      </c>
      <c r="B1362" s="5" t="s">
        <v>25</v>
      </c>
      <c r="C1362" s="5" t="s">
        <v>36</v>
      </c>
      <c r="D1362" s="5" t="s">
        <v>31</v>
      </c>
      <c r="E1362" s="5" t="s">
        <v>12</v>
      </c>
      <c r="F1362" s="5">
        <v>1036</v>
      </c>
      <c r="G1362" s="5" t="str">
        <f>VLOOKUP(C1362,Sheet2!$C$3:$D$12,2,0)</f>
        <v>Variable</v>
      </c>
      <c r="H1362" s="5" t="str">
        <f>IFERROR(VLOOKUP(E1362,Sheet2!$G$3:$H$8,2,0),"unkwon")</f>
        <v>online</v>
      </c>
      <c r="I1362" s="5">
        <f>VLOOKUP(B1362,Sheet2!$J$4:$K$15,2,0)</f>
        <v>8</v>
      </c>
      <c r="J1362" s="5">
        <f>IFERROR(VLOOKUP(C1362,Sheet2!$M$4:$N$12,2,0),0)</f>
        <v>10000</v>
      </c>
      <c r="K1362" s="5" t="str">
        <f t="shared" si="21"/>
        <v>within budget</v>
      </c>
    </row>
    <row r="1363" spans="1:11" x14ac:dyDescent="0.3">
      <c r="A1363" s="6">
        <v>45188</v>
      </c>
      <c r="B1363" s="5" t="s">
        <v>38</v>
      </c>
      <c r="C1363" s="5" t="s">
        <v>7</v>
      </c>
      <c r="D1363" s="5" t="s">
        <v>11</v>
      </c>
      <c r="E1363" s="5" t="s">
        <v>15</v>
      </c>
      <c r="F1363" s="5">
        <v>3119</v>
      </c>
      <c r="G1363" s="5" t="str">
        <f>VLOOKUP(C1363,Sheet2!$C$3:$D$12,2,0)</f>
        <v>Fixed</v>
      </c>
      <c r="H1363" s="5" t="str">
        <f>IFERROR(VLOOKUP(E1363,Sheet2!$G$3:$H$8,2,0),"unkwon")</f>
        <v>online</v>
      </c>
      <c r="I1363" s="5">
        <f>VLOOKUP(B1363,Sheet2!$J$4:$K$15,2,0)</f>
        <v>9</v>
      </c>
      <c r="J1363" s="5">
        <f>IFERROR(VLOOKUP(C1363,Sheet2!$M$4:$N$12,2,0),0)</f>
        <v>2000</v>
      </c>
      <c r="K1363" s="5" t="str">
        <f t="shared" si="21"/>
        <v>over budget</v>
      </c>
    </row>
    <row r="1364" spans="1:11" x14ac:dyDescent="0.3">
      <c r="A1364" s="6">
        <v>45548</v>
      </c>
      <c r="B1364" s="5" t="s">
        <v>38</v>
      </c>
      <c r="C1364" s="5" t="s">
        <v>10</v>
      </c>
      <c r="D1364" s="5" t="s">
        <v>11</v>
      </c>
      <c r="E1364" s="5" t="s">
        <v>17</v>
      </c>
      <c r="F1364" s="5">
        <v>1597</v>
      </c>
      <c r="G1364" s="5" t="str">
        <f>VLOOKUP(C1364,Sheet2!$C$3:$D$12,2,0)</f>
        <v>Variable</v>
      </c>
      <c r="H1364" s="5" t="str">
        <f>IFERROR(VLOOKUP(E1364,Sheet2!$G$3:$H$8,2,0),"unkwon")</f>
        <v>online</v>
      </c>
      <c r="I1364" s="5">
        <f>VLOOKUP(B1364,Sheet2!$J$4:$K$15,2,0)</f>
        <v>9</v>
      </c>
      <c r="J1364" s="5">
        <f>IFERROR(VLOOKUP(C1364,Sheet2!$M$4:$N$12,2,0),0)</f>
        <v>5000</v>
      </c>
      <c r="K1364" s="5" t="str">
        <f t="shared" si="21"/>
        <v>within budget</v>
      </c>
    </row>
    <row r="1365" spans="1:11" x14ac:dyDescent="0.3">
      <c r="A1365" s="6">
        <v>45054</v>
      </c>
      <c r="B1365" s="5" t="s">
        <v>28</v>
      </c>
      <c r="C1365" s="5" t="s">
        <v>35</v>
      </c>
      <c r="D1365" s="5" t="s">
        <v>8</v>
      </c>
      <c r="E1365" s="5" t="s">
        <v>17</v>
      </c>
      <c r="F1365" s="5">
        <v>2458</v>
      </c>
      <c r="G1365" s="5" t="str">
        <f>VLOOKUP(C1365,Sheet2!$C$3:$D$12,2,0)</f>
        <v>Fixed</v>
      </c>
      <c r="H1365" s="5" t="str">
        <f>IFERROR(VLOOKUP(E1365,Sheet2!$G$3:$H$8,2,0),"unkwon")</f>
        <v>online</v>
      </c>
      <c r="I1365" s="5">
        <f>VLOOKUP(B1365,Sheet2!$J$4:$K$15,2,0)</f>
        <v>5</v>
      </c>
      <c r="J1365" s="5">
        <f>IFERROR(VLOOKUP(C1365,Sheet2!$M$4:$N$12,2,0),0)</f>
        <v>5500</v>
      </c>
      <c r="K1365" s="5" t="str">
        <f t="shared" si="21"/>
        <v>within budget</v>
      </c>
    </row>
    <row r="1366" spans="1:11" x14ac:dyDescent="0.3">
      <c r="A1366" s="6">
        <v>45170</v>
      </c>
      <c r="B1366" s="5" t="s">
        <v>38</v>
      </c>
      <c r="C1366" s="5" t="s">
        <v>30</v>
      </c>
      <c r="D1366" s="5" t="s">
        <v>20</v>
      </c>
      <c r="E1366" s="5" t="s">
        <v>17</v>
      </c>
      <c r="F1366" s="5">
        <v>1181</v>
      </c>
      <c r="G1366" s="5" t="str">
        <f>VLOOKUP(C1366,Sheet2!$C$3:$D$12,2,0)</f>
        <v>Fixed</v>
      </c>
      <c r="H1366" s="5" t="str">
        <f>IFERROR(VLOOKUP(E1366,Sheet2!$G$3:$H$8,2,0),"unkwon")</f>
        <v>online</v>
      </c>
      <c r="I1366" s="5">
        <f>VLOOKUP(B1366,Sheet2!$J$4:$K$15,2,0)</f>
        <v>9</v>
      </c>
      <c r="J1366" s="5">
        <f>IFERROR(VLOOKUP(C1366,Sheet2!$M$4:$N$12,2,0),0)</f>
        <v>3000</v>
      </c>
      <c r="K1366" s="5" t="str">
        <f t="shared" si="21"/>
        <v>within budget</v>
      </c>
    </row>
    <row r="1367" spans="1:11" x14ac:dyDescent="0.3">
      <c r="A1367" s="6">
        <v>45439</v>
      </c>
      <c r="B1367" s="5" t="s">
        <v>28</v>
      </c>
      <c r="C1367" s="5" t="s">
        <v>35</v>
      </c>
      <c r="D1367" s="5" t="s">
        <v>8</v>
      </c>
      <c r="E1367" s="5" t="s">
        <v>15</v>
      </c>
      <c r="F1367" s="5">
        <v>4783</v>
      </c>
      <c r="G1367" s="5" t="str">
        <f>VLOOKUP(C1367,Sheet2!$C$3:$D$12,2,0)</f>
        <v>Fixed</v>
      </c>
      <c r="H1367" s="5" t="str">
        <f>IFERROR(VLOOKUP(E1367,Sheet2!$G$3:$H$8,2,0),"unkwon")</f>
        <v>online</v>
      </c>
      <c r="I1367" s="5">
        <f>VLOOKUP(B1367,Sheet2!$J$4:$K$15,2,0)</f>
        <v>5</v>
      </c>
      <c r="J1367" s="5">
        <f>IFERROR(VLOOKUP(C1367,Sheet2!$M$4:$N$12,2,0),0)</f>
        <v>5500</v>
      </c>
      <c r="K1367" s="5" t="str">
        <f t="shared" si="21"/>
        <v>within budget</v>
      </c>
    </row>
    <row r="1368" spans="1:11" x14ac:dyDescent="0.3">
      <c r="A1368" s="6">
        <v>44986</v>
      </c>
      <c r="B1368" s="5" t="s">
        <v>19</v>
      </c>
      <c r="C1368" s="5" t="s">
        <v>35</v>
      </c>
      <c r="D1368" s="5" t="s">
        <v>26</v>
      </c>
      <c r="E1368" s="5" t="s">
        <v>32</v>
      </c>
      <c r="F1368" s="5">
        <v>4047</v>
      </c>
      <c r="G1368" s="5" t="str">
        <f>VLOOKUP(C1368,Sheet2!$C$3:$D$12,2,0)</f>
        <v>Fixed</v>
      </c>
      <c r="H1368" s="5" t="str">
        <f>IFERROR(VLOOKUP(E1368,Sheet2!$G$3:$H$8,2,0),"unkwon")</f>
        <v>offline</v>
      </c>
      <c r="I1368" s="5">
        <f>VLOOKUP(B1368,Sheet2!$J$4:$K$15,2,0)</f>
        <v>3</v>
      </c>
      <c r="J1368" s="5">
        <f>IFERROR(VLOOKUP(C1368,Sheet2!$M$4:$N$12,2,0),0)</f>
        <v>5500</v>
      </c>
      <c r="K1368" s="5" t="str">
        <f t="shared" si="21"/>
        <v>within budget</v>
      </c>
    </row>
    <row r="1369" spans="1:11" x14ac:dyDescent="0.3">
      <c r="A1369" s="6">
        <v>45224</v>
      </c>
      <c r="B1369" s="5" t="s">
        <v>6</v>
      </c>
      <c r="C1369" s="5" t="s">
        <v>35</v>
      </c>
      <c r="D1369" s="5" t="s">
        <v>8</v>
      </c>
      <c r="E1369" s="5" t="s">
        <v>17</v>
      </c>
      <c r="F1369" s="5">
        <v>4569</v>
      </c>
      <c r="G1369" s="5" t="str">
        <f>VLOOKUP(C1369,Sheet2!$C$3:$D$12,2,0)</f>
        <v>Fixed</v>
      </c>
      <c r="H1369" s="5" t="str">
        <f>IFERROR(VLOOKUP(E1369,Sheet2!$G$3:$H$8,2,0),"unkwon")</f>
        <v>online</v>
      </c>
      <c r="I1369" s="5">
        <f>VLOOKUP(B1369,Sheet2!$J$4:$K$15,2,0)</f>
        <v>10</v>
      </c>
      <c r="J1369" s="5">
        <f>IFERROR(VLOOKUP(C1369,Sheet2!$M$4:$N$12,2,0),0)</f>
        <v>5500</v>
      </c>
      <c r="K1369" s="5" t="str">
        <f t="shared" si="21"/>
        <v>within budget</v>
      </c>
    </row>
    <row r="1370" spans="1:11" x14ac:dyDescent="0.3">
      <c r="A1370" s="6">
        <v>45428</v>
      </c>
      <c r="B1370" s="5" t="s">
        <v>28</v>
      </c>
      <c r="C1370" s="5" t="s">
        <v>41</v>
      </c>
      <c r="D1370" s="5" t="s">
        <v>18</v>
      </c>
      <c r="E1370" s="5" t="s">
        <v>17</v>
      </c>
      <c r="F1370" s="5">
        <v>3695</v>
      </c>
      <c r="G1370" s="5" t="str">
        <f>VLOOKUP(C1370,Sheet2!$C$3:$D$12,2,0)</f>
        <v>Variable</v>
      </c>
      <c r="H1370" s="5" t="str">
        <f>IFERROR(VLOOKUP(E1370,Sheet2!$G$3:$H$8,2,0),"unkwon")</f>
        <v>online</v>
      </c>
      <c r="I1370" s="5">
        <f>VLOOKUP(B1370,Sheet2!$J$4:$K$15,2,0)</f>
        <v>5</v>
      </c>
      <c r="J1370" s="5">
        <f>IFERROR(VLOOKUP(C1370,Sheet2!$M$4:$N$12,2,0),0)</f>
        <v>7000</v>
      </c>
      <c r="K1370" s="5" t="str">
        <f t="shared" si="21"/>
        <v>within budget</v>
      </c>
    </row>
    <row r="1371" spans="1:11" x14ac:dyDescent="0.3">
      <c r="A1371" s="6">
        <v>45224</v>
      </c>
      <c r="B1371" s="5" t="s">
        <v>6</v>
      </c>
      <c r="C1371" s="5" t="s">
        <v>27</v>
      </c>
      <c r="D1371" s="5" t="s">
        <v>18</v>
      </c>
      <c r="E1371" s="5" t="s">
        <v>12</v>
      </c>
      <c r="F1371" s="5">
        <v>2035</v>
      </c>
      <c r="G1371" s="5" t="str">
        <f>VLOOKUP(C1371,Sheet2!$C$3:$D$12,2,0)</f>
        <v>Variable</v>
      </c>
      <c r="H1371" s="5" t="str">
        <f>IFERROR(VLOOKUP(E1371,Sheet2!$G$3:$H$8,2,0),"unkwon")</f>
        <v>online</v>
      </c>
      <c r="I1371" s="5">
        <f>VLOOKUP(B1371,Sheet2!$J$4:$K$15,2,0)</f>
        <v>10</v>
      </c>
      <c r="J1371" s="5">
        <f>IFERROR(VLOOKUP(C1371,Sheet2!$M$4:$N$12,2,0),0)</f>
        <v>4000</v>
      </c>
      <c r="K1371" s="5" t="str">
        <f t="shared" si="21"/>
        <v>within budget</v>
      </c>
    </row>
    <row r="1372" spans="1:11" x14ac:dyDescent="0.3">
      <c r="A1372" s="6">
        <v>45355</v>
      </c>
      <c r="B1372" s="5" t="s">
        <v>19</v>
      </c>
      <c r="C1372" s="5" t="s">
        <v>27</v>
      </c>
      <c r="D1372" s="5" t="s">
        <v>26</v>
      </c>
      <c r="E1372" s="5" t="s">
        <v>12</v>
      </c>
      <c r="F1372" s="5">
        <v>3066</v>
      </c>
      <c r="G1372" s="5" t="str">
        <f>VLOOKUP(C1372,Sheet2!$C$3:$D$12,2,0)</f>
        <v>Variable</v>
      </c>
      <c r="H1372" s="5" t="str">
        <f>IFERROR(VLOOKUP(E1372,Sheet2!$G$3:$H$8,2,0),"unkwon")</f>
        <v>online</v>
      </c>
      <c r="I1372" s="5">
        <f>VLOOKUP(B1372,Sheet2!$J$4:$K$15,2,0)</f>
        <v>3</v>
      </c>
      <c r="J1372" s="5">
        <f>IFERROR(VLOOKUP(C1372,Sheet2!$M$4:$N$12,2,0),0)</f>
        <v>4000</v>
      </c>
      <c r="K1372" s="5" t="str">
        <f t="shared" si="21"/>
        <v>within budget</v>
      </c>
    </row>
    <row r="1373" spans="1:11" x14ac:dyDescent="0.3">
      <c r="A1373" s="6">
        <v>45350</v>
      </c>
      <c r="B1373" s="5" t="s">
        <v>33</v>
      </c>
      <c r="C1373" s="5" t="s">
        <v>30</v>
      </c>
      <c r="D1373" s="5" t="s">
        <v>26</v>
      </c>
      <c r="E1373" s="5" t="s">
        <v>12</v>
      </c>
      <c r="F1373" s="5">
        <v>1652</v>
      </c>
      <c r="G1373" s="5" t="str">
        <f>VLOOKUP(C1373,Sheet2!$C$3:$D$12,2,0)</f>
        <v>Fixed</v>
      </c>
      <c r="H1373" s="5" t="str">
        <f>IFERROR(VLOOKUP(E1373,Sheet2!$G$3:$H$8,2,0),"unkwon")</f>
        <v>online</v>
      </c>
      <c r="I1373" s="5">
        <f>VLOOKUP(B1373,Sheet2!$J$4:$K$15,2,0)</f>
        <v>2</v>
      </c>
      <c r="J1373" s="5">
        <f>IFERROR(VLOOKUP(C1373,Sheet2!$M$4:$N$12,2,0),0)</f>
        <v>3000</v>
      </c>
      <c r="K1373" s="5" t="str">
        <f t="shared" si="21"/>
        <v>within budget</v>
      </c>
    </row>
    <row r="1374" spans="1:11" x14ac:dyDescent="0.3">
      <c r="A1374" s="6">
        <v>45102</v>
      </c>
      <c r="B1374" s="5" t="s">
        <v>39</v>
      </c>
      <c r="C1374" s="5" t="s">
        <v>10</v>
      </c>
      <c r="D1374" s="5" t="s">
        <v>20</v>
      </c>
      <c r="E1374" s="5" t="s">
        <v>32</v>
      </c>
      <c r="F1374" s="5">
        <v>1096</v>
      </c>
      <c r="G1374" s="5" t="str">
        <f>VLOOKUP(C1374,Sheet2!$C$3:$D$12,2,0)</f>
        <v>Variable</v>
      </c>
      <c r="H1374" s="5" t="str">
        <f>IFERROR(VLOOKUP(E1374,Sheet2!$G$3:$H$8,2,0),"unkwon")</f>
        <v>offline</v>
      </c>
      <c r="I1374" s="5">
        <f>VLOOKUP(B1374,Sheet2!$J$4:$K$15,2,0)</f>
        <v>6</v>
      </c>
      <c r="J1374" s="5">
        <f>IFERROR(VLOOKUP(C1374,Sheet2!$M$4:$N$12,2,0),0)</f>
        <v>5000</v>
      </c>
      <c r="K1374" s="5" t="str">
        <f t="shared" si="21"/>
        <v>within budget</v>
      </c>
    </row>
    <row r="1375" spans="1:11" x14ac:dyDescent="0.3">
      <c r="A1375" s="6">
        <v>45261</v>
      </c>
      <c r="B1375" s="5" t="s">
        <v>16</v>
      </c>
      <c r="C1375" s="5" t="s">
        <v>30</v>
      </c>
      <c r="D1375" s="5" t="s">
        <v>14</v>
      </c>
      <c r="E1375" s="5" t="s">
        <v>32</v>
      </c>
      <c r="F1375" s="5">
        <v>3724</v>
      </c>
      <c r="G1375" s="5" t="str">
        <f>VLOOKUP(C1375,Sheet2!$C$3:$D$12,2,0)</f>
        <v>Fixed</v>
      </c>
      <c r="H1375" s="5" t="str">
        <f>IFERROR(VLOOKUP(E1375,Sheet2!$G$3:$H$8,2,0),"unkwon")</f>
        <v>offline</v>
      </c>
      <c r="I1375" s="5">
        <f>VLOOKUP(B1375,Sheet2!$J$4:$K$15,2,0)</f>
        <v>12</v>
      </c>
      <c r="J1375" s="5">
        <f>IFERROR(VLOOKUP(C1375,Sheet2!$M$4:$N$12,2,0),0)</f>
        <v>3000</v>
      </c>
      <c r="K1375" s="5" t="str">
        <f t="shared" si="21"/>
        <v>over budget</v>
      </c>
    </row>
    <row r="1376" spans="1:11" x14ac:dyDescent="0.3">
      <c r="A1376" s="6">
        <v>45203</v>
      </c>
      <c r="B1376" s="5" t="s">
        <v>6</v>
      </c>
      <c r="C1376" s="5" t="s">
        <v>36</v>
      </c>
      <c r="D1376" s="5" t="s">
        <v>8</v>
      </c>
      <c r="E1376" s="5" t="s">
        <v>17</v>
      </c>
      <c r="F1376" s="5">
        <v>756</v>
      </c>
      <c r="G1376" s="5" t="str">
        <f>VLOOKUP(C1376,Sheet2!$C$3:$D$12,2,0)</f>
        <v>Variable</v>
      </c>
      <c r="H1376" s="5" t="str">
        <f>IFERROR(VLOOKUP(E1376,Sheet2!$G$3:$H$8,2,0),"unkwon")</f>
        <v>online</v>
      </c>
      <c r="I1376" s="5">
        <f>VLOOKUP(B1376,Sheet2!$J$4:$K$15,2,0)</f>
        <v>10</v>
      </c>
      <c r="J1376" s="5">
        <f>IFERROR(VLOOKUP(C1376,Sheet2!$M$4:$N$12,2,0),0)</f>
        <v>10000</v>
      </c>
      <c r="K1376" s="5" t="str">
        <f t="shared" si="21"/>
        <v>within budget</v>
      </c>
    </row>
    <row r="1377" spans="1:11" x14ac:dyDescent="0.3">
      <c r="A1377" s="6">
        <v>45567</v>
      </c>
      <c r="B1377" s="5" t="s">
        <v>6</v>
      </c>
      <c r="C1377" s="5" t="s">
        <v>13</v>
      </c>
      <c r="D1377" s="5" t="s">
        <v>11</v>
      </c>
      <c r="E1377" s="5" t="s">
        <v>15</v>
      </c>
      <c r="F1377" s="5">
        <v>4686</v>
      </c>
      <c r="G1377" s="5" t="str">
        <f>VLOOKUP(C1377,Sheet2!$C$3:$D$12,2,0)</f>
        <v>Variable</v>
      </c>
      <c r="H1377" s="5" t="str">
        <f>IFERROR(VLOOKUP(E1377,Sheet2!$G$3:$H$8,2,0),"unkwon")</f>
        <v>online</v>
      </c>
      <c r="I1377" s="5">
        <f>VLOOKUP(B1377,Sheet2!$J$4:$K$15,2,0)</f>
        <v>10</v>
      </c>
      <c r="J1377" s="5">
        <f>IFERROR(VLOOKUP(C1377,Sheet2!$M$4:$N$12,2,0),0)</f>
        <v>5000</v>
      </c>
      <c r="K1377" s="5" t="str">
        <f t="shared" si="21"/>
        <v>within budget</v>
      </c>
    </row>
    <row r="1378" spans="1:11" x14ac:dyDescent="0.3">
      <c r="A1378" s="6">
        <v>44994</v>
      </c>
      <c r="B1378" s="5" t="s">
        <v>19</v>
      </c>
      <c r="C1378" s="5" t="s">
        <v>10</v>
      </c>
      <c r="D1378" s="5" t="s">
        <v>31</v>
      </c>
      <c r="E1378" s="5" t="s">
        <v>12</v>
      </c>
      <c r="F1378" s="5">
        <v>313</v>
      </c>
      <c r="G1378" s="5" t="str">
        <f>VLOOKUP(C1378,Sheet2!$C$3:$D$12,2,0)</f>
        <v>Variable</v>
      </c>
      <c r="H1378" s="5" t="str">
        <f>IFERROR(VLOOKUP(E1378,Sheet2!$G$3:$H$8,2,0),"unkwon")</f>
        <v>online</v>
      </c>
      <c r="I1378" s="5">
        <f>VLOOKUP(B1378,Sheet2!$J$4:$K$15,2,0)</f>
        <v>3</v>
      </c>
      <c r="J1378" s="5">
        <f>IFERROR(VLOOKUP(C1378,Sheet2!$M$4:$N$12,2,0),0)</f>
        <v>5000</v>
      </c>
      <c r="K1378" s="5" t="str">
        <f t="shared" si="21"/>
        <v>within budget</v>
      </c>
    </row>
    <row r="1379" spans="1:11" x14ac:dyDescent="0.3">
      <c r="A1379" s="6">
        <v>45608</v>
      </c>
      <c r="B1379" s="5" t="s">
        <v>40</v>
      </c>
      <c r="C1379" s="5" t="s">
        <v>10</v>
      </c>
      <c r="D1379" s="5" t="s">
        <v>11</v>
      </c>
      <c r="E1379" s="5" t="s">
        <v>32</v>
      </c>
      <c r="F1379" s="5">
        <v>3595</v>
      </c>
      <c r="G1379" s="5" t="str">
        <f>VLOOKUP(C1379,Sheet2!$C$3:$D$12,2,0)</f>
        <v>Variable</v>
      </c>
      <c r="H1379" s="5" t="str">
        <f>IFERROR(VLOOKUP(E1379,Sheet2!$G$3:$H$8,2,0),"unkwon")</f>
        <v>offline</v>
      </c>
      <c r="I1379" s="5">
        <f>VLOOKUP(B1379,Sheet2!$J$4:$K$15,2,0)</f>
        <v>11</v>
      </c>
      <c r="J1379" s="5">
        <f>IFERROR(VLOOKUP(C1379,Sheet2!$M$4:$N$12,2,0),0)</f>
        <v>5000</v>
      </c>
      <c r="K1379" s="5" t="str">
        <f t="shared" si="21"/>
        <v>within budget</v>
      </c>
    </row>
    <row r="1380" spans="1:11" x14ac:dyDescent="0.3">
      <c r="A1380" s="6">
        <v>45240</v>
      </c>
      <c r="B1380" s="5" t="s">
        <v>40</v>
      </c>
      <c r="C1380" s="5" t="s">
        <v>10</v>
      </c>
      <c r="D1380" s="5" t="s">
        <v>23</v>
      </c>
      <c r="E1380" s="5" t="s">
        <v>12</v>
      </c>
      <c r="F1380" s="5">
        <v>1834</v>
      </c>
      <c r="G1380" s="5" t="str">
        <f>VLOOKUP(C1380,Sheet2!$C$3:$D$12,2,0)</f>
        <v>Variable</v>
      </c>
      <c r="H1380" s="5" t="str">
        <f>IFERROR(VLOOKUP(E1380,Sheet2!$G$3:$H$8,2,0),"unkwon")</f>
        <v>online</v>
      </c>
      <c r="I1380" s="5">
        <f>VLOOKUP(B1380,Sheet2!$J$4:$K$15,2,0)</f>
        <v>11</v>
      </c>
      <c r="J1380" s="5">
        <f>IFERROR(VLOOKUP(C1380,Sheet2!$M$4:$N$12,2,0),0)</f>
        <v>5000</v>
      </c>
      <c r="K1380" s="5" t="str">
        <f t="shared" si="21"/>
        <v>within budget</v>
      </c>
    </row>
    <row r="1381" spans="1:11" x14ac:dyDescent="0.3">
      <c r="A1381" s="6">
        <v>45080</v>
      </c>
      <c r="B1381" s="5" t="s">
        <v>39</v>
      </c>
      <c r="C1381" s="5" t="s">
        <v>35</v>
      </c>
      <c r="D1381" s="5" t="s">
        <v>18</v>
      </c>
      <c r="E1381" s="5" t="s">
        <v>15</v>
      </c>
      <c r="F1381" s="5">
        <v>1929</v>
      </c>
      <c r="G1381" s="5" t="str">
        <f>VLOOKUP(C1381,Sheet2!$C$3:$D$12,2,0)</f>
        <v>Fixed</v>
      </c>
      <c r="H1381" s="5" t="str">
        <f>IFERROR(VLOOKUP(E1381,Sheet2!$G$3:$H$8,2,0),"unkwon")</f>
        <v>online</v>
      </c>
      <c r="I1381" s="5">
        <f>VLOOKUP(B1381,Sheet2!$J$4:$K$15,2,0)</f>
        <v>6</v>
      </c>
      <c r="J1381" s="5">
        <f>IFERROR(VLOOKUP(C1381,Sheet2!$M$4:$N$12,2,0),0)</f>
        <v>5500</v>
      </c>
      <c r="K1381" s="5" t="str">
        <f t="shared" si="21"/>
        <v>within budget</v>
      </c>
    </row>
    <row r="1382" spans="1:11" x14ac:dyDescent="0.3">
      <c r="A1382" s="6">
        <v>45195</v>
      </c>
      <c r="B1382" s="5" t="s">
        <v>38</v>
      </c>
      <c r="C1382" s="5" t="s">
        <v>27</v>
      </c>
      <c r="D1382" s="5" t="s">
        <v>23</v>
      </c>
      <c r="E1382" s="5" t="s">
        <v>9</v>
      </c>
      <c r="F1382" s="5">
        <v>4973</v>
      </c>
      <c r="G1382" s="5" t="str">
        <f>VLOOKUP(C1382,Sheet2!$C$3:$D$12,2,0)</f>
        <v>Variable</v>
      </c>
      <c r="H1382" s="5" t="str">
        <f>IFERROR(VLOOKUP(E1382,Sheet2!$G$3:$H$8,2,0),"unkwon")</f>
        <v>online</v>
      </c>
      <c r="I1382" s="5">
        <f>VLOOKUP(B1382,Sheet2!$J$4:$K$15,2,0)</f>
        <v>9</v>
      </c>
      <c r="J1382" s="5">
        <f>IFERROR(VLOOKUP(C1382,Sheet2!$M$4:$N$12,2,0),0)</f>
        <v>4000</v>
      </c>
      <c r="K1382" s="5" t="str">
        <f t="shared" si="21"/>
        <v>over budget</v>
      </c>
    </row>
    <row r="1383" spans="1:11" x14ac:dyDescent="0.3">
      <c r="A1383" s="6">
        <v>45100</v>
      </c>
      <c r="B1383" s="5" t="s">
        <v>39</v>
      </c>
      <c r="C1383" s="5" t="s">
        <v>13</v>
      </c>
      <c r="D1383" s="5" t="s">
        <v>18</v>
      </c>
      <c r="E1383" s="5" t="s">
        <v>9</v>
      </c>
      <c r="F1383" s="5">
        <v>806</v>
      </c>
      <c r="G1383" s="5" t="str">
        <f>VLOOKUP(C1383,Sheet2!$C$3:$D$12,2,0)</f>
        <v>Variable</v>
      </c>
      <c r="H1383" s="5" t="str">
        <f>IFERROR(VLOOKUP(E1383,Sheet2!$G$3:$H$8,2,0),"unkwon")</f>
        <v>online</v>
      </c>
      <c r="I1383" s="5">
        <f>VLOOKUP(B1383,Sheet2!$J$4:$K$15,2,0)</f>
        <v>6</v>
      </c>
      <c r="J1383" s="5">
        <f>IFERROR(VLOOKUP(C1383,Sheet2!$M$4:$N$12,2,0),0)</f>
        <v>5000</v>
      </c>
      <c r="K1383" s="5" t="str">
        <f t="shared" si="21"/>
        <v>within budget</v>
      </c>
    </row>
    <row r="1384" spans="1:11" x14ac:dyDescent="0.3">
      <c r="A1384" s="6">
        <v>45135</v>
      </c>
      <c r="B1384" s="5" t="s">
        <v>21</v>
      </c>
      <c r="C1384" s="5" t="s">
        <v>22</v>
      </c>
      <c r="D1384" s="5" t="s">
        <v>18</v>
      </c>
      <c r="E1384" s="5" t="s">
        <v>32</v>
      </c>
      <c r="F1384" s="5">
        <v>3301</v>
      </c>
      <c r="G1384" s="5" t="str">
        <f>VLOOKUP(C1384,Sheet2!$C$3:$D$12,2,0)</f>
        <v>Variable</v>
      </c>
      <c r="H1384" s="5" t="str">
        <f>IFERROR(VLOOKUP(E1384,Sheet2!$G$3:$H$8,2,0),"unkwon")</f>
        <v>offline</v>
      </c>
      <c r="I1384" s="5">
        <f>VLOOKUP(B1384,Sheet2!$J$4:$K$15,2,0)</f>
        <v>7</v>
      </c>
      <c r="J1384" s="5">
        <f>IFERROR(VLOOKUP(C1384,Sheet2!$M$4:$N$12,2,0),0)</f>
        <v>1000</v>
      </c>
      <c r="K1384" s="5" t="str">
        <f t="shared" si="21"/>
        <v>over budget</v>
      </c>
    </row>
    <row r="1385" spans="1:11" x14ac:dyDescent="0.3">
      <c r="A1385" s="6">
        <v>45410</v>
      </c>
      <c r="B1385" s="5" t="s">
        <v>29</v>
      </c>
      <c r="C1385" s="5" t="s">
        <v>41</v>
      </c>
      <c r="D1385" s="5" t="s">
        <v>26</v>
      </c>
      <c r="E1385" s="5" t="s">
        <v>17</v>
      </c>
      <c r="F1385" s="5">
        <v>4181</v>
      </c>
      <c r="G1385" s="5" t="str">
        <f>VLOOKUP(C1385,Sheet2!$C$3:$D$12,2,0)</f>
        <v>Variable</v>
      </c>
      <c r="H1385" s="5" t="str">
        <f>IFERROR(VLOOKUP(E1385,Sheet2!$G$3:$H$8,2,0),"unkwon")</f>
        <v>online</v>
      </c>
      <c r="I1385" s="5">
        <f>VLOOKUP(B1385,Sheet2!$J$4:$K$15,2,0)</f>
        <v>4</v>
      </c>
      <c r="J1385" s="5">
        <f>IFERROR(VLOOKUP(C1385,Sheet2!$M$4:$N$12,2,0),0)</f>
        <v>7000</v>
      </c>
      <c r="K1385" s="5" t="str">
        <f t="shared" si="21"/>
        <v>within budget</v>
      </c>
    </row>
    <row r="1386" spans="1:11" x14ac:dyDescent="0.3">
      <c r="A1386" s="6">
        <v>45206</v>
      </c>
      <c r="B1386" s="5" t="s">
        <v>6</v>
      </c>
      <c r="C1386" s="5" t="s">
        <v>22</v>
      </c>
      <c r="D1386" s="5" t="s">
        <v>23</v>
      </c>
      <c r="E1386" s="5" t="s">
        <v>17</v>
      </c>
      <c r="F1386" s="5">
        <v>2460</v>
      </c>
      <c r="G1386" s="5" t="str">
        <f>VLOOKUP(C1386,Sheet2!$C$3:$D$12,2,0)</f>
        <v>Variable</v>
      </c>
      <c r="H1386" s="5" t="str">
        <f>IFERROR(VLOOKUP(E1386,Sheet2!$G$3:$H$8,2,0),"unkwon")</f>
        <v>online</v>
      </c>
      <c r="I1386" s="5">
        <f>VLOOKUP(B1386,Sheet2!$J$4:$K$15,2,0)</f>
        <v>10</v>
      </c>
      <c r="J1386" s="5">
        <f>IFERROR(VLOOKUP(C1386,Sheet2!$M$4:$N$12,2,0),0)</f>
        <v>1000</v>
      </c>
      <c r="K1386" s="5" t="str">
        <f t="shared" si="21"/>
        <v>over budget</v>
      </c>
    </row>
    <row r="1387" spans="1:11" x14ac:dyDescent="0.3">
      <c r="A1387" s="6">
        <v>45057</v>
      </c>
      <c r="B1387" s="5" t="s">
        <v>28</v>
      </c>
      <c r="C1387" s="5" t="s">
        <v>22</v>
      </c>
      <c r="D1387" s="5" t="s">
        <v>20</v>
      </c>
      <c r="E1387" s="5" t="s">
        <v>9</v>
      </c>
      <c r="F1387" s="5">
        <v>165</v>
      </c>
      <c r="G1387" s="5" t="str">
        <f>VLOOKUP(C1387,Sheet2!$C$3:$D$12,2,0)</f>
        <v>Variable</v>
      </c>
      <c r="H1387" s="5" t="str">
        <f>IFERROR(VLOOKUP(E1387,Sheet2!$G$3:$H$8,2,0),"unkwon")</f>
        <v>online</v>
      </c>
      <c r="I1387" s="5">
        <f>VLOOKUP(B1387,Sheet2!$J$4:$K$15,2,0)</f>
        <v>5</v>
      </c>
      <c r="J1387" s="5">
        <f>IFERROR(VLOOKUP(C1387,Sheet2!$M$4:$N$12,2,0),0)</f>
        <v>1000</v>
      </c>
      <c r="K1387" s="5" t="str">
        <f t="shared" si="21"/>
        <v>within budget</v>
      </c>
    </row>
    <row r="1388" spans="1:11" x14ac:dyDescent="0.3">
      <c r="A1388" s="6">
        <v>45460</v>
      </c>
      <c r="B1388" s="5" t="s">
        <v>39</v>
      </c>
      <c r="C1388" s="5" t="s">
        <v>10</v>
      </c>
      <c r="D1388" s="5" t="s">
        <v>18</v>
      </c>
      <c r="E1388" s="5" t="s">
        <v>15</v>
      </c>
      <c r="F1388" s="5">
        <v>2949</v>
      </c>
      <c r="G1388" s="5" t="str">
        <f>VLOOKUP(C1388,Sheet2!$C$3:$D$12,2,0)</f>
        <v>Variable</v>
      </c>
      <c r="H1388" s="5" t="str">
        <f>IFERROR(VLOOKUP(E1388,Sheet2!$G$3:$H$8,2,0),"unkwon")</f>
        <v>online</v>
      </c>
      <c r="I1388" s="5">
        <f>VLOOKUP(B1388,Sheet2!$J$4:$K$15,2,0)</f>
        <v>6</v>
      </c>
      <c r="J1388" s="5">
        <f>IFERROR(VLOOKUP(C1388,Sheet2!$M$4:$N$12,2,0),0)</f>
        <v>5000</v>
      </c>
      <c r="K1388" s="5" t="str">
        <f t="shared" si="21"/>
        <v>within budget</v>
      </c>
    </row>
    <row r="1389" spans="1:11" x14ac:dyDescent="0.3">
      <c r="A1389" s="6">
        <v>45408</v>
      </c>
      <c r="B1389" s="5" t="s">
        <v>29</v>
      </c>
      <c r="C1389" s="5" t="s">
        <v>35</v>
      </c>
      <c r="D1389" s="5" t="s">
        <v>23</v>
      </c>
      <c r="E1389" s="5" t="s">
        <v>17</v>
      </c>
      <c r="F1389" s="5">
        <v>710</v>
      </c>
      <c r="G1389" s="5" t="str">
        <f>VLOOKUP(C1389,Sheet2!$C$3:$D$12,2,0)</f>
        <v>Fixed</v>
      </c>
      <c r="H1389" s="5" t="str">
        <f>IFERROR(VLOOKUP(E1389,Sheet2!$G$3:$H$8,2,0),"unkwon")</f>
        <v>online</v>
      </c>
      <c r="I1389" s="5">
        <f>VLOOKUP(B1389,Sheet2!$J$4:$K$15,2,0)</f>
        <v>4</v>
      </c>
      <c r="J1389" s="5">
        <f>IFERROR(VLOOKUP(C1389,Sheet2!$M$4:$N$12,2,0),0)</f>
        <v>5500</v>
      </c>
      <c r="K1389" s="5" t="str">
        <f t="shared" si="21"/>
        <v>within budget</v>
      </c>
    </row>
    <row r="1390" spans="1:11" x14ac:dyDescent="0.3">
      <c r="A1390" s="6">
        <v>45106</v>
      </c>
      <c r="B1390" s="5" t="s">
        <v>39</v>
      </c>
      <c r="C1390" s="5" t="s">
        <v>35</v>
      </c>
      <c r="D1390" s="5" t="s">
        <v>24</v>
      </c>
      <c r="E1390" s="5" t="s">
        <v>32</v>
      </c>
      <c r="F1390" s="5">
        <v>3393</v>
      </c>
      <c r="G1390" s="5" t="str">
        <f>VLOOKUP(C1390,Sheet2!$C$3:$D$12,2,0)</f>
        <v>Fixed</v>
      </c>
      <c r="H1390" s="5" t="str">
        <f>IFERROR(VLOOKUP(E1390,Sheet2!$G$3:$H$8,2,0),"unkwon")</f>
        <v>offline</v>
      </c>
      <c r="I1390" s="5">
        <f>VLOOKUP(B1390,Sheet2!$J$4:$K$15,2,0)</f>
        <v>6</v>
      </c>
      <c r="J1390" s="5">
        <f>IFERROR(VLOOKUP(C1390,Sheet2!$M$4:$N$12,2,0),0)</f>
        <v>5500</v>
      </c>
      <c r="K1390" s="5" t="str">
        <f t="shared" si="21"/>
        <v>within budget</v>
      </c>
    </row>
    <row r="1391" spans="1:11" x14ac:dyDescent="0.3">
      <c r="A1391" s="6">
        <v>45142</v>
      </c>
      <c r="B1391" s="5" t="s">
        <v>25</v>
      </c>
      <c r="C1391" s="5" t="s">
        <v>10</v>
      </c>
      <c r="D1391" s="5" t="s">
        <v>8</v>
      </c>
      <c r="E1391" s="5" t="s">
        <v>32</v>
      </c>
      <c r="F1391" s="5">
        <v>2552</v>
      </c>
      <c r="G1391" s="5" t="str">
        <f>VLOOKUP(C1391,Sheet2!$C$3:$D$12,2,0)</f>
        <v>Variable</v>
      </c>
      <c r="H1391" s="5" t="str">
        <f>IFERROR(VLOOKUP(E1391,Sheet2!$G$3:$H$8,2,0),"unkwon")</f>
        <v>offline</v>
      </c>
      <c r="I1391" s="5">
        <f>VLOOKUP(B1391,Sheet2!$J$4:$K$15,2,0)</f>
        <v>8</v>
      </c>
      <c r="J1391" s="5">
        <f>IFERROR(VLOOKUP(C1391,Sheet2!$M$4:$N$12,2,0),0)</f>
        <v>5000</v>
      </c>
      <c r="K1391" s="5" t="str">
        <f t="shared" si="21"/>
        <v>within budget</v>
      </c>
    </row>
    <row r="1392" spans="1:11" x14ac:dyDescent="0.3">
      <c r="A1392" s="6">
        <v>45229</v>
      </c>
      <c r="B1392" s="5" t="s">
        <v>6</v>
      </c>
      <c r="C1392" s="5" t="s">
        <v>10</v>
      </c>
      <c r="D1392" s="5" t="s">
        <v>24</v>
      </c>
      <c r="E1392" s="5" t="s">
        <v>17</v>
      </c>
      <c r="F1392" s="5">
        <v>672</v>
      </c>
      <c r="G1392" s="5" t="str">
        <f>VLOOKUP(C1392,Sheet2!$C$3:$D$12,2,0)</f>
        <v>Variable</v>
      </c>
      <c r="H1392" s="5" t="str">
        <f>IFERROR(VLOOKUP(E1392,Sheet2!$G$3:$H$8,2,0),"unkwon")</f>
        <v>online</v>
      </c>
      <c r="I1392" s="5">
        <f>VLOOKUP(B1392,Sheet2!$J$4:$K$15,2,0)</f>
        <v>10</v>
      </c>
      <c r="J1392" s="5">
        <f>IFERROR(VLOOKUP(C1392,Sheet2!$M$4:$N$12,2,0),0)</f>
        <v>5000</v>
      </c>
      <c r="K1392" s="5" t="str">
        <f t="shared" si="21"/>
        <v>within budget</v>
      </c>
    </row>
    <row r="1393" spans="1:11" x14ac:dyDescent="0.3">
      <c r="A1393" s="6">
        <v>45249</v>
      </c>
      <c r="B1393" s="5" t="s">
        <v>40</v>
      </c>
      <c r="C1393" s="5" t="s">
        <v>30</v>
      </c>
      <c r="D1393" s="5" t="s">
        <v>23</v>
      </c>
      <c r="E1393" s="5" t="s">
        <v>32</v>
      </c>
      <c r="F1393" s="5">
        <v>1087</v>
      </c>
      <c r="G1393" s="5" t="str">
        <f>VLOOKUP(C1393,Sheet2!$C$3:$D$12,2,0)</f>
        <v>Fixed</v>
      </c>
      <c r="H1393" s="5" t="str">
        <f>IFERROR(VLOOKUP(E1393,Sheet2!$G$3:$H$8,2,0),"unkwon")</f>
        <v>offline</v>
      </c>
      <c r="I1393" s="5">
        <f>VLOOKUP(B1393,Sheet2!$J$4:$K$15,2,0)</f>
        <v>11</v>
      </c>
      <c r="J1393" s="5">
        <f>IFERROR(VLOOKUP(C1393,Sheet2!$M$4:$N$12,2,0),0)</f>
        <v>3000</v>
      </c>
      <c r="K1393" s="5" t="str">
        <f t="shared" si="21"/>
        <v>within budget</v>
      </c>
    </row>
    <row r="1394" spans="1:11" x14ac:dyDescent="0.3">
      <c r="A1394" s="6">
        <v>45143</v>
      </c>
      <c r="B1394" s="5" t="s">
        <v>25</v>
      </c>
      <c r="C1394" s="5" t="s">
        <v>13</v>
      </c>
      <c r="D1394" s="5" t="s">
        <v>8</v>
      </c>
      <c r="E1394" s="5" t="s">
        <v>15</v>
      </c>
      <c r="F1394" s="5">
        <v>4008</v>
      </c>
      <c r="G1394" s="5" t="str">
        <f>VLOOKUP(C1394,Sheet2!$C$3:$D$12,2,0)</f>
        <v>Variable</v>
      </c>
      <c r="H1394" s="5" t="str">
        <f>IFERROR(VLOOKUP(E1394,Sheet2!$G$3:$H$8,2,0),"unkwon")</f>
        <v>online</v>
      </c>
      <c r="I1394" s="5">
        <f>VLOOKUP(B1394,Sheet2!$J$4:$K$15,2,0)</f>
        <v>8</v>
      </c>
      <c r="J1394" s="5">
        <f>IFERROR(VLOOKUP(C1394,Sheet2!$M$4:$N$12,2,0),0)</f>
        <v>5000</v>
      </c>
      <c r="K1394" s="5" t="str">
        <f t="shared" si="21"/>
        <v>within budget</v>
      </c>
    </row>
    <row r="1395" spans="1:11" x14ac:dyDescent="0.3">
      <c r="A1395" s="6">
        <v>45269</v>
      </c>
      <c r="B1395" s="5" t="s">
        <v>16</v>
      </c>
      <c r="C1395" s="5" t="s">
        <v>7</v>
      </c>
      <c r="D1395" s="5" t="s">
        <v>31</v>
      </c>
      <c r="E1395" s="5" t="s">
        <v>12</v>
      </c>
      <c r="F1395" s="5">
        <v>2710</v>
      </c>
      <c r="G1395" s="5" t="str">
        <f>VLOOKUP(C1395,Sheet2!$C$3:$D$12,2,0)</f>
        <v>Fixed</v>
      </c>
      <c r="H1395" s="5" t="str">
        <f>IFERROR(VLOOKUP(E1395,Sheet2!$G$3:$H$8,2,0),"unkwon")</f>
        <v>online</v>
      </c>
      <c r="I1395" s="5">
        <f>VLOOKUP(B1395,Sheet2!$J$4:$K$15,2,0)</f>
        <v>12</v>
      </c>
      <c r="J1395" s="5">
        <f>IFERROR(VLOOKUP(C1395,Sheet2!$M$4:$N$12,2,0),0)</f>
        <v>2000</v>
      </c>
      <c r="K1395" s="5" t="str">
        <f t="shared" si="21"/>
        <v>over budget</v>
      </c>
    </row>
    <row r="1396" spans="1:11" x14ac:dyDescent="0.3">
      <c r="A1396" s="6">
        <v>45286</v>
      </c>
      <c r="B1396" s="5" t="s">
        <v>16</v>
      </c>
      <c r="C1396" s="5" t="s">
        <v>13</v>
      </c>
      <c r="D1396" s="5" t="s">
        <v>14</v>
      </c>
      <c r="E1396" s="5" t="s">
        <v>17</v>
      </c>
      <c r="F1396" s="5">
        <v>4458</v>
      </c>
      <c r="G1396" s="5" t="str">
        <f>VLOOKUP(C1396,Sheet2!$C$3:$D$12,2,0)</f>
        <v>Variable</v>
      </c>
      <c r="H1396" s="5" t="str">
        <f>IFERROR(VLOOKUP(E1396,Sheet2!$G$3:$H$8,2,0),"unkwon")</f>
        <v>online</v>
      </c>
      <c r="I1396" s="5">
        <f>VLOOKUP(B1396,Sheet2!$J$4:$K$15,2,0)</f>
        <v>12</v>
      </c>
      <c r="J1396" s="5">
        <f>IFERROR(VLOOKUP(C1396,Sheet2!$M$4:$N$12,2,0),0)</f>
        <v>5000</v>
      </c>
      <c r="K1396" s="5" t="str">
        <f t="shared" si="21"/>
        <v>within budget</v>
      </c>
    </row>
    <row r="1397" spans="1:11" x14ac:dyDescent="0.3">
      <c r="A1397" s="6">
        <v>45173</v>
      </c>
      <c r="B1397" s="5" t="s">
        <v>38</v>
      </c>
      <c r="C1397" s="5" t="s">
        <v>13</v>
      </c>
      <c r="D1397" s="5" t="s">
        <v>8</v>
      </c>
      <c r="E1397" s="5" t="s">
        <v>32</v>
      </c>
      <c r="F1397" s="5">
        <v>1737</v>
      </c>
      <c r="G1397" s="5" t="str">
        <f>VLOOKUP(C1397,Sheet2!$C$3:$D$12,2,0)</f>
        <v>Variable</v>
      </c>
      <c r="H1397" s="5" t="str">
        <f>IFERROR(VLOOKUP(E1397,Sheet2!$G$3:$H$8,2,0),"unkwon")</f>
        <v>offline</v>
      </c>
      <c r="I1397" s="5">
        <f>VLOOKUP(B1397,Sheet2!$J$4:$K$15,2,0)</f>
        <v>9</v>
      </c>
      <c r="J1397" s="5">
        <f>IFERROR(VLOOKUP(C1397,Sheet2!$M$4:$N$12,2,0),0)</f>
        <v>5000</v>
      </c>
      <c r="K1397" s="5" t="str">
        <f t="shared" si="21"/>
        <v>within budget</v>
      </c>
    </row>
    <row r="1398" spans="1:11" x14ac:dyDescent="0.3">
      <c r="A1398" s="6">
        <v>45523</v>
      </c>
      <c r="B1398" s="5" t="s">
        <v>25</v>
      </c>
      <c r="C1398" s="5" t="s">
        <v>22</v>
      </c>
      <c r="D1398" s="5" t="s">
        <v>24</v>
      </c>
      <c r="E1398" s="5" t="s">
        <v>12</v>
      </c>
      <c r="F1398" s="5">
        <v>1110</v>
      </c>
      <c r="G1398" s="5" t="str">
        <f>VLOOKUP(C1398,Sheet2!$C$3:$D$12,2,0)</f>
        <v>Variable</v>
      </c>
      <c r="H1398" s="5" t="str">
        <f>IFERROR(VLOOKUP(E1398,Sheet2!$G$3:$H$8,2,0),"unkwon")</f>
        <v>online</v>
      </c>
      <c r="I1398" s="5">
        <f>VLOOKUP(B1398,Sheet2!$J$4:$K$15,2,0)</f>
        <v>8</v>
      </c>
      <c r="J1398" s="5">
        <f>IFERROR(VLOOKUP(C1398,Sheet2!$M$4:$N$12,2,0),0)</f>
        <v>1000</v>
      </c>
      <c r="K1398" s="5" t="str">
        <f t="shared" si="21"/>
        <v>over budget</v>
      </c>
    </row>
    <row r="1399" spans="1:11" x14ac:dyDescent="0.3">
      <c r="A1399" s="6">
        <v>45099</v>
      </c>
      <c r="B1399" s="5" t="s">
        <v>39</v>
      </c>
      <c r="C1399" s="5" t="s">
        <v>36</v>
      </c>
      <c r="D1399" s="5" t="s">
        <v>14</v>
      </c>
      <c r="E1399" s="5" t="s">
        <v>17</v>
      </c>
      <c r="F1399" s="5">
        <v>1225</v>
      </c>
      <c r="G1399" s="5" t="str">
        <f>VLOOKUP(C1399,Sheet2!$C$3:$D$12,2,0)</f>
        <v>Variable</v>
      </c>
      <c r="H1399" s="5" t="str">
        <f>IFERROR(VLOOKUP(E1399,Sheet2!$G$3:$H$8,2,0),"unkwon")</f>
        <v>online</v>
      </c>
      <c r="I1399" s="5">
        <f>VLOOKUP(B1399,Sheet2!$J$4:$K$15,2,0)</f>
        <v>6</v>
      </c>
      <c r="J1399" s="5">
        <f>IFERROR(VLOOKUP(C1399,Sheet2!$M$4:$N$12,2,0),0)</f>
        <v>10000</v>
      </c>
      <c r="K1399" s="5" t="str">
        <f t="shared" si="21"/>
        <v>within budget</v>
      </c>
    </row>
    <row r="1400" spans="1:11" x14ac:dyDescent="0.3">
      <c r="A1400" s="6">
        <v>45604</v>
      </c>
      <c r="B1400" s="5" t="s">
        <v>40</v>
      </c>
      <c r="C1400" s="5" t="s">
        <v>30</v>
      </c>
      <c r="D1400" s="5" t="s">
        <v>18</v>
      </c>
      <c r="E1400" s="5" t="s">
        <v>32</v>
      </c>
      <c r="F1400" s="5">
        <v>2215</v>
      </c>
      <c r="G1400" s="5" t="str">
        <f>VLOOKUP(C1400,Sheet2!$C$3:$D$12,2,0)</f>
        <v>Fixed</v>
      </c>
      <c r="H1400" s="5" t="str">
        <f>IFERROR(VLOOKUP(E1400,Sheet2!$G$3:$H$8,2,0),"unkwon")</f>
        <v>offline</v>
      </c>
      <c r="I1400" s="5">
        <f>VLOOKUP(B1400,Sheet2!$J$4:$K$15,2,0)</f>
        <v>11</v>
      </c>
      <c r="J1400" s="5">
        <f>IFERROR(VLOOKUP(C1400,Sheet2!$M$4:$N$12,2,0),0)</f>
        <v>3000</v>
      </c>
      <c r="K1400" s="5" t="str">
        <f t="shared" si="21"/>
        <v>within budget</v>
      </c>
    </row>
    <row r="1401" spans="1:11" x14ac:dyDescent="0.3">
      <c r="A1401" s="6">
        <v>44978</v>
      </c>
      <c r="B1401" s="5" t="s">
        <v>33</v>
      </c>
      <c r="C1401" s="5" t="s">
        <v>30</v>
      </c>
      <c r="D1401" s="5" t="s">
        <v>34</v>
      </c>
      <c r="E1401" s="5" t="s">
        <v>15</v>
      </c>
      <c r="F1401" s="5">
        <v>3342</v>
      </c>
      <c r="G1401" s="5" t="str">
        <f>VLOOKUP(C1401,Sheet2!$C$3:$D$12,2,0)</f>
        <v>Fixed</v>
      </c>
      <c r="H1401" s="5" t="str">
        <f>IFERROR(VLOOKUP(E1401,Sheet2!$G$3:$H$8,2,0),"unkwon")</f>
        <v>online</v>
      </c>
      <c r="I1401" s="5">
        <f>VLOOKUP(B1401,Sheet2!$J$4:$K$15,2,0)</f>
        <v>2</v>
      </c>
      <c r="J1401" s="5">
        <f>IFERROR(VLOOKUP(C1401,Sheet2!$M$4:$N$12,2,0),0)</f>
        <v>3000</v>
      </c>
      <c r="K1401" s="5" t="str">
        <f t="shared" si="21"/>
        <v>over budget</v>
      </c>
    </row>
    <row r="1402" spans="1:11" x14ac:dyDescent="0.3">
      <c r="A1402" s="6">
        <v>45047</v>
      </c>
      <c r="B1402" s="5" t="s">
        <v>28</v>
      </c>
      <c r="C1402" s="5" t="s">
        <v>7</v>
      </c>
      <c r="D1402" s="5" t="s">
        <v>20</v>
      </c>
      <c r="E1402" s="5" t="s">
        <v>17</v>
      </c>
      <c r="F1402" s="5">
        <v>117</v>
      </c>
      <c r="G1402" s="5" t="str">
        <f>VLOOKUP(C1402,Sheet2!$C$3:$D$12,2,0)</f>
        <v>Fixed</v>
      </c>
      <c r="H1402" s="5" t="str">
        <f>IFERROR(VLOOKUP(E1402,Sheet2!$G$3:$H$8,2,0),"unkwon")</f>
        <v>online</v>
      </c>
      <c r="I1402" s="5">
        <f>VLOOKUP(B1402,Sheet2!$J$4:$K$15,2,0)</f>
        <v>5</v>
      </c>
      <c r="J1402" s="5">
        <f>IFERROR(VLOOKUP(C1402,Sheet2!$M$4:$N$12,2,0),0)</f>
        <v>2000</v>
      </c>
      <c r="K1402" s="5" t="str">
        <f t="shared" si="21"/>
        <v>within budget</v>
      </c>
    </row>
    <row r="1403" spans="1:11" x14ac:dyDescent="0.3">
      <c r="A1403" s="6">
        <v>45126</v>
      </c>
      <c r="B1403" s="5" t="s">
        <v>21</v>
      </c>
      <c r="C1403" s="5" t="s">
        <v>30</v>
      </c>
      <c r="D1403" s="5" t="s">
        <v>11</v>
      </c>
      <c r="E1403" s="5" t="s">
        <v>12</v>
      </c>
      <c r="F1403" s="5">
        <v>2096</v>
      </c>
      <c r="G1403" s="5" t="str">
        <f>VLOOKUP(C1403,Sheet2!$C$3:$D$12,2,0)</f>
        <v>Fixed</v>
      </c>
      <c r="H1403" s="5" t="str">
        <f>IFERROR(VLOOKUP(E1403,Sheet2!$G$3:$H$8,2,0),"unkwon")</f>
        <v>online</v>
      </c>
      <c r="I1403" s="5">
        <f>VLOOKUP(B1403,Sheet2!$J$4:$K$15,2,0)</f>
        <v>7</v>
      </c>
      <c r="J1403" s="5">
        <f>IFERROR(VLOOKUP(C1403,Sheet2!$M$4:$N$12,2,0),0)</f>
        <v>3000</v>
      </c>
      <c r="K1403" s="5" t="str">
        <f t="shared" si="21"/>
        <v>within budget</v>
      </c>
    </row>
    <row r="1404" spans="1:11" x14ac:dyDescent="0.3">
      <c r="A1404" s="6">
        <v>45562</v>
      </c>
      <c r="B1404" s="5" t="s">
        <v>38</v>
      </c>
      <c r="C1404" s="5" t="s">
        <v>27</v>
      </c>
      <c r="D1404" s="5" t="s">
        <v>8</v>
      </c>
      <c r="E1404" s="5" t="s">
        <v>32</v>
      </c>
      <c r="F1404" s="5">
        <v>4463</v>
      </c>
      <c r="G1404" s="5" t="str">
        <f>VLOOKUP(C1404,Sheet2!$C$3:$D$12,2,0)</f>
        <v>Variable</v>
      </c>
      <c r="H1404" s="5" t="str">
        <f>IFERROR(VLOOKUP(E1404,Sheet2!$G$3:$H$8,2,0),"unkwon")</f>
        <v>offline</v>
      </c>
      <c r="I1404" s="5">
        <f>VLOOKUP(B1404,Sheet2!$J$4:$K$15,2,0)</f>
        <v>9</v>
      </c>
      <c r="J1404" s="5">
        <f>IFERROR(VLOOKUP(C1404,Sheet2!$M$4:$N$12,2,0),0)</f>
        <v>4000</v>
      </c>
      <c r="K1404" s="5" t="str">
        <f t="shared" si="21"/>
        <v>over budget</v>
      </c>
    </row>
    <row r="1405" spans="1:11" x14ac:dyDescent="0.3">
      <c r="A1405" s="6">
        <v>45182</v>
      </c>
      <c r="B1405" s="5" t="s">
        <v>38</v>
      </c>
      <c r="C1405" s="5" t="s">
        <v>30</v>
      </c>
      <c r="D1405" s="5" t="s">
        <v>20</v>
      </c>
      <c r="E1405" s="5" t="s">
        <v>17</v>
      </c>
      <c r="F1405" s="5">
        <v>2769</v>
      </c>
      <c r="G1405" s="5" t="str">
        <f>VLOOKUP(C1405,Sheet2!$C$3:$D$12,2,0)</f>
        <v>Fixed</v>
      </c>
      <c r="H1405" s="5" t="str">
        <f>IFERROR(VLOOKUP(E1405,Sheet2!$G$3:$H$8,2,0),"unkwon")</f>
        <v>online</v>
      </c>
      <c r="I1405" s="5">
        <f>VLOOKUP(B1405,Sheet2!$J$4:$K$15,2,0)</f>
        <v>9</v>
      </c>
      <c r="J1405" s="5">
        <f>IFERROR(VLOOKUP(C1405,Sheet2!$M$4:$N$12,2,0),0)</f>
        <v>3000</v>
      </c>
      <c r="K1405" s="5" t="str">
        <f t="shared" si="21"/>
        <v>within budget</v>
      </c>
    </row>
    <row r="1406" spans="1:11" x14ac:dyDescent="0.3">
      <c r="A1406" s="6">
        <v>45108</v>
      </c>
      <c r="B1406" s="5" t="s">
        <v>21</v>
      </c>
      <c r="C1406" s="5" t="s">
        <v>36</v>
      </c>
      <c r="D1406" s="5" t="s">
        <v>31</v>
      </c>
      <c r="E1406" s="5" t="s">
        <v>17</v>
      </c>
      <c r="F1406" s="5">
        <v>3116</v>
      </c>
      <c r="G1406" s="5" t="str">
        <f>VLOOKUP(C1406,Sheet2!$C$3:$D$12,2,0)</f>
        <v>Variable</v>
      </c>
      <c r="H1406" s="5" t="str">
        <f>IFERROR(VLOOKUP(E1406,Sheet2!$G$3:$H$8,2,0),"unkwon")</f>
        <v>online</v>
      </c>
      <c r="I1406" s="5">
        <f>VLOOKUP(B1406,Sheet2!$J$4:$K$15,2,0)</f>
        <v>7</v>
      </c>
      <c r="J1406" s="5">
        <f>IFERROR(VLOOKUP(C1406,Sheet2!$M$4:$N$12,2,0),0)</f>
        <v>10000</v>
      </c>
      <c r="K1406" s="5" t="str">
        <f t="shared" si="21"/>
        <v>within budget</v>
      </c>
    </row>
    <row r="1407" spans="1:11" x14ac:dyDescent="0.3">
      <c r="A1407" s="6">
        <v>45523</v>
      </c>
      <c r="B1407" s="5" t="s">
        <v>25</v>
      </c>
      <c r="C1407" s="5" t="s">
        <v>22</v>
      </c>
      <c r="D1407" s="5" t="s">
        <v>20</v>
      </c>
      <c r="E1407" s="5" t="s">
        <v>9</v>
      </c>
      <c r="F1407" s="5">
        <v>2312</v>
      </c>
      <c r="G1407" s="5" t="str">
        <f>VLOOKUP(C1407,Sheet2!$C$3:$D$12,2,0)</f>
        <v>Variable</v>
      </c>
      <c r="H1407" s="5" t="str">
        <f>IFERROR(VLOOKUP(E1407,Sheet2!$G$3:$H$8,2,0),"unkwon")</f>
        <v>online</v>
      </c>
      <c r="I1407" s="5">
        <f>VLOOKUP(B1407,Sheet2!$J$4:$K$15,2,0)</f>
        <v>8</v>
      </c>
      <c r="J1407" s="5">
        <f>IFERROR(VLOOKUP(C1407,Sheet2!$M$4:$N$12,2,0),0)</f>
        <v>1000</v>
      </c>
      <c r="K1407" s="5" t="str">
        <f t="shared" si="21"/>
        <v>over budget</v>
      </c>
    </row>
    <row r="1408" spans="1:11" x14ac:dyDescent="0.3">
      <c r="A1408" s="6">
        <v>45157</v>
      </c>
      <c r="B1408" s="5" t="s">
        <v>25</v>
      </c>
      <c r="C1408" s="5" t="s">
        <v>35</v>
      </c>
      <c r="D1408" s="5" t="s">
        <v>26</v>
      </c>
      <c r="E1408" s="5" t="s">
        <v>15</v>
      </c>
      <c r="F1408" s="5">
        <v>4833</v>
      </c>
      <c r="G1408" s="5" t="str">
        <f>VLOOKUP(C1408,Sheet2!$C$3:$D$12,2,0)</f>
        <v>Fixed</v>
      </c>
      <c r="H1408" s="5" t="str">
        <f>IFERROR(VLOOKUP(E1408,Sheet2!$G$3:$H$8,2,0),"unkwon")</f>
        <v>online</v>
      </c>
      <c r="I1408" s="5">
        <f>VLOOKUP(B1408,Sheet2!$J$4:$K$15,2,0)</f>
        <v>8</v>
      </c>
      <c r="J1408" s="5">
        <f>IFERROR(VLOOKUP(C1408,Sheet2!$M$4:$N$12,2,0),0)</f>
        <v>5500</v>
      </c>
      <c r="K1408" s="5" t="str">
        <f t="shared" si="21"/>
        <v>within budget</v>
      </c>
    </row>
    <row r="1409" spans="1:11" x14ac:dyDescent="0.3">
      <c r="A1409" s="6">
        <v>45042</v>
      </c>
      <c r="B1409" s="5" t="s">
        <v>29</v>
      </c>
      <c r="C1409" s="5" t="s">
        <v>41</v>
      </c>
      <c r="D1409" s="5" t="s">
        <v>14</v>
      </c>
      <c r="E1409" s="5" t="s">
        <v>15</v>
      </c>
      <c r="F1409" s="5">
        <v>605</v>
      </c>
      <c r="G1409" s="5" t="str">
        <f>VLOOKUP(C1409,Sheet2!$C$3:$D$12,2,0)</f>
        <v>Variable</v>
      </c>
      <c r="H1409" s="5" t="str">
        <f>IFERROR(VLOOKUP(E1409,Sheet2!$G$3:$H$8,2,0),"unkwon")</f>
        <v>online</v>
      </c>
      <c r="I1409" s="5">
        <f>VLOOKUP(B1409,Sheet2!$J$4:$K$15,2,0)</f>
        <v>4</v>
      </c>
      <c r="J1409" s="5">
        <f>IFERROR(VLOOKUP(C1409,Sheet2!$M$4:$N$12,2,0),0)</f>
        <v>7000</v>
      </c>
      <c r="K1409" s="5" t="str">
        <f t="shared" si="21"/>
        <v>within budget</v>
      </c>
    </row>
    <row r="1410" spans="1:11" x14ac:dyDescent="0.3">
      <c r="A1410" s="6">
        <v>45087</v>
      </c>
      <c r="B1410" s="5" t="s">
        <v>39</v>
      </c>
      <c r="C1410" s="5" t="s">
        <v>7</v>
      </c>
      <c r="D1410" s="5" t="s">
        <v>8</v>
      </c>
      <c r="E1410" s="5" t="s">
        <v>12</v>
      </c>
      <c r="F1410" s="5">
        <v>737</v>
      </c>
      <c r="G1410" s="5" t="str">
        <f>VLOOKUP(C1410,Sheet2!$C$3:$D$12,2,0)</f>
        <v>Fixed</v>
      </c>
      <c r="H1410" s="5" t="str">
        <f>IFERROR(VLOOKUP(E1410,Sheet2!$G$3:$H$8,2,0),"unkwon")</f>
        <v>online</v>
      </c>
      <c r="I1410" s="5">
        <f>VLOOKUP(B1410,Sheet2!$J$4:$K$15,2,0)</f>
        <v>6</v>
      </c>
      <c r="J1410" s="5">
        <f>IFERROR(VLOOKUP(C1410,Sheet2!$M$4:$N$12,2,0),0)</f>
        <v>2000</v>
      </c>
      <c r="K1410" s="5" t="str">
        <f t="shared" si="21"/>
        <v>within budget</v>
      </c>
    </row>
    <row r="1411" spans="1:11" x14ac:dyDescent="0.3">
      <c r="A1411" s="6">
        <v>45451</v>
      </c>
      <c r="B1411" s="5" t="s">
        <v>39</v>
      </c>
      <c r="C1411" s="5" t="s">
        <v>10</v>
      </c>
      <c r="D1411" s="5" t="s">
        <v>34</v>
      </c>
      <c r="E1411" s="5" t="s">
        <v>15</v>
      </c>
      <c r="F1411" s="5">
        <v>138</v>
      </c>
      <c r="G1411" s="5" t="str">
        <f>VLOOKUP(C1411,Sheet2!$C$3:$D$12,2,0)</f>
        <v>Variable</v>
      </c>
      <c r="H1411" s="5" t="str">
        <f>IFERROR(VLOOKUP(E1411,Sheet2!$G$3:$H$8,2,0),"unkwon")</f>
        <v>online</v>
      </c>
      <c r="I1411" s="5">
        <f>VLOOKUP(B1411,Sheet2!$J$4:$K$15,2,0)</f>
        <v>6</v>
      </c>
      <c r="J1411" s="5">
        <f>IFERROR(VLOOKUP(C1411,Sheet2!$M$4:$N$12,2,0),0)</f>
        <v>5000</v>
      </c>
      <c r="K1411" s="5" t="str">
        <f t="shared" ref="K1411:K1474" si="22">IF(F1411&gt;J1411,"over budget","within budget")</f>
        <v>within budget</v>
      </c>
    </row>
    <row r="1412" spans="1:11" x14ac:dyDescent="0.3">
      <c r="A1412" s="6">
        <v>45382</v>
      </c>
      <c r="B1412" s="5" t="s">
        <v>19</v>
      </c>
      <c r="C1412" s="5" t="s">
        <v>13</v>
      </c>
      <c r="D1412" s="5" t="s">
        <v>31</v>
      </c>
      <c r="E1412" s="5" t="s">
        <v>12</v>
      </c>
      <c r="F1412" s="5">
        <v>4348</v>
      </c>
      <c r="G1412" s="5" t="str">
        <f>VLOOKUP(C1412,Sheet2!$C$3:$D$12,2,0)</f>
        <v>Variable</v>
      </c>
      <c r="H1412" s="5" t="str">
        <f>IFERROR(VLOOKUP(E1412,Sheet2!$G$3:$H$8,2,0),"unkwon")</f>
        <v>online</v>
      </c>
      <c r="I1412" s="5">
        <f>VLOOKUP(B1412,Sheet2!$J$4:$K$15,2,0)</f>
        <v>3</v>
      </c>
      <c r="J1412" s="5">
        <f>IFERROR(VLOOKUP(C1412,Sheet2!$M$4:$N$12,2,0),0)</f>
        <v>5000</v>
      </c>
      <c r="K1412" s="5" t="str">
        <f t="shared" si="22"/>
        <v>within budget</v>
      </c>
    </row>
    <row r="1413" spans="1:11" x14ac:dyDescent="0.3">
      <c r="A1413" s="6">
        <v>45654</v>
      </c>
      <c r="B1413" s="5" t="s">
        <v>16</v>
      </c>
      <c r="C1413" s="5" t="s">
        <v>35</v>
      </c>
      <c r="D1413" s="5" t="s">
        <v>23</v>
      </c>
      <c r="E1413" s="5" t="s">
        <v>15</v>
      </c>
      <c r="F1413" s="5">
        <v>3514</v>
      </c>
      <c r="G1413" s="5" t="str">
        <f>VLOOKUP(C1413,Sheet2!$C$3:$D$12,2,0)</f>
        <v>Fixed</v>
      </c>
      <c r="H1413" s="5" t="str">
        <f>IFERROR(VLOOKUP(E1413,Sheet2!$G$3:$H$8,2,0),"unkwon")</f>
        <v>online</v>
      </c>
      <c r="I1413" s="5">
        <f>VLOOKUP(B1413,Sheet2!$J$4:$K$15,2,0)</f>
        <v>12</v>
      </c>
      <c r="J1413" s="5">
        <f>IFERROR(VLOOKUP(C1413,Sheet2!$M$4:$N$12,2,0),0)</f>
        <v>5500</v>
      </c>
      <c r="K1413" s="5" t="str">
        <f t="shared" si="22"/>
        <v>within budget</v>
      </c>
    </row>
    <row r="1414" spans="1:11" x14ac:dyDescent="0.3">
      <c r="A1414" s="6">
        <v>45418</v>
      </c>
      <c r="B1414" s="5" t="s">
        <v>28</v>
      </c>
      <c r="C1414" s="5" t="s">
        <v>36</v>
      </c>
      <c r="D1414" s="5" t="s">
        <v>20</v>
      </c>
      <c r="E1414" s="5" t="s">
        <v>12</v>
      </c>
      <c r="F1414" s="5">
        <v>4178</v>
      </c>
      <c r="G1414" s="5" t="str">
        <f>VLOOKUP(C1414,Sheet2!$C$3:$D$12,2,0)</f>
        <v>Variable</v>
      </c>
      <c r="H1414" s="5" t="str">
        <f>IFERROR(VLOOKUP(E1414,Sheet2!$G$3:$H$8,2,0),"unkwon")</f>
        <v>online</v>
      </c>
      <c r="I1414" s="5">
        <f>VLOOKUP(B1414,Sheet2!$J$4:$K$15,2,0)</f>
        <v>5</v>
      </c>
      <c r="J1414" s="5">
        <f>IFERROR(VLOOKUP(C1414,Sheet2!$M$4:$N$12,2,0),0)</f>
        <v>10000</v>
      </c>
      <c r="K1414" s="5" t="str">
        <f t="shared" si="22"/>
        <v>within budget</v>
      </c>
    </row>
    <row r="1415" spans="1:11" x14ac:dyDescent="0.3">
      <c r="A1415" s="6">
        <v>45529</v>
      </c>
      <c r="B1415" s="5" t="s">
        <v>25</v>
      </c>
      <c r="C1415" s="5" t="s">
        <v>30</v>
      </c>
      <c r="D1415" s="5" t="s">
        <v>24</v>
      </c>
      <c r="E1415" s="5" t="s">
        <v>17</v>
      </c>
      <c r="F1415" s="5">
        <v>1160</v>
      </c>
      <c r="G1415" s="5" t="str">
        <f>VLOOKUP(C1415,Sheet2!$C$3:$D$12,2,0)</f>
        <v>Fixed</v>
      </c>
      <c r="H1415" s="5" t="str">
        <f>IFERROR(VLOOKUP(E1415,Sheet2!$G$3:$H$8,2,0),"unkwon")</f>
        <v>online</v>
      </c>
      <c r="I1415" s="5">
        <f>VLOOKUP(B1415,Sheet2!$J$4:$K$15,2,0)</f>
        <v>8</v>
      </c>
      <c r="J1415" s="5">
        <f>IFERROR(VLOOKUP(C1415,Sheet2!$M$4:$N$12,2,0),0)</f>
        <v>3000</v>
      </c>
      <c r="K1415" s="5" t="str">
        <f t="shared" si="22"/>
        <v>within budget</v>
      </c>
    </row>
    <row r="1416" spans="1:11" x14ac:dyDescent="0.3">
      <c r="A1416" s="6">
        <v>45284</v>
      </c>
      <c r="B1416" s="5" t="s">
        <v>16</v>
      </c>
      <c r="C1416" s="5" t="s">
        <v>36</v>
      </c>
      <c r="D1416" s="5" t="s">
        <v>24</v>
      </c>
      <c r="E1416" s="5" t="s">
        <v>12</v>
      </c>
      <c r="F1416" s="5">
        <v>2905</v>
      </c>
      <c r="G1416" s="5" t="str">
        <f>VLOOKUP(C1416,Sheet2!$C$3:$D$12,2,0)</f>
        <v>Variable</v>
      </c>
      <c r="H1416" s="5" t="str">
        <f>IFERROR(VLOOKUP(E1416,Sheet2!$G$3:$H$8,2,0),"unkwon")</f>
        <v>online</v>
      </c>
      <c r="I1416" s="5">
        <f>VLOOKUP(B1416,Sheet2!$J$4:$K$15,2,0)</f>
        <v>12</v>
      </c>
      <c r="J1416" s="5">
        <f>IFERROR(VLOOKUP(C1416,Sheet2!$M$4:$N$12,2,0),0)</f>
        <v>10000</v>
      </c>
      <c r="K1416" s="5" t="str">
        <f t="shared" si="22"/>
        <v>within budget</v>
      </c>
    </row>
    <row r="1417" spans="1:11" x14ac:dyDescent="0.3">
      <c r="A1417" s="6">
        <v>45325</v>
      </c>
      <c r="B1417" s="5" t="s">
        <v>33</v>
      </c>
      <c r="C1417" s="5" t="s">
        <v>7</v>
      </c>
      <c r="D1417" s="5" t="s">
        <v>26</v>
      </c>
      <c r="E1417" s="5" t="s">
        <v>9</v>
      </c>
      <c r="F1417" s="5">
        <v>2783</v>
      </c>
      <c r="G1417" s="5" t="str">
        <f>VLOOKUP(C1417,Sheet2!$C$3:$D$12,2,0)</f>
        <v>Fixed</v>
      </c>
      <c r="H1417" s="5" t="str">
        <f>IFERROR(VLOOKUP(E1417,Sheet2!$G$3:$H$8,2,0),"unkwon")</f>
        <v>online</v>
      </c>
      <c r="I1417" s="5">
        <f>VLOOKUP(B1417,Sheet2!$J$4:$K$15,2,0)</f>
        <v>2</v>
      </c>
      <c r="J1417" s="5">
        <f>IFERROR(VLOOKUP(C1417,Sheet2!$M$4:$N$12,2,0),0)</f>
        <v>2000</v>
      </c>
      <c r="K1417" s="5" t="str">
        <f t="shared" si="22"/>
        <v>over budget</v>
      </c>
    </row>
    <row r="1418" spans="1:11" x14ac:dyDescent="0.3">
      <c r="A1418" s="6">
        <v>45604</v>
      </c>
      <c r="B1418" s="5" t="s">
        <v>40</v>
      </c>
      <c r="C1418" s="5" t="s">
        <v>27</v>
      </c>
      <c r="D1418" s="5" t="s">
        <v>34</v>
      </c>
      <c r="E1418" s="5" t="s">
        <v>12</v>
      </c>
      <c r="F1418" s="5">
        <v>188</v>
      </c>
      <c r="G1418" s="5" t="str">
        <f>VLOOKUP(C1418,Sheet2!$C$3:$D$12,2,0)</f>
        <v>Variable</v>
      </c>
      <c r="H1418" s="5" t="str">
        <f>IFERROR(VLOOKUP(E1418,Sheet2!$G$3:$H$8,2,0),"unkwon")</f>
        <v>online</v>
      </c>
      <c r="I1418" s="5">
        <f>VLOOKUP(B1418,Sheet2!$J$4:$K$15,2,0)</f>
        <v>11</v>
      </c>
      <c r="J1418" s="5">
        <f>IFERROR(VLOOKUP(C1418,Sheet2!$M$4:$N$12,2,0),0)</f>
        <v>4000</v>
      </c>
      <c r="K1418" s="5" t="str">
        <f t="shared" si="22"/>
        <v>within budget</v>
      </c>
    </row>
    <row r="1419" spans="1:11" x14ac:dyDescent="0.3">
      <c r="A1419" s="6">
        <v>45235</v>
      </c>
      <c r="B1419" s="5" t="s">
        <v>40</v>
      </c>
      <c r="C1419" s="5" t="s">
        <v>30</v>
      </c>
      <c r="D1419" s="5" t="s">
        <v>24</v>
      </c>
      <c r="E1419" s="5" t="s">
        <v>9</v>
      </c>
      <c r="F1419" s="5">
        <v>2180</v>
      </c>
      <c r="G1419" s="5" t="str">
        <f>VLOOKUP(C1419,Sheet2!$C$3:$D$12,2,0)</f>
        <v>Fixed</v>
      </c>
      <c r="H1419" s="5" t="str">
        <f>IFERROR(VLOOKUP(E1419,Sheet2!$G$3:$H$8,2,0),"unkwon")</f>
        <v>online</v>
      </c>
      <c r="I1419" s="5">
        <f>VLOOKUP(B1419,Sheet2!$J$4:$K$15,2,0)</f>
        <v>11</v>
      </c>
      <c r="J1419" s="5">
        <f>IFERROR(VLOOKUP(C1419,Sheet2!$M$4:$N$12,2,0),0)</f>
        <v>3000</v>
      </c>
      <c r="K1419" s="5" t="str">
        <f t="shared" si="22"/>
        <v>within budget</v>
      </c>
    </row>
    <row r="1420" spans="1:11" x14ac:dyDescent="0.3">
      <c r="A1420" s="6">
        <v>45189</v>
      </c>
      <c r="B1420" s="5" t="s">
        <v>38</v>
      </c>
      <c r="C1420" s="5" t="s">
        <v>35</v>
      </c>
      <c r="D1420" s="5" t="s">
        <v>26</v>
      </c>
      <c r="E1420" s="5" t="s">
        <v>17</v>
      </c>
      <c r="F1420" s="5">
        <v>271</v>
      </c>
      <c r="G1420" s="5" t="str">
        <f>VLOOKUP(C1420,Sheet2!$C$3:$D$12,2,0)</f>
        <v>Fixed</v>
      </c>
      <c r="H1420" s="5" t="str">
        <f>IFERROR(VLOOKUP(E1420,Sheet2!$G$3:$H$8,2,0),"unkwon")</f>
        <v>online</v>
      </c>
      <c r="I1420" s="5">
        <f>VLOOKUP(B1420,Sheet2!$J$4:$K$15,2,0)</f>
        <v>9</v>
      </c>
      <c r="J1420" s="5">
        <f>IFERROR(VLOOKUP(C1420,Sheet2!$M$4:$N$12,2,0),0)</f>
        <v>5500</v>
      </c>
      <c r="K1420" s="5" t="str">
        <f t="shared" si="22"/>
        <v>within budget</v>
      </c>
    </row>
    <row r="1421" spans="1:11" x14ac:dyDescent="0.3">
      <c r="A1421" s="6">
        <v>45221</v>
      </c>
      <c r="B1421" s="5" t="s">
        <v>6</v>
      </c>
      <c r="C1421" s="5" t="s">
        <v>41</v>
      </c>
      <c r="D1421" s="5" t="s">
        <v>8</v>
      </c>
      <c r="E1421" s="5" t="s">
        <v>15</v>
      </c>
      <c r="F1421" s="5">
        <v>3173</v>
      </c>
      <c r="G1421" s="5" t="str">
        <f>VLOOKUP(C1421,Sheet2!$C$3:$D$12,2,0)</f>
        <v>Variable</v>
      </c>
      <c r="H1421" s="5" t="str">
        <f>IFERROR(VLOOKUP(E1421,Sheet2!$G$3:$H$8,2,0),"unkwon")</f>
        <v>online</v>
      </c>
      <c r="I1421" s="5">
        <f>VLOOKUP(B1421,Sheet2!$J$4:$K$15,2,0)</f>
        <v>10</v>
      </c>
      <c r="J1421" s="5">
        <f>IFERROR(VLOOKUP(C1421,Sheet2!$M$4:$N$12,2,0),0)</f>
        <v>7000</v>
      </c>
      <c r="K1421" s="5" t="str">
        <f t="shared" si="22"/>
        <v>within budget</v>
      </c>
    </row>
    <row r="1422" spans="1:11" x14ac:dyDescent="0.3">
      <c r="A1422" s="6">
        <v>45388</v>
      </c>
      <c r="B1422" s="5" t="s">
        <v>29</v>
      </c>
      <c r="C1422" s="5" t="s">
        <v>7</v>
      </c>
      <c r="D1422" s="5" t="s">
        <v>31</v>
      </c>
      <c r="E1422" s="5" t="s">
        <v>32</v>
      </c>
      <c r="F1422" s="5">
        <v>2634</v>
      </c>
      <c r="G1422" s="5" t="str">
        <f>VLOOKUP(C1422,Sheet2!$C$3:$D$12,2,0)</f>
        <v>Fixed</v>
      </c>
      <c r="H1422" s="5" t="str">
        <f>IFERROR(VLOOKUP(E1422,Sheet2!$G$3:$H$8,2,0),"unkwon")</f>
        <v>offline</v>
      </c>
      <c r="I1422" s="5">
        <f>VLOOKUP(B1422,Sheet2!$J$4:$K$15,2,0)</f>
        <v>4</v>
      </c>
      <c r="J1422" s="5">
        <f>IFERROR(VLOOKUP(C1422,Sheet2!$M$4:$N$12,2,0),0)</f>
        <v>2000</v>
      </c>
      <c r="K1422" s="5" t="str">
        <f t="shared" si="22"/>
        <v>over budget</v>
      </c>
    </row>
    <row r="1423" spans="1:11" x14ac:dyDescent="0.3">
      <c r="A1423" s="6">
        <v>45379</v>
      </c>
      <c r="B1423" s="5" t="s">
        <v>19</v>
      </c>
      <c r="C1423" s="5" t="s">
        <v>36</v>
      </c>
      <c r="D1423" s="5" t="s">
        <v>11</v>
      </c>
      <c r="E1423" s="5" t="s">
        <v>12</v>
      </c>
      <c r="F1423" s="5">
        <v>1992</v>
      </c>
      <c r="G1423" s="5" t="str">
        <f>VLOOKUP(C1423,Sheet2!$C$3:$D$12,2,0)</f>
        <v>Variable</v>
      </c>
      <c r="H1423" s="5" t="str">
        <f>IFERROR(VLOOKUP(E1423,Sheet2!$G$3:$H$8,2,0),"unkwon")</f>
        <v>online</v>
      </c>
      <c r="I1423" s="5">
        <f>VLOOKUP(B1423,Sheet2!$J$4:$K$15,2,0)</f>
        <v>3</v>
      </c>
      <c r="J1423" s="5">
        <f>IFERROR(VLOOKUP(C1423,Sheet2!$M$4:$N$12,2,0),0)</f>
        <v>10000</v>
      </c>
      <c r="K1423" s="5" t="str">
        <f t="shared" si="22"/>
        <v>within budget</v>
      </c>
    </row>
    <row r="1424" spans="1:11" x14ac:dyDescent="0.3">
      <c r="A1424" s="6">
        <v>45274</v>
      </c>
      <c r="B1424" s="5" t="s">
        <v>16</v>
      </c>
      <c r="C1424" s="5" t="s">
        <v>30</v>
      </c>
      <c r="D1424" s="5" t="s">
        <v>26</v>
      </c>
      <c r="E1424" s="5" t="s">
        <v>32</v>
      </c>
      <c r="F1424" s="5">
        <v>2795</v>
      </c>
      <c r="G1424" s="5" t="str">
        <f>VLOOKUP(C1424,Sheet2!$C$3:$D$12,2,0)</f>
        <v>Fixed</v>
      </c>
      <c r="H1424" s="5" t="str">
        <f>IFERROR(VLOOKUP(E1424,Sheet2!$G$3:$H$8,2,0),"unkwon")</f>
        <v>offline</v>
      </c>
      <c r="I1424" s="5">
        <f>VLOOKUP(B1424,Sheet2!$J$4:$K$15,2,0)</f>
        <v>12</v>
      </c>
      <c r="J1424" s="5">
        <f>IFERROR(VLOOKUP(C1424,Sheet2!$M$4:$N$12,2,0),0)</f>
        <v>3000</v>
      </c>
      <c r="K1424" s="5" t="str">
        <f t="shared" si="22"/>
        <v>within budget</v>
      </c>
    </row>
    <row r="1425" spans="1:11" x14ac:dyDescent="0.3">
      <c r="A1425" s="6">
        <v>45579</v>
      </c>
      <c r="B1425" s="5" t="s">
        <v>6</v>
      </c>
      <c r="C1425" s="5" t="s">
        <v>36</v>
      </c>
      <c r="D1425" s="5" t="s">
        <v>31</v>
      </c>
      <c r="E1425" s="5" t="s">
        <v>12</v>
      </c>
      <c r="F1425" s="5">
        <v>982</v>
      </c>
      <c r="G1425" s="5" t="str">
        <f>VLOOKUP(C1425,Sheet2!$C$3:$D$12,2,0)</f>
        <v>Variable</v>
      </c>
      <c r="H1425" s="5" t="str">
        <f>IFERROR(VLOOKUP(E1425,Sheet2!$G$3:$H$8,2,0),"unkwon")</f>
        <v>online</v>
      </c>
      <c r="I1425" s="5">
        <f>VLOOKUP(B1425,Sheet2!$J$4:$K$15,2,0)</f>
        <v>10</v>
      </c>
      <c r="J1425" s="5">
        <f>IFERROR(VLOOKUP(C1425,Sheet2!$M$4:$N$12,2,0),0)</f>
        <v>10000</v>
      </c>
      <c r="K1425" s="5" t="str">
        <f t="shared" si="22"/>
        <v>within budget</v>
      </c>
    </row>
    <row r="1426" spans="1:11" x14ac:dyDescent="0.3">
      <c r="A1426" s="6">
        <v>45599</v>
      </c>
      <c r="B1426" s="5" t="s">
        <v>40</v>
      </c>
      <c r="C1426" s="5" t="s">
        <v>27</v>
      </c>
      <c r="D1426" s="5" t="s">
        <v>26</v>
      </c>
      <c r="E1426" s="5" t="s">
        <v>32</v>
      </c>
      <c r="F1426" s="5">
        <v>1882</v>
      </c>
      <c r="G1426" s="5" t="str">
        <f>VLOOKUP(C1426,Sheet2!$C$3:$D$12,2,0)</f>
        <v>Variable</v>
      </c>
      <c r="H1426" s="5" t="str">
        <f>IFERROR(VLOOKUP(E1426,Sheet2!$G$3:$H$8,2,0),"unkwon")</f>
        <v>offline</v>
      </c>
      <c r="I1426" s="5">
        <f>VLOOKUP(B1426,Sheet2!$J$4:$K$15,2,0)</f>
        <v>11</v>
      </c>
      <c r="J1426" s="5">
        <f>IFERROR(VLOOKUP(C1426,Sheet2!$M$4:$N$12,2,0),0)</f>
        <v>4000</v>
      </c>
      <c r="K1426" s="5" t="str">
        <f t="shared" si="22"/>
        <v>within budget</v>
      </c>
    </row>
    <row r="1427" spans="1:11" x14ac:dyDescent="0.3">
      <c r="A1427" s="6">
        <v>44945</v>
      </c>
      <c r="B1427" s="5" t="s">
        <v>37</v>
      </c>
      <c r="C1427" s="5" t="s">
        <v>7</v>
      </c>
      <c r="D1427" s="5" t="s">
        <v>26</v>
      </c>
      <c r="E1427" s="5" t="s">
        <v>32</v>
      </c>
      <c r="F1427" s="5">
        <v>3998</v>
      </c>
      <c r="G1427" s="5" t="str">
        <f>VLOOKUP(C1427,Sheet2!$C$3:$D$12,2,0)</f>
        <v>Fixed</v>
      </c>
      <c r="H1427" s="5" t="str">
        <f>IFERROR(VLOOKUP(E1427,Sheet2!$G$3:$H$8,2,0),"unkwon")</f>
        <v>offline</v>
      </c>
      <c r="I1427" s="5">
        <f>VLOOKUP(B1427,Sheet2!$J$4:$K$15,2,0)</f>
        <v>1</v>
      </c>
      <c r="J1427" s="5">
        <f>IFERROR(VLOOKUP(C1427,Sheet2!$M$4:$N$12,2,0),0)</f>
        <v>2000</v>
      </c>
      <c r="K1427" s="5" t="str">
        <f t="shared" si="22"/>
        <v>over budget</v>
      </c>
    </row>
    <row r="1428" spans="1:11" x14ac:dyDescent="0.3">
      <c r="A1428" s="6">
        <v>45154</v>
      </c>
      <c r="B1428" s="5" t="s">
        <v>25</v>
      </c>
      <c r="C1428" s="5" t="s">
        <v>13</v>
      </c>
      <c r="D1428" s="5" t="s">
        <v>34</v>
      </c>
      <c r="E1428" s="5" t="s">
        <v>12</v>
      </c>
      <c r="F1428" s="5">
        <v>1608</v>
      </c>
      <c r="G1428" s="5" t="str">
        <f>VLOOKUP(C1428,Sheet2!$C$3:$D$12,2,0)</f>
        <v>Variable</v>
      </c>
      <c r="H1428" s="5" t="str">
        <f>IFERROR(VLOOKUP(E1428,Sheet2!$G$3:$H$8,2,0),"unkwon")</f>
        <v>online</v>
      </c>
      <c r="I1428" s="5">
        <f>VLOOKUP(B1428,Sheet2!$J$4:$K$15,2,0)</f>
        <v>8</v>
      </c>
      <c r="J1428" s="5">
        <f>IFERROR(VLOOKUP(C1428,Sheet2!$M$4:$N$12,2,0),0)</f>
        <v>5000</v>
      </c>
      <c r="K1428" s="5" t="str">
        <f t="shared" si="22"/>
        <v>within budget</v>
      </c>
    </row>
    <row r="1429" spans="1:11" x14ac:dyDescent="0.3">
      <c r="A1429" s="6">
        <v>45220</v>
      </c>
      <c r="B1429" s="5" t="s">
        <v>6</v>
      </c>
      <c r="C1429" s="5" t="s">
        <v>35</v>
      </c>
      <c r="D1429" s="5" t="s">
        <v>31</v>
      </c>
      <c r="E1429" s="5" t="s">
        <v>15</v>
      </c>
      <c r="F1429" s="5">
        <v>1698</v>
      </c>
      <c r="G1429" s="5" t="str">
        <f>VLOOKUP(C1429,Sheet2!$C$3:$D$12,2,0)</f>
        <v>Fixed</v>
      </c>
      <c r="H1429" s="5" t="str">
        <f>IFERROR(VLOOKUP(E1429,Sheet2!$G$3:$H$8,2,0),"unkwon")</f>
        <v>online</v>
      </c>
      <c r="I1429" s="5">
        <f>VLOOKUP(B1429,Sheet2!$J$4:$K$15,2,0)</f>
        <v>10</v>
      </c>
      <c r="J1429" s="5">
        <f>IFERROR(VLOOKUP(C1429,Sheet2!$M$4:$N$12,2,0),0)</f>
        <v>5500</v>
      </c>
      <c r="K1429" s="5" t="str">
        <f t="shared" si="22"/>
        <v>within budget</v>
      </c>
    </row>
    <row r="1430" spans="1:11" x14ac:dyDescent="0.3">
      <c r="A1430" s="6">
        <v>45343</v>
      </c>
      <c r="B1430" s="5" t="s">
        <v>33</v>
      </c>
      <c r="C1430" s="5" t="s">
        <v>30</v>
      </c>
      <c r="D1430" s="5" t="s">
        <v>18</v>
      </c>
      <c r="E1430" s="5" t="s">
        <v>17</v>
      </c>
      <c r="F1430" s="5">
        <v>4426</v>
      </c>
      <c r="G1430" s="5" t="str">
        <f>VLOOKUP(C1430,Sheet2!$C$3:$D$12,2,0)</f>
        <v>Fixed</v>
      </c>
      <c r="H1430" s="5" t="str">
        <f>IFERROR(VLOOKUP(E1430,Sheet2!$G$3:$H$8,2,0),"unkwon")</f>
        <v>online</v>
      </c>
      <c r="I1430" s="5">
        <f>VLOOKUP(B1430,Sheet2!$J$4:$K$15,2,0)</f>
        <v>2</v>
      </c>
      <c r="J1430" s="5">
        <f>IFERROR(VLOOKUP(C1430,Sheet2!$M$4:$N$12,2,0),0)</f>
        <v>3000</v>
      </c>
      <c r="K1430" s="5" t="str">
        <f t="shared" si="22"/>
        <v>over budget</v>
      </c>
    </row>
    <row r="1431" spans="1:11" x14ac:dyDescent="0.3">
      <c r="A1431" s="6">
        <v>45633</v>
      </c>
      <c r="B1431" s="5" t="s">
        <v>16</v>
      </c>
      <c r="C1431" s="5" t="s">
        <v>7</v>
      </c>
      <c r="D1431" s="5" t="s">
        <v>23</v>
      </c>
      <c r="E1431" s="5" t="s">
        <v>12</v>
      </c>
      <c r="F1431" s="5">
        <v>2249</v>
      </c>
      <c r="G1431" s="5" t="str">
        <f>VLOOKUP(C1431,Sheet2!$C$3:$D$12,2,0)</f>
        <v>Fixed</v>
      </c>
      <c r="H1431" s="5" t="str">
        <f>IFERROR(VLOOKUP(E1431,Sheet2!$G$3:$H$8,2,0),"unkwon")</f>
        <v>online</v>
      </c>
      <c r="I1431" s="5">
        <f>VLOOKUP(B1431,Sheet2!$J$4:$K$15,2,0)</f>
        <v>12</v>
      </c>
      <c r="J1431" s="5">
        <f>IFERROR(VLOOKUP(C1431,Sheet2!$M$4:$N$12,2,0),0)</f>
        <v>2000</v>
      </c>
      <c r="K1431" s="5" t="str">
        <f t="shared" si="22"/>
        <v>over budget</v>
      </c>
    </row>
    <row r="1432" spans="1:11" x14ac:dyDescent="0.3">
      <c r="A1432" s="6">
        <v>45429</v>
      </c>
      <c r="B1432" s="5" t="s">
        <v>28</v>
      </c>
      <c r="C1432" s="5" t="s">
        <v>7</v>
      </c>
      <c r="D1432" s="5" t="s">
        <v>23</v>
      </c>
      <c r="E1432" s="5" t="s">
        <v>32</v>
      </c>
      <c r="F1432" s="5">
        <v>691</v>
      </c>
      <c r="G1432" s="5" t="str">
        <f>VLOOKUP(C1432,Sheet2!$C$3:$D$12,2,0)</f>
        <v>Fixed</v>
      </c>
      <c r="H1432" s="5" t="str">
        <f>IFERROR(VLOOKUP(E1432,Sheet2!$G$3:$H$8,2,0),"unkwon")</f>
        <v>offline</v>
      </c>
      <c r="I1432" s="5">
        <f>VLOOKUP(B1432,Sheet2!$J$4:$K$15,2,0)</f>
        <v>5</v>
      </c>
      <c r="J1432" s="5">
        <f>IFERROR(VLOOKUP(C1432,Sheet2!$M$4:$N$12,2,0),0)</f>
        <v>2000</v>
      </c>
      <c r="K1432" s="5" t="str">
        <f t="shared" si="22"/>
        <v>within budget</v>
      </c>
    </row>
    <row r="1433" spans="1:11" x14ac:dyDescent="0.3">
      <c r="A1433" s="6">
        <v>44942</v>
      </c>
      <c r="B1433" s="5" t="s">
        <v>37</v>
      </c>
      <c r="C1433" s="5" t="s">
        <v>22</v>
      </c>
      <c r="D1433" s="5" t="s">
        <v>31</v>
      </c>
      <c r="E1433" s="5" t="s">
        <v>9</v>
      </c>
      <c r="F1433" s="5">
        <v>316</v>
      </c>
      <c r="G1433" s="5" t="str">
        <f>VLOOKUP(C1433,Sheet2!$C$3:$D$12,2,0)</f>
        <v>Variable</v>
      </c>
      <c r="H1433" s="5" t="str">
        <f>IFERROR(VLOOKUP(E1433,Sheet2!$G$3:$H$8,2,0),"unkwon")</f>
        <v>online</v>
      </c>
      <c r="I1433" s="5">
        <f>VLOOKUP(B1433,Sheet2!$J$4:$K$15,2,0)</f>
        <v>1</v>
      </c>
      <c r="J1433" s="5">
        <f>IFERROR(VLOOKUP(C1433,Sheet2!$M$4:$N$12,2,0),0)</f>
        <v>1000</v>
      </c>
      <c r="K1433" s="5" t="str">
        <f t="shared" si="22"/>
        <v>within budget</v>
      </c>
    </row>
    <row r="1434" spans="1:11" x14ac:dyDescent="0.3">
      <c r="A1434" s="6">
        <v>45376</v>
      </c>
      <c r="B1434" s="5" t="s">
        <v>19</v>
      </c>
      <c r="C1434" s="5" t="s">
        <v>41</v>
      </c>
      <c r="D1434" s="5" t="s">
        <v>23</v>
      </c>
      <c r="E1434" s="5" t="s">
        <v>12</v>
      </c>
      <c r="F1434" s="5">
        <v>3222</v>
      </c>
      <c r="G1434" s="5" t="str">
        <f>VLOOKUP(C1434,Sheet2!$C$3:$D$12,2,0)</f>
        <v>Variable</v>
      </c>
      <c r="H1434" s="5" t="str">
        <f>IFERROR(VLOOKUP(E1434,Sheet2!$G$3:$H$8,2,0),"unkwon")</f>
        <v>online</v>
      </c>
      <c r="I1434" s="5">
        <f>VLOOKUP(B1434,Sheet2!$J$4:$K$15,2,0)</f>
        <v>3</v>
      </c>
      <c r="J1434" s="5">
        <f>IFERROR(VLOOKUP(C1434,Sheet2!$M$4:$N$12,2,0),0)</f>
        <v>7000</v>
      </c>
      <c r="K1434" s="5" t="str">
        <f t="shared" si="22"/>
        <v>within budget</v>
      </c>
    </row>
    <row r="1435" spans="1:11" x14ac:dyDescent="0.3">
      <c r="A1435" s="6">
        <v>45438</v>
      </c>
      <c r="B1435" s="5" t="s">
        <v>28</v>
      </c>
      <c r="C1435" s="5" t="s">
        <v>30</v>
      </c>
      <c r="D1435" s="5" t="s">
        <v>18</v>
      </c>
      <c r="E1435" s="5" t="s">
        <v>17</v>
      </c>
      <c r="F1435" s="5">
        <v>790</v>
      </c>
      <c r="G1435" s="5" t="str">
        <f>VLOOKUP(C1435,Sheet2!$C$3:$D$12,2,0)</f>
        <v>Fixed</v>
      </c>
      <c r="H1435" s="5" t="str">
        <f>IFERROR(VLOOKUP(E1435,Sheet2!$G$3:$H$8,2,0),"unkwon")</f>
        <v>online</v>
      </c>
      <c r="I1435" s="5">
        <f>VLOOKUP(B1435,Sheet2!$J$4:$K$15,2,0)</f>
        <v>5</v>
      </c>
      <c r="J1435" s="5">
        <f>IFERROR(VLOOKUP(C1435,Sheet2!$M$4:$N$12,2,0),0)</f>
        <v>3000</v>
      </c>
      <c r="K1435" s="5" t="str">
        <f t="shared" si="22"/>
        <v>within budget</v>
      </c>
    </row>
    <row r="1436" spans="1:11" x14ac:dyDescent="0.3">
      <c r="A1436" s="6">
        <v>45165</v>
      </c>
      <c r="B1436" s="5" t="s">
        <v>25</v>
      </c>
      <c r="C1436" s="5" t="s">
        <v>7</v>
      </c>
      <c r="D1436" s="5" t="s">
        <v>24</v>
      </c>
      <c r="E1436" s="5" t="s">
        <v>15</v>
      </c>
      <c r="F1436" s="5">
        <v>2645</v>
      </c>
      <c r="G1436" s="5" t="str">
        <f>VLOOKUP(C1436,Sheet2!$C$3:$D$12,2,0)</f>
        <v>Fixed</v>
      </c>
      <c r="H1436" s="5" t="str">
        <f>IFERROR(VLOOKUP(E1436,Sheet2!$G$3:$H$8,2,0),"unkwon")</f>
        <v>online</v>
      </c>
      <c r="I1436" s="5">
        <f>VLOOKUP(B1436,Sheet2!$J$4:$K$15,2,0)</f>
        <v>8</v>
      </c>
      <c r="J1436" s="5">
        <f>IFERROR(VLOOKUP(C1436,Sheet2!$M$4:$N$12,2,0),0)</f>
        <v>2000</v>
      </c>
      <c r="K1436" s="5" t="str">
        <f t="shared" si="22"/>
        <v>over budget</v>
      </c>
    </row>
    <row r="1437" spans="1:11" x14ac:dyDescent="0.3">
      <c r="A1437" s="6">
        <v>44990</v>
      </c>
      <c r="B1437" s="5" t="s">
        <v>19</v>
      </c>
      <c r="C1437" s="5" t="s">
        <v>36</v>
      </c>
      <c r="D1437" s="5" t="s">
        <v>31</v>
      </c>
      <c r="E1437" s="5" t="s">
        <v>15</v>
      </c>
      <c r="F1437" s="5">
        <v>1825</v>
      </c>
      <c r="G1437" s="5" t="str">
        <f>VLOOKUP(C1437,Sheet2!$C$3:$D$12,2,0)</f>
        <v>Variable</v>
      </c>
      <c r="H1437" s="5" t="str">
        <f>IFERROR(VLOOKUP(E1437,Sheet2!$G$3:$H$8,2,0),"unkwon")</f>
        <v>online</v>
      </c>
      <c r="I1437" s="5">
        <f>VLOOKUP(B1437,Sheet2!$J$4:$K$15,2,0)</f>
        <v>3</v>
      </c>
      <c r="J1437" s="5">
        <f>IFERROR(VLOOKUP(C1437,Sheet2!$M$4:$N$12,2,0),0)</f>
        <v>10000</v>
      </c>
      <c r="K1437" s="5" t="str">
        <f t="shared" si="22"/>
        <v>within budget</v>
      </c>
    </row>
    <row r="1438" spans="1:11" x14ac:dyDescent="0.3">
      <c r="A1438" s="6">
        <v>44960</v>
      </c>
      <c r="B1438" s="5" t="s">
        <v>33</v>
      </c>
      <c r="C1438" s="5" t="s">
        <v>35</v>
      </c>
      <c r="D1438" s="5" t="s">
        <v>11</v>
      </c>
      <c r="E1438" s="5" t="s">
        <v>15</v>
      </c>
      <c r="F1438" s="5">
        <v>3380</v>
      </c>
      <c r="G1438" s="5" t="str">
        <f>VLOOKUP(C1438,Sheet2!$C$3:$D$12,2,0)</f>
        <v>Fixed</v>
      </c>
      <c r="H1438" s="5" t="str">
        <f>IFERROR(VLOOKUP(E1438,Sheet2!$G$3:$H$8,2,0),"unkwon")</f>
        <v>online</v>
      </c>
      <c r="I1438" s="5">
        <f>VLOOKUP(B1438,Sheet2!$J$4:$K$15,2,0)</f>
        <v>2</v>
      </c>
      <c r="J1438" s="5">
        <f>IFERROR(VLOOKUP(C1438,Sheet2!$M$4:$N$12,2,0),0)</f>
        <v>5500</v>
      </c>
      <c r="K1438" s="5" t="str">
        <f t="shared" si="22"/>
        <v>within budget</v>
      </c>
    </row>
    <row r="1439" spans="1:11" x14ac:dyDescent="0.3">
      <c r="A1439" s="6">
        <v>45004</v>
      </c>
      <c r="B1439" s="5" t="s">
        <v>19</v>
      </c>
      <c r="C1439" s="5" t="s">
        <v>41</v>
      </c>
      <c r="D1439" s="5" t="s">
        <v>34</v>
      </c>
      <c r="E1439" s="5" t="s">
        <v>17</v>
      </c>
      <c r="F1439" s="5">
        <v>3970</v>
      </c>
      <c r="G1439" s="5" t="str">
        <f>VLOOKUP(C1439,Sheet2!$C$3:$D$12,2,0)</f>
        <v>Variable</v>
      </c>
      <c r="H1439" s="5" t="str">
        <f>IFERROR(VLOOKUP(E1439,Sheet2!$G$3:$H$8,2,0),"unkwon")</f>
        <v>online</v>
      </c>
      <c r="I1439" s="5">
        <f>VLOOKUP(B1439,Sheet2!$J$4:$K$15,2,0)</f>
        <v>3</v>
      </c>
      <c r="J1439" s="5">
        <f>IFERROR(VLOOKUP(C1439,Sheet2!$M$4:$N$12,2,0),0)</f>
        <v>7000</v>
      </c>
      <c r="K1439" s="5" t="str">
        <f t="shared" si="22"/>
        <v>within budget</v>
      </c>
    </row>
    <row r="1440" spans="1:11" x14ac:dyDescent="0.3">
      <c r="A1440" s="6">
        <v>45601</v>
      </c>
      <c r="B1440" s="5" t="s">
        <v>40</v>
      </c>
      <c r="C1440" s="5" t="s">
        <v>36</v>
      </c>
      <c r="D1440" s="5" t="s">
        <v>14</v>
      </c>
      <c r="E1440" s="5" t="s">
        <v>9</v>
      </c>
      <c r="F1440" s="5">
        <v>1455</v>
      </c>
      <c r="G1440" s="5" t="str">
        <f>VLOOKUP(C1440,Sheet2!$C$3:$D$12,2,0)</f>
        <v>Variable</v>
      </c>
      <c r="H1440" s="5" t="str">
        <f>IFERROR(VLOOKUP(E1440,Sheet2!$G$3:$H$8,2,0),"unkwon")</f>
        <v>online</v>
      </c>
      <c r="I1440" s="5">
        <f>VLOOKUP(B1440,Sheet2!$J$4:$K$15,2,0)</f>
        <v>11</v>
      </c>
      <c r="J1440" s="5">
        <f>IFERROR(VLOOKUP(C1440,Sheet2!$M$4:$N$12,2,0),0)</f>
        <v>10000</v>
      </c>
      <c r="K1440" s="5" t="str">
        <f t="shared" si="22"/>
        <v>within budget</v>
      </c>
    </row>
    <row r="1441" spans="1:11" x14ac:dyDescent="0.3">
      <c r="A1441" s="6">
        <v>45223</v>
      </c>
      <c r="B1441" s="5" t="s">
        <v>6</v>
      </c>
      <c r="C1441" s="5" t="s">
        <v>35</v>
      </c>
      <c r="D1441" s="5" t="s">
        <v>11</v>
      </c>
      <c r="E1441" s="5" t="s">
        <v>32</v>
      </c>
      <c r="F1441" s="5">
        <v>1289</v>
      </c>
      <c r="G1441" s="5" t="str">
        <f>VLOOKUP(C1441,Sheet2!$C$3:$D$12,2,0)</f>
        <v>Fixed</v>
      </c>
      <c r="H1441" s="5" t="str">
        <f>IFERROR(VLOOKUP(E1441,Sheet2!$G$3:$H$8,2,0),"unkwon")</f>
        <v>offline</v>
      </c>
      <c r="I1441" s="5">
        <f>VLOOKUP(B1441,Sheet2!$J$4:$K$15,2,0)</f>
        <v>10</v>
      </c>
      <c r="J1441" s="5">
        <f>IFERROR(VLOOKUP(C1441,Sheet2!$M$4:$N$12,2,0),0)</f>
        <v>5500</v>
      </c>
      <c r="K1441" s="5" t="str">
        <f t="shared" si="22"/>
        <v>within budget</v>
      </c>
    </row>
    <row r="1442" spans="1:11" x14ac:dyDescent="0.3">
      <c r="A1442" s="6">
        <v>45531</v>
      </c>
      <c r="B1442" s="5" t="s">
        <v>25</v>
      </c>
      <c r="C1442" s="5" t="s">
        <v>7</v>
      </c>
      <c r="D1442" s="5" t="s">
        <v>34</v>
      </c>
      <c r="E1442" s="5" t="s">
        <v>9</v>
      </c>
      <c r="F1442" s="5">
        <v>3159</v>
      </c>
      <c r="G1442" s="5" t="str">
        <f>VLOOKUP(C1442,Sheet2!$C$3:$D$12,2,0)</f>
        <v>Fixed</v>
      </c>
      <c r="H1442" s="5" t="str">
        <f>IFERROR(VLOOKUP(E1442,Sheet2!$G$3:$H$8,2,0),"unkwon")</f>
        <v>online</v>
      </c>
      <c r="I1442" s="5">
        <f>VLOOKUP(B1442,Sheet2!$J$4:$K$15,2,0)</f>
        <v>8</v>
      </c>
      <c r="J1442" s="5">
        <f>IFERROR(VLOOKUP(C1442,Sheet2!$M$4:$N$12,2,0),0)</f>
        <v>2000</v>
      </c>
      <c r="K1442" s="5" t="str">
        <f t="shared" si="22"/>
        <v>over budget</v>
      </c>
    </row>
    <row r="1443" spans="1:11" x14ac:dyDescent="0.3">
      <c r="A1443" s="6">
        <v>44934</v>
      </c>
      <c r="B1443" s="5" t="s">
        <v>37</v>
      </c>
      <c r="C1443" s="5" t="s">
        <v>30</v>
      </c>
      <c r="D1443" s="5" t="s">
        <v>8</v>
      </c>
      <c r="E1443" s="5" t="s">
        <v>9</v>
      </c>
      <c r="F1443" s="5">
        <v>4795</v>
      </c>
      <c r="G1443" s="5" t="str">
        <f>VLOOKUP(C1443,Sheet2!$C$3:$D$12,2,0)</f>
        <v>Fixed</v>
      </c>
      <c r="H1443" s="5" t="str">
        <f>IFERROR(VLOOKUP(E1443,Sheet2!$G$3:$H$8,2,0),"unkwon")</f>
        <v>online</v>
      </c>
      <c r="I1443" s="5">
        <f>VLOOKUP(B1443,Sheet2!$J$4:$K$15,2,0)</f>
        <v>1</v>
      </c>
      <c r="J1443" s="5">
        <f>IFERROR(VLOOKUP(C1443,Sheet2!$M$4:$N$12,2,0),0)</f>
        <v>3000</v>
      </c>
      <c r="K1443" s="5" t="str">
        <f t="shared" si="22"/>
        <v>over budget</v>
      </c>
    </row>
    <row r="1444" spans="1:11" x14ac:dyDescent="0.3">
      <c r="A1444" s="6">
        <v>45619</v>
      </c>
      <c r="B1444" s="5" t="s">
        <v>40</v>
      </c>
      <c r="C1444" s="5" t="s">
        <v>13</v>
      </c>
      <c r="D1444" s="5" t="s">
        <v>11</v>
      </c>
      <c r="E1444" s="5" t="s">
        <v>12</v>
      </c>
      <c r="F1444" s="5">
        <v>2337</v>
      </c>
      <c r="G1444" s="5" t="str">
        <f>VLOOKUP(C1444,Sheet2!$C$3:$D$12,2,0)</f>
        <v>Variable</v>
      </c>
      <c r="H1444" s="5" t="str">
        <f>IFERROR(VLOOKUP(E1444,Sheet2!$G$3:$H$8,2,0),"unkwon")</f>
        <v>online</v>
      </c>
      <c r="I1444" s="5">
        <f>VLOOKUP(B1444,Sheet2!$J$4:$K$15,2,0)</f>
        <v>11</v>
      </c>
      <c r="J1444" s="5">
        <f>IFERROR(VLOOKUP(C1444,Sheet2!$M$4:$N$12,2,0),0)</f>
        <v>5000</v>
      </c>
      <c r="K1444" s="5" t="str">
        <f t="shared" si="22"/>
        <v>within budget</v>
      </c>
    </row>
    <row r="1445" spans="1:11" x14ac:dyDescent="0.3">
      <c r="A1445" s="6">
        <v>45356</v>
      </c>
      <c r="B1445" s="5" t="s">
        <v>19</v>
      </c>
      <c r="C1445" s="5" t="s">
        <v>30</v>
      </c>
      <c r="D1445" s="5" t="s">
        <v>26</v>
      </c>
      <c r="E1445" s="5" t="s">
        <v>12</v>
      </c>
      <c r="F1445" s="5">
        <v>4612</v>
      </c>
      <c r="G1445" s="5" t="str">
        <f>VLOOKUP(C1445,Sheet2!$C$3:$D$12,2,0)</f>
        <v>Fixed</v>
      </c>
      <c r="H1445" s="5" t="str">
        <f>IFERROR(VLOOKUP(E1445,Sheet2!$G$3:$H$8,2,0),"unkwon")</f>
        <v>online</v>
      </c>
      <c r="I1445" s="5">
        <f>VLOOKUP(B1445,Sheet2!$J$4:$K$15,2,0)</f>
        <v>3</v>
      </c>
      <c r="J1445" s="5">
        <f>IFERROR(VLOOKUP(C1445,Sheet2!$M$4:$N$12,2,0),0)</f>
        <v>3000</v>
      </c>
      <c r="K1445" s="5" t="str">
        <f t="shared" si="22"/>
        <v>over budget</v>
      </c>
    </row>
    <row r="1446" spans="1:11" x14ac:dyDescent="0.3">
      <c r="A1446" s="6">
        <v>45578</v>
      </c>
      <c r="B1446" s="5" t="s">
        <v>6</v>
      </c>
      <c r="C1446" s="5" t="s">
        <v>22</v>
      </c>
      <c r="D1446" s="5" t="s">
        <v>8</v>
      </c>
      <c r="E1446" s="5" t="s">
        <v>32</v>
      </c>
      <c r="F1446" s="5">
        <v>3724</v>
      </c>
      <c r="G1446" s="5" t="str">
        <f>VLOOKUP(C1446,Sheet2!$C$3:$D$12,2,0)</f>
        <v>Variable</v>
      </c>
      <c r="H1446" s="5" t="str">
        <f>IFERROR(VLOOKUP(E1446,Sheet2!$G$3:$H$8,2,0),"unkwon")</f>
        <v>offline</v>
      </c>
      <c r="I1446" s="5">
        <f>VLOOKUP(B1446,Sheet2!$J$4:$K$15,2,0)</f>
        <v>10</v>
      </c>
      <c r="J1446" s="5">
        <f>IFERROR(VLOOKUP(C1446,Sheet2!$M$4:$N$12,2,0),0)</f>
        <v>1000</v>
      </c>
      <c r="K1446" s="5" t="str">
        <f t="shared" si="22"/>
        <v>over budget</v>
      </c>
    </row>
    <row r="1447" spans="1:11" x14ac:dyDescent="0.3">
      <c r="A1447" s="6">
        <v>45158</v>
      </c>
      <c r="B1447" s="5" t="s">
        <v>25</v>
      </c>
      <c r="C1447" s="5" t="s">
        <v>30</v>
      </c>
      <c r="D1447" s="5" t="s">
        <v>24</v>
      </c>
      <c r="E1447" s="5" t="s">
        <v>17</v>
      </c>
      <c r="F1447" s="5">
        <v>4445</v>
      </c>
      <c r="G1447" s="5" t="str">
        <f>VLOOKUP(C1447,Sheet2!$C$3:$D$12,2,0)</f>
        <v>Fixed</v>
      </c>
      <c r="H1447" s="5" t="str">
        <f>IFERROR(VLOOKUP(E1447,Sheet2!$G$3:$H$8,2,0),"unkwon")</f>
        <v>online</v>
      </c>
      <c r="I1447" s="5">
        <f>VLOOKUP(B1447,Sheet2!$J$4:$K$15,2,0)</f>
        <v>8</v>
      </c>
      <c r="J1447" s="5">
        <f>IFERROR(VLOOKUP(C1447,Sheet2!$M$4:$N$12,2,0),0)</f>
        <v>3000</v>
      </c>
      <c r="K1447" s="5" t="str">
        <f t="shared" si="22"/>
        <v>over budget</v>
      </c>
    </row>
    <row r="1448" spans="1:11" x14ac:dyDescent="0.3">
      <c r="A1448" s="6">
        <v>45305</v>
      </c>
      <c r="B1448" s="5" t="s">
        <v>37</v>
      </c>
      <c r="C1448" s="5" t="s">
        <v>10</v>
      </c>
      <c r="D1448" s="5" t="s">
        <v>31</v>
      </c>
      <c r="E1448" s="5" t="s">
        <v>15</v>
      </c>
      <c r="F1448" s="5">
        <v>3682</v>
      </c>
      <c r="G1448" s="5" t="str">
        <f>VLOOKUP(C1448,Sheet2!$C$3:$D$12,2,0)</f>
        <v>Variable</v>
      </c>
      <c r="H1448" s="5" t="str">
        <f>IFERROR(VLOOKUP(E1448,Sheet2!$G$3:$H$8,2,0),"unkwon")</f>
        <v>online</v>
      </c>
      <c r="I1448" s="5">
        <f>VLOOKUP(B1448,Sheet2!$J$4:$K$15,2,0)</f>
        <v>1</v>
      </c>
      <c r="J1448" s="5">
        <f>IFERROR(VLOOKUP(C1448,Sheet2!$M$4:$N$12,2,0),0)</f>
        <v>5000</v>
      </c>
      <c r="K1448" s="5" t="str">
        <f t="shared" si="22"/>
        <v>within budget</v>
      </c>
    </row>
    <row r="1449" spans="1:11" x14ac:dyDescent="0.3">
      <c r="A1449" s="6">
        <v>45442</v>
      </c>
      <c r="B1449" s="5" t="s">
        <v>28</v>
      </c>
      <c r="C1449" s="5" t="s">
        <v>13</v>
      </c>
      <c r="D1449" s="5" t="s">
        <v>20</v>
      </c>
      <c r="E1449" s="5" t="s">
        <v>32</v>
      </c>
      <c r="F1449" s="5">
        <v>249</v>
      </c>
      <c r="G1449" s="5" t="str">
        <f>VLOOKUP(C1449,Sheet2!$C$3:$D$12,2,0)</f>
        <v>Variable</v>
      </c>
      <c r="H1449" s="5" t="str">
        <f>IFERROR(VLOOKUP(E1449,Sheet2!$G$3:$H$8,2,0),"unkwon")</f>
        <v>offline</v>
      </c>
      <c r="I1449" s="5">
        <f>VLOOKUP(B1449,Sheet2!$J$4:$K$15,2,0)</f>
        <v>5</v>
      </c>
      <c r="J1449" s="5">
        <f>IFERROR(VLOOKUP(C1449,Sheet2!$M$4:$N$12,2,0),0)</f>
        <v>5000</v>
      </c>
      <c r="K1449" s="5" t="str">
        <f t="shared" si="22"/>
        <v>within budget</v>
      </c>
    </row>
    <row r="1450" spans="1:11" x14ac:dyDescent="0.3">
      <c r="A1450" s="6">
        <v>45551</v>
      </c>
      <c r="B1450" s="5" t="s">
        <v>38</v>
      </c>
      <c r="C1450" s="5" t="s">
        <v>22</v>
      </c>
      <c r="D1450" s="5" t="s">
        <v>18</v>
      </c>
      <c r="E1450" s="5" t="s">
        <v>17</v>
      </c>
      <c r="F1450" s="5">
        <v>2932</v>
      </c>
      <c r="G1450" s="5" t="str">
        <f>VLOOKUP(C1450,Sheet2!$C$3:$D$12,2,0)</f>
        <v>Variable</v>
      </c>
      <c r="H1450" s="5" t="str">
        <f>IFERROR(VLOOKUP(E1450,Sheet2!$G$3:$H$8,2,0),"unkwon")</f>
        <v>online</v>
      </c>
      <c r="I1450" s="5">
        <f>VLOOKUP(B1450,Sheet2!$J$4:$K$15,2,0)</f>
        <v>9</v>
      </c>
      <c r="J1450" s="5">
        <f>IFERROR(VLOOKUP(C1450,Sheet2!$M$4:$N$12,2,0),0)</f>
        <v>1000</v>
      </c>
      <c r="K1450" s="5" t="str">
        <f t="shared" si="22"/>
        <v>over budget</v>
      </c>
    </row>
    <row r="1451" spans="1:11" x14ac:dyDescent="0.3">
      <c r="A1451" s="6">
        <v>45134</v>
      </c>
      <c r="B1451" s="5" t="s">
        <v>21</v>
      </c>
      <c r="C1451" s="5" t="s">
        <v>10</v>
      </c>
      <c r="D1451" s="5" t="s">
        <v>14</v>
      </c>
      <c r="E1451" s="5" t="s">
        <v>17</v>
      </c>
      <c r="F1451" s="5">
        <v>973</v>
      </c>
      <c r="G1451" s="5" t="str">
        <f>VLOOKUP(C1451,Sheet2!$C$3:$D$12,2,0)</f>
        <v>Variable</v>
      </c>
      <c r="H1451" s="5" t="str">
        <f>IFERROR(VLOOKUP(E1451,Sheet2!$G$3:$H$8,2,0),"unkwon")</f>
        <v>online</v>
      </c>
      <c r="I1451" s="5">
        <f>VLOOKUP(B1451,Sheet2!$J$4:$K$15,2,0)</f>
        <v>7</v>
      </c>
      <c r="J1451" s="5">
        <f>IFERROR(VLOOKUP(C1451,Sheet2!$M$4:$N$12,2,0),0)</f>
        <v>5000</v>
      </c>
      <c r="K1451" s="5" t="str">
        <f t="shared" si="22"/>
        <v>within budget</v>
      </c>
    </row>
    <row r="1452" spans="1:11" x14ac:dyDescent="0.3">
      <c r="A1452" s="6">
        <v>45409</v>
      </c>
      <c r="B1452" s="5" t="s">
        <v>29</v>
      </c>
      <c r="C1452" s="5" t="s">
        <v>27</v>
      </c>
      <c r="D1452" s="5" t="s">
        <v>14</v>
      </c>
      <c r="E1452" s="5" t="s">
        <v>17</v>
      </c>
      <c r="F1452" s="5">
        <v>4745</v>
      </c>
      <c r="G1452" s="5" t="str">
        <f>VLOOKUP(C1452,Sheet2!$C$3:$D$12,2,0)</f>
        <v>Variable</v>
      </c>
      <c r="H1452" s="5" t="str">
        <f>IFERROR(VLOOKUP(E1452,Sheet2!$G$3:$H$8,2,0),"unkwon")</f>
        <v>online</v>
      </c>
      <c r="I1452" s="5">
        <f>VLOOKUP(B1452,Sheet2!$J$4:$K$15,2,0)</f>
        <v>4</v>
      </c>
      <c r="J1452" s="5">
        <f>IFERROR(VLOOKUP(C1452,Sheet2!$M$4:$N$12,2,0),0)</f>
        <v>4000</v>
      </c>
      <c r="K1452" s="5" t="str">
        <f t="shared" si="22"/>
        <v>over budget</v>
      </c>
    </row>
    <row r="1453" spans="1:11" x14ac:dyDescent="0.3">
      <c r="A1453" s="6">
        <v>45535</v>
      </c>
      <c r="B1453" s="5" t="s">
        <v>25</v>
      </c>
      <c r="C1453" s="5" t="s">
        <v>36</v>
      </c>
      <c r="D1453" s="5" t="s">
        <v>20</v>
      </c>
      <c r="E1453" s="5" t="s">
        <v>15</v>
      </c>
      <c r="F1453" s="5">
        <v>3924</v>
      </c>
      <c r="G1453" s="5" t="str">
        <f>VLOOKUP(C1453,Sheet2!$C$3:$D$12,2,0)</f>
        <v>Variable</v>
      </c>
      <c r="H1453" s="5" t="str">
        <f>IFERROR(VLOOKUP(E1453,Sheet2!$G$3:$H$8,2,0),"unkwon")</f>
        <v>online</v>
      </c>
      <c r="I1453" s="5">
        <f>VLOOKUP(B1453,Sheet2!$J$4:$K$15,2,0)</f>
        <v>8</v>
      </c>
      <c r="J1453" s="5">
        <f>IFERROR(VLOOKUP(C1453,Sheet2!$M$4:$N$12,2,0),0)</f>
        <v>10000</v>
      </c>
      <c r="K1453" s="5" t="str">
        <f t="shared" si="22"/>
        <v>within budget</v>
      </c>
    </row>
    <row r="1454" spans="1:11" x14ac:dyDescent="0.3">
      <c r="A1454" s="6">
        <v>45145</v>
      </c>
      <c r="B1454" s="5" t="s">
        <v>25</v>
      </c>
      <c r="C1454" s="5" t="s">
        <v>36</v>
      </c>
      <c r="D1454" s="5" t="s">
        <v>23</v>
      </c>
      <c r="E1454" s="5" t="s">
        <v>15</v>
      </c>
      <c r="F1454" s="5">
        <v>2545</v>
      </c>
      <c r="G1454" s="5" t="str">
        <f>VLOOKUP(C1454,Sheet2!$C$3:$D$12,2,0)</f>
        <v>Variable</v>
      </c>
      <c r="H1454" s="5" t="str">
        <f>IFERROR(VLOOKUP(E1454,Sheet2!$G$3:$H$8,2,0),"unkwon")</f>
        <v>online</v>
      </c>
      <c r="I1454" s="5">
        <f>VLOOKUP(B1454,Sheet2!$J$4:$K$15,2,0)</f>
        <v>8</v>
      </c>
      <c r="J1454" s="5">
        <f>IFERROR(VLOOKUP(C1454,Sheet2!$M$4:$N$12,2,0),0)</f>
        <v>10000</v>
      </c>
      <c r="K1454" s="5" t="str">
        <f t="shared" si="22"/>
        <v>within budget</v>
      </c>
    </row>
    <row r="1455" spans="1:11" x14ac:dyDescent="0.3">
      <c r="A1455" s="6">
        <v>44993</v>
      </c>
      <c r="B1455" s="5" t="s">
        <v>19</v>
      </c>
      <c r="C1455" s="5" t="s">
        <v>41</v>
      </c>
      <c r="D1455" s="5" t="s">
        <v>34</v>
      </c>
      <c r="E1455" s="5" t="s">
        <v>17</v>
      </c>
      <c r="F1455" s="5">
        <v>3454</v>
      </c>
      <c r="G1455" s="5" t="str">
        <f>VLOOKUP(C1455,Sheet2!$C$3:$D$12,2,0)</f>
        <v>Variable</v>
      </c>
      <c r="H1455" s="5" t="str">
        <f>IFERROR(VLOOKUP(E1455,Sheet2!$G$3:$H$8,2,0),"unkwon")</f>
        <v>online</v>
      </c>
      <c r="I1455" s="5">
        <f>VLOOKUP(B1455,Sheet2!$J$4:$K$15,2,0)</f>
        <v>3</v>
      </c>
      <c r="J1455" s="5">
        <f>IFERROR(VLOOKUP(C1455,Sheet2!$M$4:$N$12,2,0),0)</f>
        <v>7000</v>
      </c>
      <c r="K1455" s="5" t="str">
        <f t="shared" si="22"/>
        <v>within budget</v>
      </c>
    </row>
    <row r="1456" spans="1:11" x14ac:dyDescent="0.3">
      <c r="A1456" s="6">
        <v>45051</v>
      </c>
      <c r="B1456" s="5" t="s">
        <v>28</v>
      </c>
      <c r="C1456" s="5" t="s">
        <v>10</v>
      </c>
      <c r="D1456" s="5" t="s">
        <v>14</v>
      </c>
      <c r="E1456" s="5" t="s">
        <v>9</v>
      </c>
      <c r="F1456" s="5">
        <v>1222</v>
      </c>
      <c r="G1456" s="5" t="str">
        <f>VLOOKUP(C1456,Sheet2!$C$3:$D$12,2,0)</f>
        <v>Variable</v>
      </c>
      <c r="H1456" s="5" t="str">
        <f>IFERROR(VLOOKUP(E1456,Sheet2!$G$3:$H$8,2,0),"unkwon")</f>
        <v>online</v>
      </c>
      <c r="I1456" s="5">
        <f>VLOOKUP(B1456,Sheet2!$J$4:$K$15,2,0)</f>
        <v>5</v>
      </c>
      <c r="J1456" s="5">
        <f>IFERROR(VLOOKUP(C1456,Sheet2!$M$4:$N$12,2,0),0)</f>
        <v>5000</v>
      </c>
      <c r="K1456" s="5" t="str">
        <f t="shared" si="22"/>
        <v>within budget</v>
      </c>
    </row>
    <row r="1457" spans="1:11" x14ac:dyDescent="0.3">
      <c r="A1457" s="6">
        <v>45650</v>
      </c>
      <c r="B1457" s="5" t="s">
        <v>16</v>
      </c>
      <c r="C1457" s="5" t="s">
        <v>30</v>
      </c>
      <c r="D1457" s="5" t="s">
        <v>18</v>
      </c>
      <c r="E1457" s="5" t="s">
        <v>9</v>
      </c>
      <c r="F1457" s="5">
        <v>3848</v>
      </c>
      <c r="G1457" s="5" t="str">
        <f>VLOOKUP(C1457,Sheet2!$C$3:$D$12,2,0)</f>
        <v>Fixed</v>
      </c>
      <c r="H1457" s="5" t="str">
        <f>IFERROR(VLOOKUP(E1457,Sheet2!$G$3:$H$8,2,0),"unkwon")</f>
        <v>online</v>
      </c>
      <c r="I1457" s="5">
        <f>VLOOKUP(B1457,Sheet2!$J$4:$K$15,2,0)</f>
        <v>12</v>
      </c>
      <c r="J1457" s="5">
        <f>IFERROR(VLOOKUP(C1457,Sheet2!$M$4:$N$12,2,0),0)</f>
        <v>3000</v>
      </c>
      <c r="K1457" s="5" t="str">
        <f t="shared" si="22"/>
        <v>over budget</v>
      </c>
    </row>
    <row r="1458" spans="1:11" x14ac:dyDescent="0.3">
      <c r="A1458" s="6">
        <v>45459</v>
      </c>
      <c r="B1458" s="5" t="s">
        <v>39</v>
      </c>
      <c r="C1458" s="5" t="s">
        <v>35</v>
      </c>
      <c r="D1458" s="5" t="s">
        <v>8</v>
      </c>
      <c r="E1458" s="5" t="s">
        <v>9</v>
      </c>
      <c r="F1458" s="5">
        <v>1351</v>
      </c>
      <c r="G1458" s="5" t="str">
        <f>VLOOKUP(C1458,Sheet2!$C$3:$D$12,2,0)</f>
        <v>Fixed</v>
      </c>
      <c r="H1458" s="5" t="str">
        <f>IFERROR(VLOOKUP(E1458,Sheet2!$G$3:$H$8,2,0),"unkwon")</f>
        <v>online</v>
      </c>
      <c r="I1458" s="5">
        <f>VLOOKUP(B1458,Sheet2!$J$4:$K$15,2,0)</f>
        <v>6</v>
      </c>
      <c r="J1458" s="5">
        <f>IFERROR(VLOOKUP(C1458,Sheet2!$M$4:$N$12,2,0),0)</f>
        <v>5500</v>
      </c>
      <c r="K1458" s="5" t="str">
        <f t="shared" si="22"/>
        <v>within budget</v>
      </c>
    </row>
    <row r="1459" spans="1:11" x14ac:dyDescent="0.3">
      <c r="A1459" s="6">
        <v>45503</v>
      </c>
      <c r="B1459" s="5" t="s">
        <v>21</v>
      </c>
      <c r="C1459" s="5" t="s">
        <v>22</v>
      </c>
      <c r="D1459" s="5" t="s">
        <v>24</v>
      </c>
      <c r="E1459" s="5" t="s">
        <v>17</v>
      </c>
      <c r="F1459" s="5">
        <v>3041</v>
      </c>
      <c r="G1459" s="5" t="str">
        <f>VLOOKUP(C1459,Sheet2!$C$3:$D$12,2,0)</f>
        <v>Variable</v>
      </c>
      <c r="H1459" s="5" t="str">
        <f>IFERROR(VLOOKUP(E1459,Sheet2!$G$3:$H$8,2,0),"unkwon")</f>
        <v>online</v>
      </c>
      <c r="I1459" s="5">
        <f>VLOOKUP(B1459,Sheet2!$J$4:$K$15,2,0)</f>
        <v>7</v>
      </c>
      <c r="J1459" s="5">
        <f>IFERROR(VLOOKUP(C1459,Sheet2!$M$4:$N$12,2,0),0)</f>
        <v>1000</v>
      </c>
      <c r="K1459" s="5" t="str">
        <f t="shared" si="22"/>
        <v>over budget</v>
      </c>
    </row>
    <row r="1460" spans="1:11" x14ac:dyDescent="0.3">
      <c r="A1460" s="6">
        <v>45571</v>
      </c>
      <c r="B1460" s="5" t="s">
        <v>6</v>
      </c>
      <c r="C1460" s="5" t="s">
        <v>27</v>
      </c>
      <c r="D1460" s="5" t="s">
        <v>23</v>
      </c>
      <c r="E1460" s="5" t="s">
        <v>15</v>
      </c>
      <c r="F1460" s="5">
        <v>425</v>
      </c>
      <c r="G1460" s="5" t="str">
        <f>VLOOKUP(C1460,Sheet2!$C$3:$D$12,2,0)</f>
        <v>Variable</v>
      </c>
      <c r="H1460" s="5" t="str">
        <f>IFERROR(VLOOKUP(E1460,Sheet2!$G$3:$H$8,2,0),"unkwon")</f>
        <v>online</v>
      </c>
      <c r="I1460" s="5">
        <f>VLOOKUP(B1460,Sheet2!$J$4:$K$15,2,0)</f>
        <v>10</v>
      </c>
      <c r="J1460" s="5">
        <f>IFERROR(VLOOKUP(C1460,Sheet2!$M$4:$N$12,2,0),0)</f>
        <v>4000</v>
      </c>
      <c r="K1460" s="5" t="str">
        <f t="shared" si="22"/>
        <v>within budget</v>
      </c>
    </row>
    <row r="1461" spans="1:11" x14ac:dyDescent="0.3">
      <c r="A1461" s="6">
        <v>45111</v>
      </c>
      <c r="B1461" s="5" t="s">
        <v>21</v>
      </c>
      <c r="C1461" s="5" t="s">
        <v>7</v>
      </c>
      <c r="D1461" s="5" t="s">
        <v>20</v>
      </c>
      <c r="E1461" s="5" t="s">
        <v>15</v>
      </c>
      <c r="F1461" s="5">
        <v>4400</v>
      </c>
      <c r="G1461" s="5" t="str">
        <f>VLOOKUP(C1461,Sheet2!$C$3:$D$12,2,0)</f>
        <v>Fixed</v>
      </c>
      <c r="H1461" s="5" t="str">
        <f>IFERROR(VLOOKUP(E1461,Sheet2!$G$3:$H$8,2,0),"unkwon")</f>
        <v>online</v>
      </c>
      <c r="I1461" s="5">
        <f>VLOOKUP(B1461,Sheet2!$J$4:$K$15,2,0)</f>
        <v>7</v>
      </c>
      <c r="J1461" s="5">
        <f>IFERROR(VLOOKUP(C1461,Sheet2!$M$4:$N$12,2,0),0)</f>
        <v>2000</v>
      </c>
      <c r="K1461" s="5" t="str">
        <f t="shared" si="22"/>
        <v>over budget</v>
      </c>
    </row>
    <row r="1462" spans="1:11" x14ac:dyDescent="0.3">
      <c r="A1462" s="6">
        <v>45384</v>
      </c>
      <c r="B1462" s="5" t="s">
        <v>29</v>
      </c>
      <c r="C1462" s="5" t="s">
        <v>36</v>
      </c>
      <c r="D1462" s="5" t="s">
        <v>26</v>
      </c>
      <c r="E1462" s="5" t="s">
        <v>32</v>
      </c>
      <c r="F1462" s="5">
        <v>1313</v>
      </c>
      <c r="G1462" s="5" t="str">
        <f>VLOOKUP(C1462,Sheet2!$C$3:$D$12,2,0)</f>
        <v>Variable</v>
      </c>
      <c r="H1462" s="5" t="str">
        <f>IFERROR(VLOOKUP(E1462,Sheet2!$G$3:$H$8,2,0),"unkwon")</f>
        <v>offline</v>
      </c>
      <c r="I1462" s="5">
        <f>VLOOKUP(B1462,Sheet2!$J$4:$K$15,2,0)</f>
        <v>4</v>
      </c>
      <c r="J1462" s="5">
        <f>IFERROR(VLOOKUP(C1462,Sheet2!$M$4:$N$12,2,0),0)</f>
        <v>10000</v>
      </c>
      <c r="K1462" s="5" t="str">
        <f t="shared" si="22"/>
        <v>within budget</v>
      </c>
    </row>
    <row r="1463" spans="1:11" x14ac:dyDescent="0.3">
      <c r="A1463" s="6">
        <v>45291</v>
      </c>
      <c r="B1463" s="5" t="s">
        <v>16</v>
      </c>
      <c r="C1463" s="5" t="s">
        <v>41</v>
      </c>
      <c r="D1463" s="5" t="s">
        <v>26</v>
      </c>
      <c r="E1463" s="5" t="s">
        <v>15</v>
      </c>
      <c r="F1463" s="5">
        <v>4721</v>
      </c>
      <c r="G1463" s="5" t="str">
        <f>VLOOKUP(C1463,Sheet2!$C$3:$D$12,2,0)</f>
        <v>Variable</v>
      </c>
      <c r="H1463" s="5" t="str">
        <f>IFERROR(VLOOKUP(E1463,Sheet2!$G$3:$H$8,2,0),"unkwon")</f>
        <v>online</v>
      </c>
      <c r="I1463" s="5">
        <f>VLOOKUP(B1463,Sheet2!$J$4:$K$15,2,0)</f>
        <v>12</v>
      </c>
      <c r="J1463" s="5">
        <f>IFERROR(VLOOKUP(C1463,Sheet2!$M$4:$N$12,2,0),0)</f>
        <v>7000</v>
      </c>
      <c r="K1463" s="5" t="str">
        <f t="shared" si="22"/>
        <v>within budget</v>
      </c>
    </row>
    <row r="1464" spans="1:11" x14ac:dyDescent="0.3">
      <c r="A1464" s="6">
        <v>44990</v>
      </c>
      <c r="B1464" s="5" t="s">
        <v>19</v>
      </c>
      <c r="C1464" s="5" t="s">
        <v>30</v>
      </c>
      <c r="D1464" s="5" t="s">
        <v>23</v>
      </c>
      <c r="E1464" s="5" t="s">
        <v>9</v>
      </c>
      <c r="F1464" s="5">
        <v>4427</v>
      </c>
      <c r="G1464" s="5" t="str">
        <f>VLOOKUP(C1464,Sheet2!$C$3:$D$12,2,0)</f>
        <v>Fixed</v>
      </c>
      <c r="H1464" s="5" t="str">
        <f>IFERROR(VLOOKUP(E1464,Sheet2!$G$3:$H$8,2,0),"unkwon")</f>
        <v>online</v>
      </c>
      <c r="I1464" s="5">
        <f>VLOOKUP(B1464,Sheet2!$J$4:$K$15,2,0)</f>
        <v>3</v>
      </c>
      <c r="J1464" s="5">
        <f>IFERROR(VLOOKUP(C1464,Sheet2!$M$4:$N$12,2,0),0)</f>
        <v>3000</v>
      </c>
      <c r="K1464" s="5" t="str">
        <f t="shared" si="22"/>
        <v>over budget</v>
      </c>
    </row>
    <row r="1465" spans="1:11" x14ac:dyDescent="0.3">
      <c r="A1465" s="6">
        <v>44994</v>
      </c>
      <c r="B1465" s="5" t="s">
        <v>19</v>
      </c>
      <c r="C1465" s="5" t="s">
        <v>35</v>
      </c>
      <c r="D1465" s="5" t="s">
        <v>8</v>
      </c>
      <c r="E1465" s="5" t="s">
        <v>32</v>
      </c>
      <c r="F1465" s="5">
        <v>1427</v>
      </c>
      <c r="G1465" s="5" t="str">
        <f>VLOOKUP(C1465,Sheet2!$C$3:$D$12,2,0)</f>
        <v>Fixed</v>
      </c>
      <c r="H1465" s="5" t="str">
        <f>IFERROR(VLOOKUP(E1465,Sheet2!$G$3:$H$8,2,0),"unkwon")</f>
        <v>offline</v>
      </c>
      <c r="I1465" s="5">
        <f>VLOOKUP(B1465,Sheet2!$J$4:$K$15,2,0)</f>
        <v>3</v>
      </c>
      <c r="J1465" s="5">
        <f>IFERROR(VLOOKUP(C1465,Sheet2!$M$4:$N$12,2,0),0)</f>
        <v>5500</v>
      </c>
      <c r="K1465" s="5" t="str">
        <f t="shared" si="22"/>
        <v>within budget</v>
      </c>
    </row>
    <row r="1466" spans="1:11" x14ac:dyDescent="0.3">
      <c r="A1466" s="6">
        <v>45648</v>
      </c>
      <c r="B1466" s="5" t="s">
        <v>16</v>
      </c>
      <c r="C1466" s="5" t="s">
        <v>27</v>
      </c>
      <c r="D1466" s="5" t="s">
        <v>18</v>
      </c>
      <c r="E1466" s="5" t="s">
        <v>17</v>
      </c>
      <c r="F1466" s="5">
        <v>3214</v>
      </c>
      <c r="G1466" s="5" t="str">
        <f>VLOOKUP(C1466,Sheet2!$C$3:$D$12,2,0)</f>
        <v>Variable</v>
      </c>
      <c r="H1466" s="5" t="str">
        <f>IFERROR(VLOOKUP(E1466,Sheet2!$G$3:$H$8,2,0),"unkwon")</f>
        <v>online</v>
      </c>
      <c r="I1466" s="5">
        <f>VLOOKUP(B1466,Sheet2!$J$4:$K$15,2,0)</f>
        <v>12</v>
      </c>
      <c r="J1466" s="5">
        <f>IFERROR(VLOOKUP(C1466,Sheet2!$M$4:$N$12,2,0),0)</f>
        <v>4000</v>
      </c>
      <c r="K1466" s="5" t="str">
        <f t="shared" si="22"/>
        <v>within budget</v>
      </c>
    </row>
    <row r="1467" spans="1:11" x14ac:dyDescent="0.3">
      <c r="A1467" s="6">
        <v>44951</v>
      </c>
      <c r="B1467" s="5" t="s">
        <v>37</v>
      </c>
      <c r="C1467" s="5" t="s">
        <v>10</v>
      </c>
      <c r="D1467" s="5" t="s">
        <v>11</v>
      </c>
      <c r="E1467" s="5" t="s">
        <v>17</v>
      </c>
      <c r="F1467" s="5">
        <v>3222</v>
      </c>
      <c r="G1467" s="5" t="str">
        <f>VLOOKUP(C1467,Sheet2!$C$3:$D$12,2,0)</f>
        <v>Variable</v>
      </c>
      <c r="H1467" s="5" t="str">
        <f>IFERROR(VLOOKUP(E1467,Sheet2!$G$3:$H$8,2,0),"unkwon")</f>
        <v>online</v>
      </c>
      <c r="I1467" s="5">
        <f>VLOOKUP(B1467,Sheet2!$J$4:$K$15,2,0)</f>
        <v>1</v>
      </c>
      <c r="J1467" s="5">
        <f>IFERROR(VLOOKUP(C1467,Sheet2!$M$4:$N$12,2,0),0)</f>
        <v>5000</v>
      </c>
      <c r="K1467" s="5" t="str">
        <f t="shared" si="22"/>
        <v>within budget</v>
      </c>
    </row>
    <row r="1468" spans="1:11" x14ac:dyDescent="0.3">
      <c r="A1468" s="6">
        <v>45208</v>
      </c>
      <c r="B1468" s="5" t="s">
        <v>6</v>
      </c>
      <c r="C1468" s="5" t="s">
        <v>13</v>
      </c>
      <c r="D1468" s="5" t="s">
        <v>24</v>
      </c>
      <c r="E1468" s="5" t="s">
        <v>12</v>
      </c>
      <c r="F1468" s="5">
        <v>3849</v>
      </c>
      <c r="G1468" s="5" t="str">
        <f>VLOOKUP(C1468,Sheet2!$C$3:$D$12,2,0)</f>
        <v>Variable</v>
      </c>
      <c r="H1468" s="5" t="str">
        <f>IFERROR(VLOOKUP(E1468,Sheet2!$G$3:$H$8,2,0),"unkwon")</f>
        <v>online</v>
      </c>
      <c r="I1468" s="5">
        <f>VLOOKUP(B1468,Sheet2!$J$4:$K$15,2,0)</f>
        <v>10</v>
      </c>
      <c r="J1468" s="5">
        <f>IFERROR(VLOOKUP(C1468,Sheet2!$M$4:$N$12,2,0),0)</f>
        <v>5000</v>
      </c>
      <c r="K1468" s="5" t="str">
        <f t="shared" si="22"/>
        <v>within budget</v>
      </c>
    </row>
    <row r="1469" spans="1:11" x14ac:dyDescent="0.3">
      <c r="A1469" s="6">
        <v>45485</v>
      </c>
      <c r="B1469" s="5" t="s">
        <v>21</v>
      </c>
      <c r="C1469" s="5" t="s">
        <v>36</v>
      </c>
      <c r="D1469" s="5" t="s">
        <v>20</v>
      </c>
      <c r="E1469" s="5" t="s">
        <v>15</v>
      </c>
      <c r="F1469" s="5">
        <v>4172</v>
      </c>
      <c r="G1469" s="5" t="str">
        <f>VLOOKUP(C1469,Sheet2!$C$3:$D$12,2,0)</f>
        <v>Variable</v>
      </c>
      <c r="H1469" s="5" t="str">
        <f>IFERROR(VLOOKUP(E1469,Sheet2!$G$3:$H$8,2,0),"unkwon")</f>
        <v>online</v>
      </c>
      <c r="I1469" s="5">
        <f>VLOOKUP(B1469,Sheet2!$J$4:$K$15,2,0)</f>
        <v>7</v>
      </c>
      <c r="J1469" s="5">
        <f>IFERROR(VLOOKUP(C1469,Sheet2!$M$4:$N$12,2,0),0)</f>
        <v>10000</v>
      </c>
      <c r="K1469" s="5" t="str">
        <f t="shared" si="22"/>
        <v>within budget</v>
      </c>
    </row>
    <row r="1470" spans="1:11" x14ac:dyDescent="0.3">
      <c r="A1470" s="6">
        <v>45523</v>
      </c>
      <c r="B1470" s="5" t="s">
        <v>25</v>
      </c>
      <c r="C1470" s="5" t="s">
        <v>22</v>
      </c>
      <c r="D1470" s="5" t="s">
        <v>26</v>
      </c>
      <c r="E1470" s="5" t="s">
        <v>9</v>
      </c>
      <c r="F1470" s="5">
        <v>1465</v>
      </c>
      <c r="G1470" s="5" t="str">
        <f>VLOOKUP(C1470,Sheet2!$C$3:$D$12,2,0)</f>
        <v>Variable</v>
      </c>
      <c r="H1470" s="5" t="str">
        <f>IFERROR(VLOOKUP(E1470,Sheet2!$G$3:$H$8,2,0),"unkwon")</f>
        <v>online</v>
      </c>
      <c r="I1470" s="5">
        <f>VLOOKUP(B1470,Sheet2!$J$4:$K$15,2,0)</f>
        <v>8</v>
      </c>
      <c r="J1470" s="5">
        <f>IFERROR(VLOOKUP(C1470,Sheet2!$M$4:$N$12,2,0),0)</f>
        <v>1000</v>
      </c>
      <c r="K1470" s="5" t="str">
        <f t="shared" si="22"/>
        <v>over budget</v>
      </c>
    </row>
    <row r="1471" spans="1:11" x14ac:dyDescent="0.3">
      <c r="A1471" s="6">
        <v>45127</v>
      </c>
      <c r="B1471" s="5" t="s">
        <v>21</v>
      </c>
      <c r="C1471" s="5" t="s">
        <v>36</v>
      </c>
      <c r="D1471" s="5" t="s">
        <v>11</v>
      </c>
      <c r="E1471" s="5" t="s">
        <v>9</v>
      </c>
      <c r="F1471" s="5">
        <v>780</v>
      </c>
      <c r="G1471" s="5" t="str">
        <f>VLOOKUP(C1471,Sheet2!$C$3:$D$12,2,0)</f>
        <v>Variable</v>
      </c>
      <c r="H1471" s="5" t="str">
        <f>IFERROR(VLOOKUP(E1471,Sheet2!$G$3:$H$8,2,0),"unkwon")</f>
        <v>online</v>
      </c>
      <c r="I1471" s="5">
        <f>VLOOKUP(B1471,Sheet2!$J$4:$K$15,2,0)</f>
        <v>7</v>
      </c>
      <c r="J1471" s="5">
        <f>IFERROR(VLOOKUP(C1471,Sheet2!$M$4:$N$12,2,0),0)</f>
        <v>10000</v>
      </c>
      <c r="K1471" s="5" t="str">
        <f t="shared" si="22"/>
        <v>within budget</v>
      </c>
    </row>
    <row r="1472" spans="1:11" x14ac:dyDescent="0.3">
      <c r="A1472" s="6">
        <v>45651</v>
      </c>
      <c r="B1472" s="5" t="s">
        <v>16</v>
      </c>
      <c r="C1472" s="5" t="s">
        <v>13</v>
      </c>
      <c r="D1472" s="5" t="s">
        <v>24</v>
      </c>
      <c r="E1472" s="5" t="s">
        <v>15</v>
      </c>
      <c r="F1472" s="5">
        <v>4945</v>
      </c>
      <c r="G1472" s="5" t="str">
        <f>VLOOKUP(C1472,Sheet2!$C$3:$D$12,2,0)</f>
        <v>Variable</v>
      </c>
      <c r="H1472" s="5" t="str">
        <f>IFERROR(VLOOKUP(E1472,Sheet2!$G$3:$H$8,2,0),"unkwon")</f>
        <v>online</v>
      </c>
      <c r="I1472" s="5">
        <f>VLOOKUP(B1472,Sheet2!$J$4:$K$15,2,0)</f>
        <v>12</v>
      </c>
      <c r="J1472" s="5">
        <f>IFERROR(VLOOKUP(C1472,Sheet2!$M$4:$N$12,2,0),0)</f>
        <v>5000</v>
      </c>
      <c r="K1472" s="5" t="str">
        <f t="shared" si="22"/>
        <v>within budget</v>
      </c>
    </row>
    <row r="1473" spans="1:11" x14ac:dyDescent="0.3">
      <c r="A1473" s="6">
        <v>45656</v>
      </c>
      <c r="B1473" s="5" t="s">
        <v>16</v>
      </c>
      <c r="C1473" s="5" t="s">
        <v>36</v>
      </c>
      <c r="D1473" s="5" t="s">
        <v>24</v>
      </c>
      <c r="E1473" s="5" t="s">
        <v>12</v>
      </c>
      <c r="F1473" s="5">
        <v>3739</v>
      </c>
      <c r="G1473" s="5" t="str">
        <f>VLOOKUP(C1473,Sheet2!$C$3:$D$12,2,0)</f>
        <v>Variable</v>
      </c>
      <c r="H1473" s="5" t="str">
        <f>IFERROR(VLOOKUP(E1473,Sheet2!$G$3:$H$8,2,0),"unkwon")</f>
        <v>online</v>
      </c>
      <c r="I1473" s="5">
        <f>VLOOKUP(B1473,Sheet2!$J$4:$K$15,2,0)</f>
        <v>12</v>
      </c>
      <c r="J1473" s="5">
        <f>IFERROR(VLOOKUP(C1473,Sheet2!$M$4:$N$12,2,0),0)</f>
        <v>10000</v>
      </c>
      <c r="K1473" s="5" t="str">
        <f t="shared" si="22"/>
        <v>within budget</v>
      </c>
    </row>
    <row r="1474" spans="1:11" x14ac:dyDescent="0.3">
      <c r="A1474" s="6">
        <v>45108</v>
      </c>
      <c r="B1474" s="5" t="s">
        <v>21</v>
      </c>
      <c r="C1474" s="5" t="s">
        <v>35</v>
      </c>
      <c r="D1474" s="5" t="s">
        <v>18</v>
      </c>
      <c r="E1474" s="5" t="s">
        <v>12</v>
      </c>
      <c r="F1474" s="5">
        <v>3771</v>
      </c>
      <c r="G1474" s="5" t="str">
        <f>VLOOKUP(C1474,Sheet2!$C$3:$D$12,2,0)</f>
        <v>Fixed</v>
      </c>
      <c r="H1474" s="5" t="str">
        <f>IFERROR(VLOOKUP(E1474,Sheet2!$G$3:$H$8,2,0),"unkwon")</f>
        <v>online</v>
      </c>
      <c r="I1474" s="5">
        <f>VLOOKUP(B1474,Sheet2!$J$4:$K$15,2,0)</f>
        <v>7</v>
      </c>
      <c r="J1474" s="5">
        <f>IFERROR(VLOOKUP(C1474,Sheet2!$M$4:$N$12,2,0),0)</f>
        <v>5500</v>
      </c>
      <c r="K1474" s="5" t="str">
        <f t="shared" si="22"/>
        <v>within budget</v>
      </c>
    </row>
    <row r="1475" spans="1:11" x14ac:dyDescent="0.3">
      <c r="A1475" s="6">
        <v>45273</v>
      </c>
      <c r="B1475" s="5" t="s">
        <v>16</v>
      </c>
      <c r="C1475" s="5" t="s">
        <v>22</v>
      </c>
      <c r="D1475" s="5" t="s">
        <v>8</v>
      </c>
      <c r="E1475" s="5" t="s">
        <v>9</v>
      </c>
      <c r="F1475" s="5">
        <v>3846</v>
      </c>
      <c r="G1475" s="5" t="str">
        <f>VLOOKUP(C1475,Sheet2!$C$3:$D$12,2,0)</f>
        <v>Variable</v>
      </c>
      <c r="H1475" s="5" t="str">
        <f>IFERROR(VLOOKUP(E1475,Sheet2!$G$3:$H$8,2,0),"unkwon")</f>
        <v>online</v>
      </c>
      <c r="I1475" s="5">
        <f>VLOOKUP(B1475,Sheet2!$J$4:$K$15,2,0)</f>
        <v>12</v>
      </c>
      <c r="J1475" s="5">
        <f>IFERROR(VLOOKUP(C1475,Sheet2!$M$4:$N$12,2,0),0)</f>
        <v>1000</v>
      </c>
      <c r="K1475" s="5" t="str">
        <f t="shared" ref="K1475:K1538" si="23">IF(F1475&gt;J1475,"over budget","within budget")</f>
        <v>over budget</v>
      </c>
    </row>
    <row r="1476" spans="1:11" x14ac:dyDescent="0.3">
      <c r="A1476" s="6">
        <v>44967</v>
      </c>
      <c r="B1476" s="5" t="s">
        <v>33</v>
      </c>
      <c r="C1476" s="5" t="s">
        <v>27</v>
      </c>
      <c r="D1476" s="5" t="s">
        <v>8</v>
      </c>
      <c r="E1476" s="5" t="s">
        <v>32</v>
      </c>
      <c r="F1476" s="5">
        <v>4848</v>
      </c>
      <c r="G1476" s="5" t="str">
        <f>VLOOKUP(C1476,Sheet2!$C$3:$D$12,2,0)</f>
        <v>Variable</v>
      </c>
      <c r="H1476" s="5" t="str">
        <f>IFERROR(VLOOKUP(E1476,Sheet2!$G$3:$H$8,2,0),"unkwon")</f>
        <v>offline</v>
      </c>
      <c r="I1476" s="5">
        <f>VLOOKUP(B1476,Sheet2!$J$4:$K$15,2,0)</f>
        <v>2</v>
      </c>
      <c r="J1476" s="5">
        <f>IFERROR(VLOOKUP(C1476,Sheet2!$M$4:$N$12,2,0),0)</f>
        <v>4000</v>
      </c>
      <c r="K1476" s="5" t="str">
        <f t="shared" si="23"/>
        <v>over budget</v>
      </c>
    </row>
    <row r="1477" spans="1:11" x14ac:dyDescent="0.3">
      <c r="A1477" s="6">
        <v>45481</v>
      </c>
      <c r="B1477" s="5" t="s">
        <v>21</v>
      </c>
      <c r="C1477" s="5" t="s">
        <v>22</v>
      </c>
      <c r="D1477" s="5" t="s">
        <v>26</v>
      </c>
      <c r="E1477" s="5" t="s">
        <v>17</v>
      </c>
      <c r="F1477" s="5">
        <v>1242</v>
      </c>
      <c r="G1477" s="5" t="str">
        <f>VLOOKUP(C1477,Sheet2!$C$3:$D$12,2,0)</f>
        <v>Variable</v>
      </c>
      <c r="H1477" s="5" t="str">
        <f>IFERROR(VLOOKUP(E1477,Sheet2!$G$3:$H$8,2,0),"unkwon")</f>
        <v>online</v>
      </c>
      <c r="I1477" s="5">
        <f>VLOOKUP(B1477,Sheet2!$J$4:$K$15,2,0)</f>
        <v>7</v>
      </c>
      <c r="J1477" s="5">
        <f>IFERROR(VLOOKUP(C1477,Sheet2!$M$4:$N$12,2,0),0)</f>
        <v>1000</v>
      </c>
      <c r="K1477" s="5" t="str">
        <f t="shared" si="23"/>
        <v>over budget</v>
      </c>
    </row>
    <row r="1478" spans="1:11" x14ac:dyDescent="0.3">
      <c r="A1478" s="6">
        <v>45396</v>
      </c>
      <c r="B1478" s="5" t="s">
        <v>29</v>
      </c>
      <c r="C1478" s="5" t="s">
        <v>35</v>
      </c>
      <c r="D1478" s="5" t="s">
        <v>18</v>
      </c>
      <c r="E1478" s="5" t="s">
        <v>9</v>
      </c>
      <c r="F1478" s="5">
        <v>3374</v>
      </c>
      <c r="G1478" s="5" t="str">
        <f>VLOOKUP(C1478,Sheet2!$C$3:$D$12,2,0)</f>
        <v>Fixed</v>
      </c>
      <c r="H1478" s="5" t="str">
        <f>IFERROR(VLOOKUP(E1478,Sheet2!$G$3:$H$8,2,0),"unkwon")</f>
        <v>online</v>
      </c>
      <c r="I1478" s="5">
        <f>VLOOKUP(B1478,Sheet2!$J$4:$K$15,2,0)</f>
        <v>4</v>
      </c>
      <c r="J1478" s="5">
        <f>IFERROR(VLOOKUP(C1478,Sheet2!$M$4:$N$12,2,0),0)</f>
        <v>5500</v>
      </c>
      <c r="K1478" s="5" t="str">
        <f t="shared" si="23"/>
        <v>within budget</v>
      </c>
    </row>
    <row r="1479" spans="1:11" x14ac:dyDescent="0.3">
      <c r="A1479" s="6">
        <v>45288</v>
      </c>
      <c r="B1479" s="5" t="s">
        <v>16</v>
      </c>
      <c r="C1479" s="5" t="s">
        <v>27</v>
      </c>
      <c r="D1479" s="5" t="s">
        <v>26</v>
      </c>
      <c r="E1479" s="5" t="s">
        <v>12</v>
      </c>
      <c r="F1479" s="5">
        <v>3660</v>
      </c>
      <c r="G1479" s="5" t="str">
        <f>VLOOKUP(C1479,Sheet2!$C$3:$D$12,2,0)</f>
        <v>Variable</v>
      </c>
      <c r="H1479" s="5" t="str">
        <f>IFERROR(VLOOKUP(E1479,Sheet2!$G$3:$H$8,2,0),"unkwon")</f>
        <v>online</v>
      </c>
      <c r="I1479" s="5">
        <f>VLOOKUP(B1479,Sheet2!$J$4:$K$15,2,0)</f>
        <v>12</v>
      </c>
      <c r="J1479" s="5">
        <f>IFERROR(VLOOKUP(C1479,Sheet2!$M$4:$N$12,2,0),0)</f>
        <v>4000</v>
      </c>
      <c r="K1479" s="5" t="str">
        <f t="shared" si="23"/>
        <v>within budget</v>
      </c>
    </row>
    <row r="1480" spans="1:11" x14ac:dyDescent="0.3">
      <c r="A1480" s="6">
        <v>45078</v>
      </c>
      <c r="B1480" s="5" t="s">
        <v>39</v>
      </c>
      <c r="C1480" s="5" t="s">
        <v>7</v>
      </c>
      <c r="D1480" s="5" t="s">
        <v>14</v>
      </c>
      <c r="E1480" s="5" t="s">
        <v>12</v>
      </c>
      <c r="F1480" s="5">
        <v>2180</v>
      </c>
      <c r="G1480" s="5" t="str">
        <f>VLOOKUP(C1480,Sheet2!$C$3:$D$12,2,0)</f>
        <v>Fixed</v>
      </c>
      <c r="H1480" s="5" t="str">
        <f>IFERROR(VLOOKUP(E1480,Sheet2!$G$3:$H$8,2,0),"unkwon")</f>
        <v>online</v>
      </c>
      <c r="I1480" s="5">
        <f>VLOOKUP(B1480,Sheet2!$J$4:$K$15,2,0)</f>
        <v>6</v>
      </c>
      <c r="J1480" s="5">
        <f>IFERROR(VLOOKUP(C1480,Sheet2!$M$4:$N$12,2,0),0)</f>
        <v>2000</v>
      </c>
      <c r="K1480" s="5" t="str">
        <f t="shared" si="23"/>
        <v>over budget</v>
      </c>
    </row>
    <row r="1481" spans="1:11" x14ac:dyDescent="0.3">
      <c r="A1481" s="6">
        <v>45413</v>
      </c>
      <c r="B1481" s="5" t="s">
        <v>28</v>
      </c>
      <c r="C1481" s="5" t="s">
        <v>27</v>
      </c>
      <c r="D1481" s="5" t="s">
        <v>8</v>
      </c>
      <c r="E1481" s="5" t="s">
        <v>9</v>
      </c>
      <c r="F1481" s="5">
        <v>2021</v>
      </c>
      <c r="G1481" s="5" t="str">
        <f>VLOOKUP(C1481,Sheet2!$C$3:$D$12,2,0)</f>
        <v>Variable</v>
      </c>
      <c r="H1481" s="5" t="str">
        <f>IFERROR(VLOOKUP(E1481,Sheet2!$G$3:$H$8,2,0),"unkwon")</f>
        <v>online</v>
      </c>
      <c r="I1481" s="5">
        <f>VLOOKUP(B1481,Sheet2!$J$4:$K$15,2,0)</f>
        <v>5</v>
      </c>
      <c r="J1481" s="5">
        <f>IFERROR(VLOOKUP(C1481,Sheet2!$M$4:$N$12,2,0),0)</f>
        <v>4000</v>
      </c>
      <c r="K1481" s="5" t="str">
        <f t="shared" si="23"/>
        <v>within budget</v>
      </c>
    </row>
    <row r="1482" spans="1:11" x14ac:dyDescent="0.3">
      <c r="A1482" s="6">
        <v>44985</v>
      </c>
      <c r="B1482" s="5" t="s">
        <v>33</v>
      </c>
      <c r="C1482" s="5" t="s">
        <v>27</v>
      </c>
      <c r="D1482" s="5" t="s">
        <v>34</v>
      </c>
      <c r="E1482" s="5" t="s">
        <v>9</v>
      </c>
      <c r="F1482" s="5">
        <v>2890</v>
      </c>
      <c r="G1482" s="5" t="str">
        <f>VLOOKUP(C1482,Sheet2!$C$3:$D$12,2,0)</f>
        <v>Variable</v>
      </c>
      <c r="H1482" s="5" t="str">
        <f>IFERROR(VLOOKUP(E1482,Sheet2!$G$3:$H$8,2,0),"unkwon")</f>
        <v>online</v>
      </c>
      <c r="I1482" s="5">
        <f>VLOOKUP(B1482,Sheet2!$J$4:$K$15,2,0)</f>
        <v>2</v>
      </c>
      <c r="J1482" s="5">
        <f>IFERROR(VLOOKUP(C1482,Sheet2!$M$4:$N$12,2,0),0)</f>
        <v>4000</v>
      </c>
      <c r="K1482" s="5" t="str">
        <f t="shared" si="23"/>
        <v>within budget</v>
      </c>
    </row>
    <row r="1483" spans="1:11" x14ac:dyDescent="0.3">
      <c r="A1483" s="6">
        <v>45123</v>
      </c>
      <c r="B1483" s="5" t="s">
        <v>21</v>
      </c>
      <c r="C1483" s="5" t="s">
        <v>36</v>
      </c>
      <c r="D1483" s="5" t="s">
        <v>23</v>
      </c>
      <c r="E1483" s="5" t="s">
        <v>17</v>
      </c>
      <c r="F1483" s="5">
        <v>4877</v>
      </c>
      <c r="G1483" s="5" t="str">
        <f>VLOOKUP(C1483,Sheet2!$C$3:$D$12,2,0)</f>
        <v>Variable</v>
      </c>
      <c r="H1483" s="5" t="str">
        <f>IFERROR(VLOOKUP(E1483,Sheet2!$G$3:$H$8,2,0),"unkwon")</f>
        <v>online</v>
      </c>
      <c r="I1483" s="5">
        <f>VLOOKUP(B1483,Sheet2!$J$4:$K$15,2,0)</f>
        <v>7</v>
      </c>
      <c r="J1483" s="5">
        <f>IFERROR(VLOOKUP(C1483,Sheet2!$M$4:$N$12,2,0),0)</f>
        <v>10000</v>
      </c>
      <c r="K1483" s="5" t="str">
        <f t="shared" si="23"/>
        <v>within budget</v>
      </c>
    </row>
    <row r="1484" spans="1:11" x14ac:dyDescent="0.3">
      <c r="A1484" s="6">
        <v>45033</v>
      </c>
      <c r="B1484" s="5" t="s">
        <v>29</v>
      </c>
      <c r="C1484" s="5" t="s">
        <v>36</v>
      </c>
      <c r="D1484" s="5" t="s">
        <v>20</v>
      </c>
      <c r="E1484" s="5" t="s">
        <v>17</v>
      </c>
      <c r="F1484" s="5">
        <v>3796</v>
      </c>
      <c r="G1484" s="5" t="str">
        <f>VLOOKUP(C1484,Sheet2!$C$3:$D$12,2,0)</f>
        <v>Variable</v>
      </c>
      <c r="H1484" s="5" t="str">
        <f>IFERROR(VLOOKUP(E1484,Sheet2!$G$3:$H$8,2,0),"unkwon")</f>
        <v>online</v>
      </c>
      <c r="I1484" s="5">
        <f>VLOOKUP(B1484,Sheet2!$J$4:$K$15,2,0)</f>
        <v>4</v>
      </c>
      <c r="J1484" s="5">
        <f>IFERROR(VLOOKUP(C1484,Sheet2!$M$4:$N$12,2,0),0)</f>
        <v>10000</v>
      </c>
      <c r="K1484" s="5" t="str">
        <f t="shared" si="23"/>
        <v>within budget</v>
      </c>
    </row>
    <row r="1485" spans="1:11" x14ac:dyDescent="0.3">
      <c r="A1485" s="6">
        <v>45518</v>
      </c>
      <c r="B1485" s="5" t="s">
        <v>25</v>
      </c>
      <c r="C1485" s="5" t="s">
        <v>30</v>
      </c>
      <c r="D1485" s="5" t="s">
        <v>34</v>
      </c>
      <c r="E1485" s="5" t="s">
        <v>9</v>
      </c>
      <c r="F1485" s="5">
        <v>3670</v>
      </c>
      <c r="G1485" s="5" t="str">
        <f>VLOOKUP(C1485,Sheet2!$C$3:$D$12,2,0)</f>
        <v>Fixed</v>
      </c>
      <c r="H1485" s="5" t="str">
        <f>IFERROR(VLOOKUP(E1485,Sheet2!$G$3:$H$8,2,0),"unkwon")</f>
        <v>online</v>
      </c>
      <c r="I1485" s="5">
        <f>VLOOKUP(B1485,Sheet2!$J$4:$K$15,2,0)</f>
        <v>8</v>
      </c>
      <c r="J1485" s="5">
        <f>IFERROR(VLOOKUP(C1485,Sheet2!$M$4:$N$12,2,0),0)</f>
        <v>3000</v>
      </c>
      <c r="K1485" s="5" t="str">
        <f t="shared" si="23"/>
        <v>over budget</v>
      </c>
    </row>
    <row r="1486" spans="1:11" x14ac:dyDescent="0.3">
      <c r="A1486" s="6">
        <v>45385</v>
      </c>
      <c r="B1486" s="5" t="s">
        <v>29</v>
      </c>
      <c r="C1486" s="5" t="s">
        <v>30</v>
      </c>
      <c r="D1486" s="5" t="s">
        <v>26</v>
      </c>
      <c r="E1486" s="5" t="s">
        <v>15</v>
      </c>
      <c r="F1486" s="5">
        <v>196</v>
      </c>
      <c r="G1486" s="5" t="str">
        <f>VLOOKUP(C1486,Sheet2!$C$3:$D$12,2,0)</f>
        <v>Fixed</v>
      </c>
      <c r="H1486" s="5" t="str">
        <f>IFERROR(VLOOKUP(E1486,Sheet2!$G$3:$H$8,2,0),"unkwon")</f>
        <v>online</v>
      </c>
      <c r="I1486" s="5">
        <f>VLOOKUP(B1486,Sheet2!$J$4:$K$15,2,0)</f>
        <v>4</v>
      </c>
      <c r="J1486" s="5">
        <f>IFERROR(VLOOKUP(C1486,Sheet2!$M$4:$N$12,2,0),0)</f>
        <v>3000</v>
      </c>
      <c r="K1486" s="5" t="str">
        <f t="shared" si="23"/>
        <v>within budget</v>
      </c>
    </row>
    <row r="1487" spans="1:11" x14ac:dyDescent="0.3">
      <c r="A1487" s="6">
        <v>45141</v>
      </c>
      <c r="B1487" s="5" t="s">
        <v>25</v>
      </c>
      <c r="C1487" s="5" t="s">
        <v>35</v>
      </c>
      <c r="D1487" s="5" t="s">
        <v>23</v>
      </c>
      <c r="E1487" s="5" t="s">
        <v>17</v>
      </c>
      <c r="F1487" s="5">
        <v>1702</v>
      </c>
      <c r="G1487" s="5" t="str">
        <f>VLOOKUP(C1487,Sheet2!$C$3:$D$12,2,0)</f>
        <v>Fixed</v>
      </c>
      <c r="H1487" s="5" t="str">
        <f>IFERROR(VLOOKUP(E1487,Sheet2!$G$3:$H$8,2,0),"unkwon")</f>
        <v>online</v>
      </c>
      <c r="I1487" s="5">
        <f>VLOOKUP(B1487,Sheet2!$J$4:$K$15,2,0)</f>
        <v>8</v>
      </c>
      <c r="J1487" s="5">
        <f>IFERROR(VLOOKUP(C1487,Sheet2!$M$4:$N$12,2,0),0)</f>
        <v>5500</v>
      </c>
      <c r="K1487" s="5" t="str">
        <f t="shared" si="23"/>
        <v>within budget</v>
      </c>
    </row>
    <row r="1488" spans="1:11" x14ac:dyDescent="0.3">
      <c r="A1488" s="6">
        <v>45404</v>
      </c>
      <c r="B1488" s="5" t="s">
        <v>29</v>
      </c>
      <c r="C1488" s="5" t="s">
        <v>27</v>
      </c>
      <c r="D1488" s="5" t="s">
        <v>23</v>
      </c>
      <c r="E1488" s="5" t="s">
        <v>15</v>
      </c>
      <c r="F1488" s="5">
        <v>3968</v>
      </c>
      <c r="G1488" s="5" t="str">
        <f>VLOOKUP(C1488,Sheet2!$C$3:$D$12,2,0)</f>
        <v>Variable</v>
      </c>
      <c r="H1488" s="5" t="str">
        <f>IFERROR(VLOOKUP(E1488,Sheet2!$G$3:$H$8,2,0),"unkwon")</f>
        <v>online</v>
      </c>
      <c r="I1488" s="5">
        <f>VLOOKUP(B1488,Sheet2!$J$4:$K$15,2,0)</f>
        <v>4</v>
      </c>
      <c r="J1488" s="5">
        <f>IFERROR(VLOOKUP(C1488,Sheet2!$M$4:$N$12,2,0),0)</f>
        <v>4000</v>
      </c>
      <c r="K1488" s="5" t="str">
        <f t="shared" si="23"/>
        <v>within budget</v>
      </c>
    </row>
    <row r="1489" spans="1:11" x14ac:dyDescent="0.3">
      <c r="A1489" s="6">
        <v>45065</v>
      </c>
      <c r="B1489" s="5" t="s">
        <v>28</v>
      </c>
      <c r="C1489" s="5" t="s">
        <v>30</v>
      </c>
      <c r="D1489" s="5" t="s">
        <v>18</v>
      </c>
      <c r="E1489" s="5" t="s">
        <v>17</v>
      </c>
      <c r="F1489" s="5">
        <v>4780</v>
      </c>
      <c r="G1489" s="5" t="str">
        <f>VLOOKUP(C1489,Sheet2!$C$3:$D$12,2,0)</f>
        <v>Fixed</v>
      </c>
      <c r="H1489" s="5" t="str">
        <f>IFERROR(VLOOKUP(E1489,Sheet2!$G$3:$H$8,2,0),"unkwon")</f>
        <v>online</v>
      </c>
      <c r="I1489" s="5">
        <f>VLOOKUP(B1489,Sheet2!$J$4:$K$15,2,0)</f>
        <v>5</v>
      </c>
      <c r="J1489" s="5">
        <f>IFERROR(VLOOKUP(C1489,Sheet2!$M$4:$N$12,2,0),0)</f>
        <v>3000</v>
      </c>
      <c r="K1489" s="5" t="str">
        <f t="shared" si="23"/>
        <v>over budget</v>
      </c>
    </row>
    <row r="1490" spans="1:11" x14ac:dyDescent="0.3">
      <c r="A1490" s="6">
        <v>45272</v>
      </c>
      <c r="B1490" s="5" t="s">
        <v>16</v>
      </c>
      <c r="C1490" s="5" t="s">
        <v>10</v>
      </c>
      <c r="D1490" s="5" t="s">
        <v>34</v>
      </c>
      <c r="E1490" s="5" t="s">
        <v>9</v>
      </c>
      <c r="F1490" s="5">
        <v>4353</v>
      </c>
      <c r="G1490" s="5" t="str">
        <f>VLOOKUP(C1490,Sheet2!$C$3:$D$12,2,0)</f>
        <v>Variable</v>
      </c>
      <c r="H1490" s="5" t="str">
        <f>IFERROR(VLOOKUP(E1490,Sheet2!$G$3:$H$8,2,0),"unkwon")</f>
        <v>online</v>
      </c>
      <c r="I1490" s="5">
        <f>VLOOKUP(B1490,Sheet2!$J$4:$K$15,2,0)</f>
        <v>12</v>
      </c>
      <c r="J1490" s="5">
        <f>IFERROR(VLOOKUP(C1490,Sheet2!$M$4:$N$12,2,0),0)</f>
        <v>5000</v>
      </c>
      <c r="K1490" s="5" t="str">
        <f t="shared" si="23"/>
        <v>within budget</v>
      </c>
    </row>
    <row r="1491" spans="1:11" x14ac:dyDescent="0.3">
      <c r="A1491" s="6">
        <v>45183</v>
      </c>
      <c r="B1491" s="5" t="s">
        <v>38</v>
      </c>
      <c r="C1491" s="5" t="s">
        <v>10</v>
      </c>
      <c r="D1491" s="5" t="s">
        <v>23</v>
      </c>
      <c r="E1491" s="5" t="s">
        <v>17</v>
      </c>
      <c r="F1491" s="5">
        <v>2129</v>
      </c>
      <c r="G1491" s="5" t="str">
        <f>VLOOKUP(C1491,Sheet2!$C$3:$D$12,2,0)</f>
        <v>Variable</v>
      </c>
      <c r="H1491" s="5" t="str">
        <f>IFERROR(VLOOKUP(E1491,Sheet2!$G$3:$H$8,2,0),"unkwon")</f>
        <v>online</v>
      </c>
      <c r="I1491" s="5">
        <f>VLOOKUP(B1491,Sheet2!$J$4:$K$15,2,0)</f>
        <v>9</v>
      </c>
      <c r="J1491" s="5">
        <f>IFERROR(VLOOKUP(C1491,Sheet2!$M$4:$N$12,2,0),0)</f>
        <v>5000</v>
      </c>
      <c r="K1491" s="5" t="str">
        <f t="shared" si="23"/>
        <v>within budget</v>
      </c>
    </row>
    <row r="1492" spans="1:11" x14ac:dyDescent="0.3">
      <c r="A1492" s="6">
        <v>45509</v>
      </c>
      <c r="B1492" s="5" t="s">
        <v>25</v>
      </c>
      <c r="C1492" s="5" t="s">
        <v>22</v>
      </c>
      <c r="D1492" s="5" t="s">
        <v>14</v>
      </c>
      <c r="E1492" s="5" t="s">
        <v>17</v>
      </c>
      <c r="F1492" s="5">
        <v>562</v>
      </c>
      <c r="G1492" s="5" t="str">
        <f>VLOOKUP(C1492,Sheet2!$C$3:$D$12,2,0)</f>
        <v>Variable</v>
      </c>
      <c r="H1492" s="5" t="str">
        <f>IFERROR(VLOOKUP(E1492,Sheet2!$G$3:$H$8,2,0),"unkwon")</f>
        <v>online</v>
      </c>
      <c r="I1492" s="5">
        <f>VLOOKUP(B1492,Sheet2!$J$4:$K$15,2,0)</f>
        <v>8</v>
      </c>
      <c r="J1492" s="5">
        <f>IFERROR(VLOOKUP(C1492,Sheet2!$M$4:$N$12,2,0),0)</f>
        <v>1000</v>
      </c>
      <c r="K1492" s="5" t="str">
        <f t="shared" si="23"/>
        <v>within budget</v>
      </c>
    </row>
    <row r="1493" spans="1:11" x14ac:dyDescent="0.3">
      <c r="A1493" s="6">
        <v>45494</v>
      </c>
      <c r="B1493" s="5" t="s">
        <v>21</v>
      </c>
      <c r="C1493" s="5" t="s">
        <v>35</v>
      </c>
      <c r="D1493" s="5" t="s">
        <v>14</v>
      </c>
      <c r="E1493" s="5" t="s">
        <v>15</v>
      </c>
      <c r="F1493" s="5">
        <v>4735</v>
      </c>
      <c r="G1493" s="5" t="str">
        <f>VLOOKUP(C1493,Sheet2!$C$3:$D$12,2,0)</f>
        <v>Fixed</v>
      </c>
      <c r="H1493" s="5" t="str">
        <f>IFERROR(VLOOKUP(E1493,Sheet2!$G$3:$H$8,2,0),"unkwon")</f>
        <v>online</v>
      </c>
      <c r="I1493" s="5">
        <f>VLOOKUP(B1493,Sheet2!$J$4:$K$15,2,0)</f>
        <v>7</v>
      </c>
      <c r="J1493" s="5">
        <f>IFERROR(VLOOKUP(C1493,Sheet2!$M$4:$N$12,2,0),0)</f>
        <v>5500</v>
      </c>
      <c r="K1493" s="5" t="str">
        <f t="shared" si="23"/>
        <v>within budget</v>
      </c>
    </row>
    <row r="1494" spans="1:11" x14ac:dyDescent="0.3">
      <c r="A1494" s="6">
        <v>45349</v>
      </c>
      <c r="B1494" s="5" t="s">
        <v>33</v>
      </c>
      <c r="C1494" s="5" t="s">
        <v>13</v>
      </c>
      <c r="D1494" s="5" t="s">
        <v>14</v>
      </c>
      <c r="E1494" s="5" t="s">
        <v>17</v>
      </c>
      <c r="F1494" s="5">
        <v>2923</v>
      </c>
      <c r="G1494" s="5" t="str">
        <f>VLOOKUP(C1494,Sheet2!$C$3:$D$12,2,0)</f>
        <v>Variable</v>
      </c>
      <c r="H1494" s="5" t="str">
        <f>IFERROR(VLOOKUP(E1494,Sheet2!$G$3:$H$8,2,0),"unkwon")</f>
        <v>online</v>
      </c>
      <c r="I1494" s="5">
        <f>VLOOKUP(B1494,Sheet2!$J$4:$K$15,2,0)</f>
        <v>2</v>
      </c>
      <c r="J1494" s="5">
        <f>IFERROR(VLOOKUP(C1494,Sheet2!$M$4:$N$12,2,0),0)</f>
        <v>5000</v>
      </c>
      <c r="K1494" s="5" t="str">
        <f t="shared" si="23"/>
        <v>within budget</v>
      </c>
    </row>
    <row r="1495" spans="1:11" x14ac:dyDescent="0.3">
      <c r="A1495" s="6">
        <v>45314</v>
      </c>
      <c r="B1495" s="5" t="s">
        <v>37</v>
      </c>
      <c r="C1495" s="5" t="s">
        <v>27</v>
      </c>
      <c r="D1495" s="5" t="s">
        <v>24</v>
      </c>
      <c r="E1495" s="5" t="s">
        <v>9</v>
      </c>
      <c r="F1495" s="5">
        <v>3409</v>
      </c>
      <c r="G1495" s="5" t="str">
        <f>VLOOKUP(C1495,Sheet2!$C$3:$D$12,2,0)</f>
        <v>Variable</v>
      </c>
      <c r="H1495" s="5" t="str">
        <f>IFERROR(VLOOKUP(E1495,Sheet2!$G$3:$H$8,2,0),"unkwon")</f>
        <v>online</v>
      </c>
      <c r="I1495" s="5">
        <f>VLOOKUP(B1495,Sheet2!$J$4:$K$15,2,0)</f>
        <v>1</v>
      </c>
      <c r="J1495" s="5">
        <f>IFERROR(VLOOKUP(C1495,Sheet2!$M$4:$N$12,2,0),0)</f>
        <v>4000</v>
      </c>
      <c r="K1495" s="5" t="str">
        <f t="shared" si="23"/>
        <v>within budget</v>
      </c>
    </row>
    <row r="1496" spans="1:11" x14ac:dyDescent="0.3">
      <c r="A1496" s="6">
        <v>44948</v>
      </c>
      <c r="B1496" s="5" t="s">
        <v>37</v>
      </c>
      <c r="C1496" s="5" t="s">
        <v>10</v>
      </c>
      <c r="D1496" s="5" t="s">
        <v>8</v>
      </c>
      <c r="E1496" s="5" t="s">
        <v>17</v>
      </c>
      <c r="F1496" s="5">
        <v>2619</v>
      </c>
      <c r="G1496" s="5" t="str">
        <f>VLOOKUP(C1496,Sheet2!$C$3:$D$12,2,0)</f>
        <v>Variable</v>
      </c>
      <c r="H1496" s="5" t="str">
        <f>IFERROR(VLOOKUP(E1496,Sheet2!$G$3:$H$8,2,0),"unkwon")</f>
        <v>online</v>
      </c>
      <c r="I1496" s="5">
        <f>VLOOKUP(B1496,Sheet2!$J$4:$K$15,2,0)</f>
        <v>1</v>
      </c>
      <c r="J1496" s="5">
        <f>IFERROR(VLOOKUP(C1496,Sheet2!$M$4:$N$12,2,0),0)</f>
        <v>5000</v>
      </c>
      <c r="K1496" s="5" t="str">
        <f t="shared" si="23"/>
        <v>within budget</v>
      </c>
    </row>
    <row r="1497" spans="1:11" x14ac:dyDescent="0.3">
      <c r="A1497" s="6">
        <v>45553</v>
      </c>
      <c r="B1497" s="5" t="s">
        <v>38</v>
      </c>
      <c r="C1497" s="5" t="s">
        <v>35</v>
      </c>
      <c r="D1497" s="5" t="s">
        <v>8</v>
      </c>
      <c r="E1497" s="5" t="s">
        <v>32</v>
      </c>
      <c r="F1497" s="5">
        <v>1767</v>
      </c>
      <c r="G1497" s="5" t="str">
        <f>VLOOKUP(C1497,Sheet2!$C$3:$D$12,2,0)</f>
        <v>Fixed</v>
      </c>
      <c r="H1497" s="5" t="str">
        <f>IFERROR(VLOOKUP(E1497,Sheet2!$G$3:$H$8,2,0),"unkwon")</f>
        <v>offline</v>
      </c>
      <c r="I1497" s="5">
        <f>VLOOKUP(B1497,Sheet2!$J$4:$K$15,2,0)</f>
        <v>9</v>
      </c>
      <c r="J1497" s="5">
        <f>IFERROR(VLOOKUP(C1497,Sheet2!$M$4:$N$12,2,0),0)</f>
        <v>5500</v>
      </c>
      <c r="K1497" s="5" t="str">
        <f t="shared" si="23"/>
        <v>within budget</v>
      </c>
    </row>
    <row r="1498" spans="1:11" x14ac:dyDescent="0.3">
      <c r="A1498" s="6">
        <v>44986</v>
      </c>
      <c r="B1498" s="5" t="s">
        <v>19</v>
      </c>
      <c r="C1498" s="5" t="s">
        <v>36</v>
      </c>
      <c r="D1498" s="5" t="s">
        <v>20</v>
      </c>
      <c r="E1498" s="5" t="s">
        <v>9</v>
      </c>
      <c r="F1498" s="5">
        <v>4804</v>
      </c>
      <c r="G1498" s="5" t="str">
        <f>VLOOKUP(C1498,Sheet2!$C$3:$D$12,2,0)</f>
        <v>Variable</v>
      </c>
      <c r="H1498" s="5" t="str">
        <f>IFERROR(VLOOKUP(E1498,Sheet2!$G$3:$H$8,2,0),"unkwon")</f>
        <v>online</v>
      </c>
      <c r="I1498" s="5">
        <f>VLOOKUP(B1498,Sheet2!$J$4:$K$15,2,0)</f>
        <v>3</v>
      </c>
      <c r="J1498" s="5">
        <f>IFERROR(VLOOKUP(C1498,Sheet2!$M$4:$N$12,2,0),0)</f>
        <v>10000</v>
      </c>
      <c r="K1498" s="5" t="str">
        <f t="shared" si="23"/>
        <v>within budget</v>
      </c>
    </row>
    <row r="1499" spans="1:11" x14ac:dyDescent="0.3">
      <c r="A1499" s="6">
        <v>45291</v>
      </c>
      <c r="B1499" s="5" t="s">
        <v>16</v>
      </c>
      <c r="C1499" s="5" t="s">
        <v>22</v>
      </c>
      <c r="D1499" s="5" t="s">
        <v>20</v>
      </c>
      <c r="E1499" s="5" t="s">
        <v>15</v>
      </c>
      <c r="F1499" s="5">
        <v>555</v>
      </c>
      <c r="G1499" s="5" t="str">
        <f>VLOOKUP(C1499,Sheet2!$C$3:$D$12,2,0)</f>
        <v>Variable</v>
      </c>
      <c r="H1499" s="5" t="str">
        <f>IFERROR(VLOOKUP(E1499,Sheet2!$G$3:$H$8,2,0),"unkwon")</f>
        <v>online</v>
      </c>
      <c r="I1499" s="5">
        <f>VLOOKUP(B1499,Sheet2!$J$4:$K$15,2,0)</f>
        <v>12</v>
      </c>
      <c r="J1499" s="5">
        <f>IFERROR(VLOOKUP(C1499,Sheet2!$M$4:$N$12,2,0),0)</f>
        <v>1000</v>
      </c>
      <c r="K1499" s="5" t="str">
        <f t="shared" si="23"/>
        <v>within budget</v>
      </c>
    </row>
    <row r="1500" spans="1:11" x14ac:dyDescent="0.3">
      <c r="A1500" s="6">
        <v>45357</v>
      </c>
      <c r="B1500" s="5" t="s">
        <v>19</v>
      </c>
      <c r="C1500" s="5" t="s">
        <v>13</v>
      </c>
      <c r="D1500" s="5" t="s">
        <v>11</v>
      </c>
      <c r="E1500" s="5" t="s">
        <v>9</v>
      </c>
      <c r="F1500" s="5">
        <v>3877</v>
      </c>
      <c r="G1500" s="5" t="str">
        <f>VLOOKUP(C1500,Sheet2!$C$3:$D$12,2,0)</f>
        <v>Variable</v>
      </c>
      <c r="H1500" s="5" t="str">
        <f>IFERROR(VLOOKUP(E1500,Sheet2!$G$3:$H$8,2,0),"unkwon")</f>
        <v>online</v>
      </c>
      <c r="I1500" s="5">
        <f>VLOOKUP(B1500,Sheet2!$J$4:$K$15,2,0)</f>
        <v>3</v>
      </c>
      <c r="J1500" s="5">
        <f>IFERROR(VLOOKUP(C1500,Sheet2!$M$4:$N$12,2,0),0)</f>
        <v>5000</v>
      </c>
      <c r="K1500" s="5" t="str">
        <f t="shared" si="23"/>
        <v>within budget</v>
      </c>
    </row>
    <row r="1501" spans="1:11" x14ac:dyDescent="0.3">
      <c r="A1501" s="6">
        <v>45504</v>
      </c>
      <c r="B1501" s="5" t="s">
        <v>21</v>
      </c>
      <c r="C1501" s="5" t="s">
        <v>36</v>
      </c>
      <c r="D1501" s="5" t="s">
        <v>31</v>
      </c>
      <c r="E1501" s="5" t="s">
        <v>17</v>
      </c>
      <c r="F1501" s="5">
        <v>1104</v>
      </c>
      <c r="G1501" s="5" t="str">
        <f>VLOOKUP(C1501,Sheet2!$C$3:$D$12,2,0)</f>
        <v>Variable</v>
      </c>
      <c r="H1501" s="5" t="str">
        <f>IFERROR(VLOOKUP(E1501,Sheet2!$G$3:$H$8,2,0),"unkwon")</f>
        <v>online</v>
      </c>
      <c r="I1501" s="5">
        <f>VLOOKUP(B1501,Sheet2!$J$4:$K$15,2,0)</f>
        <v>7</v>
      </c>
      <c r="J1501" s="5">
        <f>IFERROR(VLOOKUP(C1501,Sheet2!$M$4:$N$12,2,0),0)</f>
        <v>10000</v>
      </c>
      <c r="K1501" s="5" t="str">
        <f t="shared" si="23"/>
        <v>within budget</v>
      </c>
    </row>
    <row r="1502" spans="1:11" x14ac:dyDescent="0.3">
      <c r="A1502" s="6">
        <v>45321</v>
      </c>
      <c r="B1502" s="5" t="s">
        <v>37</v>
      </c>
      <c r="C1502" s="5" t="s">
        <v>27</v>
      </c>
      <c r="D1502" s="5" t="s">
        <v>23</v>
      </c>
      <c r="E1502" s="5" t="s">
        <v>17</v>
      </c>
      <c r="F1502" s="5">
        <v>949</v>
      </c>
      <c r="G1502" s="5" t="str">
        <f>VLOOKUP(C1502,Sheet2!$C$3:$D$12,2,0)</f>
        <v>Variable</v>
      </c>
      <c r="H1502" s="5" t="str">
        <f>IFERROR(VLOOKUP(E1502,Sheet2!$G$3:$H$8,2,0),"unkwon")</f>
        <v>online</v>
      </c>
      <c r="I1502" s="5">
        <f>VLOOKUP(B1502,Sheet2!$J$4:$K$15,2,0)</f>
        <v>1</v>
      </c>
      <c r="J1502" s="5">
        <f>IFERROR(VLOOKUP(C1502,Sheet2!$M$4:$N$12,2,0),0)</f>
        <v>4000</v>
      </c>
      <c r="K1502" s="5" t="str">
        <f t="shared" si="23"/>
        <v>within budget</v>
      </c>
    </row>
    <row r="1503" spans="1:11" x14ac:dyDescent="0.3">
      <c r="A1503" s="6">
        <v>45637</v>
      </c>
      <c r="B1503" s="5" t="s">
        <v>16</v>
      </c>
      <c r="C1503" s="5" t="s">
        <v>22</v>
      </c>
      <c r="D1503" s="5" t="s">
        <v>34</v>
      </c>
      <c r="E1503" s="5" t="s">
        <v>12</v>
      </c>
      <c r="F1503" s="5">
        <v>1322</v>
      </c>
      <c r="G1503" s="5" t="str">
        <f>VLOOKUP(C1503,Sheet2!$C$3:$D$12,2,0)</f>
        <v>Variable</v>
      </c>
      <c r="H1503" s="5" t="str">
        <f>IFERROR(VLOOKUP(E1503,Sheet2!$G$3:$H$8,2,0),"unkwon")</f>
        <v>online</v>
      </c>
      <c r="I1503" s="5">
        <f>VLOOKUP(B1503,Sheet2!$J$4:$K$15,2,0)</f>
        <v>12</v>
      </c>
      <c r="J1503" s="5">
        <f>IFERROR(VLOOKUP(C1503,Sheet2!$M$4:$N$12,2,0),0)</f>
        <v>1000</v>
      </c>
      <c r="K1503" s="5" t="str">
        <f t="shared" si="23"/>
        <v>over budget</v>
      </c>
    </row>
    <row r="1504" spans="1:11" x14ac:dyDescent="0.3">
      <c r="A1504" s="6">
        <v>45123</v>
      </c>
      <c r="B1504" s="5" t="s">
        <v>21</v>
      </c>
      <c r="C1504" s="5" t="s">
        <v>27</v>
      </c>
      <c r="D1504" s="5" t="s">
        <v>23</v>
      </c>
      <c r="E1504" s="5" t="s">
        <v>9</v>
      </c>
      <c r="F1504" s="5">
        <v>4965</v>
      </c>
      <c r="G1504" s="5" t="str">
        <f>VLOOKUP(C1504,Sheet2!$C$3:$D$12,2,0)</f>
        <v>Variable</v>
      </c>
      <c r="H1504" s="5" t="str">
        <f>IFERROR(VLOOKUP(E1504,Sheet2!$G$3:$H$8,2,0),"unkwon")</f>
        <v>online</v>
      </c>
      <c r="I1504" s="5">
        <f>VLOOKUP(B1504,Sheet2!$J$4:$K$15,2,0)</f>
        <v>7</v>
      </c>
      <c r="J1504" s="5">
        <f>IFERROR(VLOOKUP(C1504,Sheet2!$M$4:$N$12,2,0),0)</f>
        <v>4000</v>
      </c>
      <c r="K1504" s="5" t="str">
        <f t="shared" si="23"/>
        <v>over budget</v>
      </c>
    </row>
    <row r="1505" spans="1:11" x14ac:dyDescent="0.3">
      <c r="A1505" s="6">
        <v>45393</v>
      </c>
      <c r="B1505" s="5" t="s">
        <v>29</v>
      </c>
      <c r="C1505" s="5" t="s">
        <v>27</v>
      </c>
      <c r="D1505" s="5" t="s">
        <v>18</v>
      </c>
      <c r="E1505" s="5" t="s">
        <v>15</v>
      </c>
      <c r="F1505" s="5">
        <v>1803</v>
      </c>
      <c r="G1505" s="5" t="str">
        <f>VLOOKUP(C1505,Sheet2!$C$3:$D$12,2,0)</f>
        <v>Variable</v>
      </c>
      <c r="H1505" s="5" t="str">
        <f>IFERROR(VLOOKUP(E1505,Sheet2!$G$3:$H$8,2,0),"unkwon")</f>
        <v>online</v>
      </c>
      <c r="I1505" s="5">
        <f>VLOOKUP(B1505,Sheet2!$J$4:$K$15,2,0)</f>
        <v>4</v>
      </c>
      <c r="J1505" s="5">
        <f>IFERROR(VLOOKUP(C1505,Sheet2!$M$4:$N$12,2,0),0)</f>
        <v>4000</v>
      </c>
      <c r="K1505" s="5" t="str">
        <f t="shared" si="23"/>
        <v>within budget</v>
      </c>
    </row>
    <row r="1506" spans="1:11" x14ac:dyDescent="0.3">
      <c r="A1506" s="6">
        <v>45601</v>
      </c>
      <c r="B1506" s="5" t="s">
        <v>40</v>
      </c>
      <c r="C1506" s="5" t="s">
        <v>35</v>
      </c>
      <c r="D1506" s="5" t="s">
        <v>11</v>
      </c>
      <c r="E1506" s="5" t="s">
        <v>9</v>
      </c>
      <c r="F1506" s="5">
        <v>1831</v>
      </c>
      <c r="G1506" s="5" t="str">
        <f>VLOOKUP(C1506,Sheet2!$C$3:$D$12,2,0)</f>
        <v>Fixed</v>
      </c>
      <c r="H1506" s="5" t="str">
        <f>IFERROR(VLOOKUP(E1506,Sheet2!$G$3:$H$8,2,0),"unkwon")</f>
        <v>online</v>
      </c>
      <c r="I1506" s="5">
        <f>VLOOKUP(B1506,Sheet2!$J$4:$K$15,2,0)</f>
        <v>11</v>
      </c>
      <c r="J1506" s="5">
        <f>IFERROR(VLOOKUP(C1506,Sheet2!$M$4:$N$12,2,0),0)</f>
        <v>5500</v>
      </c>
      <c r="K1506" s="5" t="str">
        <f t="shared" si="23"/>
        <v>within budget</v>
      </c>
    </row>
    <row r="1507" spans="1:11" x14ac:dyDescent="0.3">
      <c r="A1507" s="6">
        <v>45067</v>
      </c>
      <c r="B1507" s="5" t="s">
        <v>28</v>
      </c>
      <c r="C1507" s="5" t="s">
        <v>35</v>
      </c>
      <c r="D1507" s="5" t="s">
        <v>11</v>
      </c>
      <c r="E1507" s="5" t="s">
        <v>9</v>
      </c>
      <c r="F1507" s="5">
        <v>4558</v>
      </c>
      <c r="G1507" s="5" t="str">
        <f>VLOOKUP(C1507,Sheet2!$C$3:$D$12,2,0)</f>
        <v>Fixed</v>
      </c>
      <c r="H1507" s="5" t="str">
        <f>IFERROR(VLOOKUP(E1507,Sheet2!$G$3:$H$8,2,0),"unkwon")</f>
        <v>online</v>
      </c>
      <c r="I1507" s="5">
        <f>VLOOKUP(B1507,Sheet2!$J$4:$K$15,2,0)</f>
        <v>5</v>
      </c>
      <c r="J1507" s="5">
        <f>IFERROR(VLOOKUP(C1507,Sheet2!$M$4:$N$12,2,0),0)</f>
        <v>5500</v>
      </c>
      <c r="K1507" s="5" t="str">
        <f t="shared" si="23"/>
        <v>within budget</v>
      </c>
    </row>
    <row r="1508" spans="1:11" x14ac:dyDescent="0.3">
      <c r="A1508" s="6">
        <v>45468</v>
      </c>
      <c r="B1508" s="5" t="s">
        <v>39</v>
      </c>
      <c r="C1508" s="5" t="s">
        <v>7</v>
      </c>
      <c r="D1508" s="5" t="s">
        <v>11</v>
      </c>
      <c r="E1508" s="5" t="s">
        <v>17</v>
      </c>
      <c r="F1508" s="5">
        <v>3707</v>
      </c>
      <c r="G1508" s="5" t="str">
        <f>VLOOKUP(C1508,Sheet2!$C$3:$D$12,2,0)</f>
        <v>Fixed</v>
      </c>
      <c r="H1508" s="5" t="str">
        <f>IFERROR(VLOOKUP(E1508,Sheet2!$G$3:$H$8,2,0),"unkwon")</f>
        <v>online</v>
      </c>
      <c r="I1508" s="5">
        <f>VLOOKUP(B1508,Sheet2!$J$4:$K$15,2,0)</f>
        <v>6</v>
      </c>
      <c r="J1508" s="5">
        <f>IFERROR(VLOOKUP(C1508,Sheet2!$M$4:$N$12,2,0),0)</f>
        <v>2000</v>
      </c>
      <c r="K1508" s="5" t="str">
        <f t="shared" si="23"/>
        <v>over budget</v>
      </c>
    </row>
    <row r="1509" spans="1:11" x14ac:dyDescent="0.3">
      <c r="A1509" s="6">
        <v>45169</v>
      </c>
      <c r="B1509" s="5" t="s">
        <v>25</v>
      </c>
      <c r="C1509" s="5" t="s">
        <v>13</v>
      </c>
      <c r="D1509" s="5" t="s">
        <v>20</v>
      </c>
      <c r="E1509" s="5" t="s">
        <v>12</v>
      </c>
      <c r="F1509" s="5">
        <v>4641</v>
      </c>
      <c r="G1509" s="5" t="str">
        <f>VLOOKUP(C1509,Sheet2!$C$3:$D$12,2,0)</f>
        <v>Variable</v>
      </c>
      <c r="H1509" s="5" t="str">
        <f>IFERROR(VLOOKUP(E1509,Sheet2!$G$3:$H$8,2,0),"unkwon")</f>
        <v>online</v>
      </c>
      <c r="I1509" s="5">
        <f>VLOOKUP(B1509,Sheet2!$J$4:$K$15,2,0)</f>
        <v>8</v>
      </c>
      <c r="J1509" s="5">
        <f>IFERROR(VLOOKUP(C1509,Sheet2!$M$4:$N$12,2,0),0)</f>
        <v>5000</v>
      </c>
      <c r="K1509" s="5" t="str">
        <f t="shared" si="23"/>
        <v>within budget</v>
      </c>
    </row>
    <row r="1510" spans="1:11" x14ac:dyDescent="0.3">
      <c r="A1510" s="6">
        <v>45071</v>
      </c>
      <c r="B1510" s="5" t="s">
        <v>28</v>
      </c>
      <c r="C1510" s="5" t="s">
        <v>7</v>
      </c>
      <c r="D1510" s="5" t="s">
        <v>14</v>
      </c>
      <c r="E1510" s="5" t="s">
        <v>12</v>
      </c>
      <c r="F1510" s="5">
        <v>4087</v>
      </c>
      <c r="G1510" s="5" t="str">
        <f>VLOOKUP(C1510,Sheet2!$C$3:$D$12,2,0)</f>
        <v>Fixed</v>
      </c>
      <c r="H1510" s="5" t="str">
        <f>IFERROR(VLOOKUP(E1510,Sheet2!$G$3:$H$8,2,0),"unkwon")</f>
        <v>online</v>
      </c>
      <c r="I1510" s="5">
        <f>VLOOKUP(B1510,Sheet2!$J$4:$K$15,2,0)</f>
        <v>5</v>
      </c>
      <c r="J1510" s="5">
        <f>IFERROR(VLOOKUP(C1510,Sheet2!$M$4:$N$12,2,0),0)</f>
        <v>2000</v>
      </c>
      <c r="K1510" s="5" t="str">
        <f t="shared" si="23"/>
        <v>over budget</v>
      </c>
    </row>
    <row r="1511" spans="1:11" x14ac:dyDescent="0.3">
      <c r="A1511" s="6">
        <v>45037</v>
      </c>
      <c r="B1511" s="5" t="s">
        <v>29</v>
      </c>
      <c r="C1511" s="5" t="s">
        <v>7</v>
      </c>
      <c r="D1511" s="5" t="s">
        <v>26</v>
      </c>
      <c r="E1511" s="5" t="s">
        <v>32</v>
      </c>
      <c r="F1511" s="5">
        <v>4608</v>
      </c>
      <c r="G1511" s="5" t="str">
        <f>VLOOKUP(C1511,Sheet2!$C$3:$D$12,2,0)</f>
        <v>Fixed</v>
      </c>
      <c r="H1511" s="5" t="str">
        <f>IFERROR(VLOOKUP(E1511,Sheet2!$G$3:$H$8,2,0),"unkwon")</f>
        <v>offline</v>
      </c>
      <c r="I1511" s="5">
        <f>VLOOKUP(B1511,Sheet2!$J$4:$K$15,2,0)</f>
        <v>4</v>
      </c>
      <c r="J1511" s="5">
        <f>IFERROR(VLOOKUP(C1511,Sheet2!$M$4:$N$12,2,0),0)</f>
        <v>2000</v>
      </c>
      <c r="K1511" s="5" t="str">
        <f t="shared" si="23"/>
        <v>over budget</v>
      </c>
    </row>
    <row r="1512" spans="1:11" x14ac:dyDescent="0.3">
      <c r="A1512" s="6">
        <v>45377</v>
      </c>
      <c r="B1512" s="5" t="s">
        <v>19</v>
      </c>
      <c r="C1512" s="5" t="s">
        <v>35</v>
      </c>
      <c r="D1512" s="5" t="s">
        <v>8</v>
      </c>
      <c r="E1512" s="5" t="s">
        <v>9</v>
      </c>
      <c r="F1512" s="5">
        <v>4472</v>
      </c>
      <c r="G1512" s="5" t="str">
        <f>VLOOKUP(C1512,Sheet2!$C$3:$D$12,2,0)</f>
        <v>Fixed</v>
      </c>
      <c r="H1512" s="5" t="str">
        <f>IFERROR(VLOOKUP(E1512,Sheet2!$G$3:$H$8,2,0),"unkwon")</f>
        <v>online</v>
      </c>
      <c r="I1512" s="5">
        <f>VLOOKUP(B1512,Sheet2!$J$4:$K$15,2,0)</f>
        <v>3</v>
      </c>
      <c r="J1512" s="5">
        <f>IFERROR(VLOOKUP(C1512,Sheet2!$M$4:$N$12,2,0),0)</f>
        <v>5500</v>
      </c>
      <c r="K1512" s="5" t="str">
        <f t="shared" si="23"/>
        <v>within budget</v>
      </c>
    </row>
    <row r="1513" spans="1:11" x14ac:dyDescent="0.3">
      <c r="A1513" s="6">
        <v>45650</v>
      </c>
      <c r="B1513" s="5" t="s">
        <v>16</v>
      </c>
      <c r="C1513" s="5" t="s">
        <v>13</v>
      </c>
      <c r="D1513" s="5" t="s">
        <v>8</v>
      </c>
      <c r="E1513" s="5" t="s">
        <v>15</v>
      </c>
      <c r="F1513" s="5">
        <v>4676</v>
      </c>
      <c r="G1513" s="5" t="str">
        <f>VLOOKUP(C1513,Sheet2!$C$3:$D$12,2,0)</f>
        <v>Variable</v>
      </c>
      <c r="H1513" s="5" t="str">
        <f>IFERROR(VLOOKUP(E1513,Sheet2!$G$3:$H$8,2,0),"unkwon")</f>
        <v>online</v>
      </c>
      <c r="I1513" s="5">
        <f>VLOOKUP(B1513,Sheet2!$J$4:$K$15,2,0)</f>
        <v>12</v>
      </c>
      <c r="J1513" s="5">
        <f>IFERROR(VLOOKUP(C1513,Sheet2!$M$4:$N$12,2,0),0)</f>
        <v>5000</v>
      </c>
      <c r="K1513" s="5" t="str">
        <f t="shared" si="23"/>
        <v>within budget</v>
      </c>
    </row>
    <row r="1514" spans="1:11" x14ac:dyDescent="0.3">
      <c r="A1514" s="6">
        <v>45485</v>
      </c>
      <c r="B1514" s="5" t="s">
        <v>21</v>
      </c>
      <c r="C1514" s="5" t="s">
        <v>30</v>
      </c>
      <c r="D1514" s="5" t="s">
        <v>20</v>
      </c>
      <c r="E1514" s="5" t="s">
        <v>9</v>
      </c>
      <c r="F1514" s="5">
        <v>3098</v>
      </c>
      <c r="G1514" s="5" t="str">
        <f>VLOOKUP(C1514,Sheet2!$C$3:$D$12,2,0)</f>
        <v>Fixed</v>
      </c>
      <c r="H1514" s="5" t="str">
        <f>IFERROR(VLOOKUP(E1514,Sheet2!$G$3:$H$8,2,0),"unkwon")</f>
        <v>online</v>
      </c>
      <c r="I1514" s="5">
        <f>VLOOKUP(B1514,Sheet2!$J$4:$K$15,2,0)</f>
        <v>7</v>
      </c>
      <c r="J1514" s="5">
        <f>IFERROR(VLOOKUP(C1514,Sheet2!$M$4:$N$12,2,0),0)</f>
        <v>3000</v>
      </c>
      <c r="K1514" s="5" t="str">
        <f t="shared" si="23"/>
        <v>over budget</v>
      </c>
    </row>
    <row r="1515" spans="1:11" x14ac:dyDescent="0.3">
      <c r="A1515" s="6">
        <v>45314</v>
      </c>
      <c r="B1515" s="5" t="s">
        <v>37</v>
      </c>
      <c r="C1515" s="5" t="s">
        <v>7</v>
      </c>
      <c r="D1515" s="5" t="s">
        <v>18</v>
      </c>
      <c r="E1515" s="5" t="s">
        <v>9</v>
      </c>
      <c r="F1515" s="5">
        <v>4363</v>
      </c>
      <c r="G1515" s="5" t="str">
        <f>VLOOKUP(C1515,Sheet2!$C$3:$D$12,2,0)</f>
        <v>Fixed</v>
      </c>
      <c r="H1515" s="5" t="str">
        <f>IFERROR(VLOOKUP(E1515,Sheet2!$G$3:$H$8,2,0),"unkwon")</f>
        <v>online</v>
      </c>
      <c r="I1515" s="5">
        <f>VLOOKUP(B1515,Sheet2!$J$4:$K$15,2,0)</f>
        <v>1</v>
      </c>
      <c r="J1515" s="5">
        <f>IFERROR(VLOOKUP(C1515,Sheet2!$M$4:$N$12,2,0),0)</f>
        <v>2000</v>
      </c>
      <c r="K1515" s="5" t="str">
        <f t="shared" si="23"/>
        <v>over budget</v>
      </c>
    </row>
    <row r="1516" spans="1:11" x14ac:dyDescent="0.3">
      <c r="A1516" s="6">
        <v>45035</v>
      </c>
      <c r="B1516" s="5" t="s">
        <v>29</v>
      </c>
      <c r="C1516" s="5" t="s">
        <v>41</v>
      </c>
      <c r="D1516" s="5" t="s">
        <v>23</v>
      </c>
      <c r="E1516" s="5" t="s">
        <v>17</v>
      </c>
      <c r="F1516" s="5">
        <v>4478</v>
      </c>
      <c r="G1516" s="5" t="str">
        <f>VLOOKUP(C1516,Sheet2!$C$3:$D$12,2,0)</f>
        <v>Variable</v>
      </c>
      <c r="H1516" s="5" t="str">
        <f>IFERROR(VLOOKUP(E1516,Sheet2!$G$3:$H$8,2,0),"unkwon")</f>
        <v>online</v>
      </c>
      <c r="I1516" s="5">
        <f>VLOOKUP(B1516,Sheet2!$J$4:$K$15,2,0)</f>
        <v>4</v>
      </c>
      <c r="J1516" s="5">
        <f>IFERROR(VLOOKUP(C1516,Sheet2!$M$4:$N$12,2,0),0)</f>
        <v>7000</v>
      </c>
      <c r="K1516" s="5" t="str">
        <f t="shared" si="23"/>
        <v>within budget</v>
      </c>
    </row>
    <row r="1517" spans="1:11" x14ac:dyDescent="0.3">
      <c r="A1517" s="6">
        <v>44978</v>
      </c>
      <c r="B1517" s="5" t="s">
        <v>33</v>
      </c>
      <c r="C1517" s="5" t="s">
        <v>27</v>
      </c>
      <c r="D1517" s="5" t="s">
        <v>34</v>
      </c>
      <c r="E1517" s="5" t="s">
        <v>15</v>
      </c>
      <c r="F1517" s="5">
        <v>4955</v>
      </c>
      <c r="G1517" s="5" t="str">
        <f>VLOOKUP(C1517,Sheet2!$C$3:$D$12,2,0)</f>
        <v>Variable</v>
      </c>
      <c r="H1517" s="5" t="str">
        <f>IFERROR(VLOOKUP(E1517,Sheet2!$G$3:$H$8,2,0),"unkwon")</f>
        <v>online</v>
      </c>
      <c r="I1517" s="5">
        <f>VLOOKUP(B1517,Sheet2!$J$4:$K$15,2,0)</f>
        <v>2</v>
      </c>
      <c r="J1517" s="5">
        <f>IFERROR(VLOOKUP(C1517,Sheet2!$M$4:$N$12,2,0),0)</f>
        <v>4000</v>
      </c>
      <c r="K1517" s="5" t="str">
        <f t="shared" si="23"/>
        <v>over budget</v>
      </c>
    </row>
    <row r="1518" spans="1:11" x14ac:dyDescent="0.3">
      <c r="A1518" s="6">
        <v>45355</v>
      </c>
      <c r="B1518" s="5" t="s">
        <v>19</v>
      </c>
      <c r="C1518" s="5" t="s">
        <v>7</v>
      </c>
      <c r="D1518" s="5" t="s">
        <v>31</v>
      </c>
      <c r="E1518" s="5" t="s">
        <v>32</v>
      </c>
      <c r="F1518" s="5">
        <v>3654</v>
      </c>
      <c r="G1518" s="5" t="str">
        <f>VLOOKUP(C1518,Sheet2!$C$3:$D$12,2,0)</f>
        <v>Fixed</v>
      </c>
      <c r="H1518" s="5" t="str">
        <f>IFERROR(VLOOKUP(E1518,Sheet2!$G$3:$H$8,2,0),"unkwon")</f>
        <v>offline</v>
      </c>
      <c r="I1518" s="5">
        <f>VLOOKUP(B1518,Sheet2!$J$4:$K$15,2,0)</f>
        <v>3</v>
      </c>
      <c r="J1518" s="5">
        <f>IFERROR(VLOOKUP(C1518,Sheet2!$M$4:$N$12,2,0),0)</f>
        <v>2000</v>
      </c>
      <c r="K1518" s="5" t="str">
        <f t="shared" si="23"/>
        <v>over budget</v>
      </c>
    </row>
    <row r="1519" spans="1:11" x14ac:dyDescent="0.3">
      <c r="A1519" s="6">
        <v>45482</v>
      </c>
      <c r="B1519" s="5" t="s">
        <v>21</v>
      </c>
      <c r="C1519" s="5" t="s">
        <v>35</v>
      </c>
      <c r="D1519" s="5" t="s">
        <v>8</v>
      </c>
      <c r="E1519" s="5" t="s">
        <v>15</v>
      </c>
      <c r="F1519" s="5">
        <v>995</v>
      </c>
      <c r="G1519" s="5" t="str">
        <f>VLOOKUP(C1519,Sheet2!$C$3:$D$12,2,0)</f>
        <v>Fixed</v>
      </c>
      <c r="H1519" s="5" t="str">
        <f>IFERROR(VLOOKUP(E1519,Sheet2!$G$3:$H$8,2,0),"unkwon")</f>
        <v>online</v>
      </c>
      <c r="I1519" s="5">
        <f>VLOOKUP(B1519,Sheet2!$J$4:$K$15,2,0)</f>
        <v>7</v>
      </c>
      <c r="J1519" s="5">
        <f>IFERROR(VLOOKUP(C1519,Sheet2!$M$4:$N$12,2,0),0)</f>
        <v>5500</v>
      </c>
      <c r="K1519" s="5" t="str">
        <f t="shared" si="23"/>
        <v>within budget</v>
      </c>
    </row>
    <row r="1520" spans="1:11" x14ac:dyDescent="0.3">
      <c r="A1520" s="6">
        <v>44946</v>
      </c>
      <c r="B1520" s="5" t="s">
        <v>37</v>
      </c>
      <c r="C1520" s="5" t="s">
        <v>10</v>
      </c>
      <c r="D1520" s="5" t="s">
        <v>20</v>
      </c>
      <c r="E1520" s="5" t="s">
        <v>17</v>
      </c>
      <c r="F1520" s="5">
        <v>4313</v>
      </c>
      <c r="G1520" s="5" t="str">
        <f>VLOOKUP(C1520,Sheet2!$C$3:$D$12,2,0)</f>
        <v>Variable</v>
      </c>
      <c r="H1520" s="5" t="str">
        <f>IFERROR(VLOOKUP(E1520,Sheet2!$G$3:$H$8,2,0),"unkwon")</f>
        <v>online</v>
      </c>
      <c r="I1520" s="5">
        <f>VLOOKUP(B1520,Sheet2!$J$4:$K$15,2,0)</f>
        <v>1</v>
      </c>
      <c r="J1520" s="5">
        <f>IFERROR(VLOOKUP(C1520,Sheet2!$M$4:$N$12,2,0),0)</f>
        <v>5000</v>
      </c>
      <c r="K1520" s="5" t="str">
        <f t="shared" si="23"/>
        <v>within budget</v>
      </c>
    </row>
    <row r="1521" spans="1:11" x14ac:dyDescent="0.3">
      <c r="A1521" s="6">
        <v>45566</v>
      </c>
      <c r="B1521" s="5" t="s">
        <v>6</v>
      </c>
      <c r="C1521" s="5" t="s">
        <v>30</v>
      </c>
      <c r="D1521" s="5" t="s">
        <v>23</v>
      </c>
      <c r="E1521" s="5" t="s">
        <v>32</v>
      </c>
      <c r="F1521" s="5">
        <v>3456</v>
      </c>
      <c r="G1521" s="5" t="str">
        <f>VLOOKUP(C1521,Sheet2!$C$3:$D$12,2,0)</f>
        <v>Fixed</v>
      </c>
      <c r="H1521" s="5" t="str">
        <f>IFERROR(VLOOKUP(E1521,Sheet2!$G$3:$H$8,2,0),"unkwon")</f>
        <v>offline</v>
      </c>
      <c r="I1521" s="5">
        <f>VLOOKUP(B1521,Sheet2!$J$4:$K$15,2,0)</f>
        <v>10</v>
      </c>
      <c r="J1521" s="5">
        <f>IFERROR(VLOOKUP(C1521,Sheet2!$M$4:$N$12,2,0),0)</f>
        <v>3000</v>
      </c>
      <c r="K1521" s="5" t="str">
        <f t="shared" si="23"/>
        <v>over budget</v>
      </c>
    </row>
    <row r="1522" spans="1:11" x14ac:dyDescent="0.3">
      <c r="A1522" s="6">
        <v>45586</v>
      </c>
      <c r="B1522" s="5" t="s">
        <v>6</v>
      </c>
      <c r="C1522" s="5" t="s">
        <v>30</v>
      </c>
      <c r="D1522" s="5" t="s">
        <v>11</v>
      </c>
      <c r="E1522" s="5" t="s">
        <v>9</v>
      </c>
      <c r="F1522" s="5">
        <v>3869</v>
      </c>
      <c r="G1522" s="5" t="str">
        <f>VLOOKUP(C1522,Sheet2!$C$3:$D$12,2,0)</f>
        <v>Fixed</v>
      </c>
      <c r="H1522" s="5" t="str">
        <f>IFERROR(VLOOKUP(E1522,Sheet2!$G$3:$H$8,2,0),"unkwon")</f>
        <v>online</v>
      </c>
      <c r="I1522" s="5">
        <f>VLOOKUP(B1522,Sheet2!$J$4:$K$15,2,0)</f>
        <v>10</v>
      </c>
      <c r="J1522" s="5">
        <f>IFERROR(VLOOKUP(C1522,Sheet2!$M$4:$N$12,2,0),0)</f>
        <v>3000</v>
      </c>
      <c r="K1522" s="5" t="str">
        <f t="shared" si="23"/>
        <v>over budget</v>
      </c>
    </row>
    <row r="1523" spans="1:11" x14ac:dyDescent="0.3">
      <c r="A1523" s="6">
        <v>45139</v>
      </c>
      <c r="B1523" s="5" t="s">
        <v>25</v>
      </c>
      <c r="C1523" s="5" t="s">
        <v>35</v>
      </c>
      <c r="D1523" s="5" t="s">
        <v>14</v>
      </c>
      <c r="E1523" s="5" t="s">
        <v>17</v>
      </c>
      <c r="F1523" s="5">
        <v>1739</v>
      </c>
      <c r="G1523" s="5" t="str">
        <f>VLOOKUP(C1523,Sheet2!$C$3:$D$12,2,0)</f>
        <v>Fixed</v>
      </c>
      <c r="H1523" s="5" t="str">
        <f>IFERROR(VLOOKUP(E1523,Sheet2!$G$3:$H$8,2,0),"unkwon")</f>
        <v>online</v>
      </c>
      <c r="I1523" s="5">
        <f>VLOOKUP(B1523,Sheet2!$J$4:$K$15,2,0)</f>
        <v>8</v>
      </c>
      <c r="J1523" s="5">
        <f>IFERROR(VLOOKUP(C1523,Sheet2!$M$4:$N$12,2,0),0)</f>
        <v>5500</v>
      </c>
      <c r="K1523" s="5" t="str">
        <f t="shared" si="23"/>
        <v>within budget</v>
      </c>
    </row>
    <row r="1524" spans="1:11" x14ac:dyDescent="0.3">
      <c r="A1524" s="6">
        <v>45033</v>
      </c>
      <c r="B1524" s="5" t="s">
        <v>29</v>
      </c>
      <c r="C1524" s="5" t="s">
        <v>35</v>
      </c>
      <c r="D1524" s="5" t="s">
        <v>14</v>
      </c>
      <c r="E1524" s="5" t="s">
        <v>9</v>
      </c>
      <c r="F1524" s="5">
        <v>358</v>
      </c>
      <c r="G1524" s="5" t="str">
        <f>VLOOKUP(C1524,Sheet2!$C$3:$D$12,2,0)</f>
        <v>Fixed</v>
      </c>
      <c r="H1524" s="5" t="str">
        <f>IFERROR(VLOOKUP(E1524,Sheet2!$G$3:$H$8,2,0),"unkwon")</f>
        <v>online</v>
      </c>
      <c r="I1524" s="5">
        <f>VLOOKUP(B1524,Sheet2!$J$4:$K$15,2,0)</f>
        <v>4</v>
      </c>
      <c r="J1524" s="5">
        <f>IFERROR(VLOOKUP(C1524,Sheet2!$M$4:$N$12,2,0),0)</f>
        <v>5500</v>
      </c>
      <c r="K1524" s="5" t="str">
        <f t="shared" si="23"/>
        <v>within budget</v>
      </c>
    </row>
    <row r="1525" spans="1:11" x14ac:dyDescent="0.3">
      <c r="A1525" s="6">
        <v>45652</v>
      </c>
      <c r="B1525" s="5" t="s">
        <v>16</v>
      </c>
      <c r="C1525" s="5" t="s">
        <v>41</v>
      </c>
      <c r="D1525" s="5" t="s">
        <v>31</v>
      </c>
      <c r="E1525" s="5" t="s">
        <v>17</v>
      </c>
      <c r="F1525" s="5">
        <v>2315</v>
      </c>
      <c r="G1525" s="5" t="str">
        <f>VLOOKUP(C1525,Sheet2!$C$3:$D$12,2,0)</f>
        <v>Variable</v>
      </c>
      <c r="H1525" s="5" t="str">
        <f>IFERROR(VLOOKUP(E1525,Sheet2!$G$3:$H$8,2,0),"unkwon")</f>
        <v>online</v>
      </c>
      <c r="I1525" s="5">
        <f>VLOOKUP(B1525,Sheet2!$J$4:$K$15,2,0)</f>
        <v>12</v>
      </c>
      <c r="J1525" s="5">
        <f>IFERROR(VLOOKUP(C1525,Sheet2!$M$4:$N$12,2,0),0)</f>
        <v>7000</v>
      </c>
      <c r="K1525" s="5" t="str">
        <f t="shared" si="23"/>
        <v>within budget</v>
      </c>
    </row>
    <row r="1526" spans="1:11" x14ac:dyDescent="0.3">
      <c r="A1526" s="6">
        <v>45243</v>
      </c>
      <c r="B1526" s="5" t="s">
        <v>40</v>
      </c>
      <c r="C1526" s="5" t="s">
        <v>36</v>
      </c>
      <c r="D1526" s="5" t="s">
        <v>31</v>
      </c>
      <c r="E1526" s="5" t="s">
        <v>32</v>
      </c>
      <c r="F1526" s="5">
        <v>1924</v>
      </c>
      <c r="G1526" s="5" t="str">
        <f>VLOOKUP(C1526,Sheet2!$C$3:$D$12,2,0)</f>
        <v>Variable</v>
      </c>
      <c r="H1526" s="5" t="str">
        <f>IFERROR(VLOOKUP(E1526,Sheet2!$G$3:$H$8,2,0),"unkwon")</f>
        <v>offline</v>
      </c>
      <c r="I1526" s="5">
        <f>VLOOKUP(B1526,Sheet2!$J$4:$K$15,2,0)</f>
        <v>11</v>
      </c>
      <c r="J1526" s="5">
        <f>IFERROR(VLOOKUP(C1526,Sheet2!$M$4:$N$12,2,0),0)</f>
        <v>10000</v>
      </c>
      <c r="K1526" s="5" t="str">
        <f t="shared" si="23"/>
        <v>within budget</v>
      </c>
    </row>
    <row r="1527" spans="1:11" x14ac:dyDescent="0.3">
      <c r="A1527" s="6">
        <v>45086</v>
      </c>
      <c r="B1527" s="5" t="s">
        <v>39</v>
      </c>
      <c r="C1527" s="5" t="s">
        <v>36</v>
      </c>
      <c r="D1527" s="5" t="s">
        <v>31</v>
      </c>
      <c r="E1527" s="5" t="s">
        <v>17</v>
      </c>
      <c r="F1527" s="5">
        <v>4679</v>
      </c>
      <c r="G1527" s="5" t="str">
        <f>VLOOKUP(C1527,Sheet2!$C$3:$D$12,2,0)</f>
        <v>Variable</v>
      </c>
      <c r="H1527" s="5" t="str">
        <f>IFERROR(VLOOKUP(E1527,Sheet2!$G$3:$H$8,2,0),"unkwon")</f>
        <v>online</v>
      </c>
      <c r="I1527" s="5">
        <f>VLOOKUP(B1527,Sheet2!$J$4:$K$15,2,0)</f>
        <v>6</v>
      </c>
      <c r="J1527" s="5">
        <f>IFERROR(VLOOKUP(C1527,Sheet2!$M$4:$N$12,2,0),0)</f>
        <v>10000</v>
      </c>
      <c r="K1527" s="5" t="str">
        <f t="shared" si="23"/>
        <v>within budget</v>
      </c>
    </row>
    <row r="1528" spans="1:11" x14ac:dyDescent="0.3">
      <c r="A1528" s="6">
        <v>45654</v>
      </c>
      <c r="B1528" s="5" t="s">
        <v>16</v>
      </c>
      <c r="C1528" s="5" t="s">
        <v>27</v>
      </c>
      <c r="D1528" s="5" t="s">
        <v>14</v>
      </c>
      <c r="E1528" s="5" t="s">
        <v>17</v>
      </c>
      <c r="F1528" s="5">
        <v>4942</v>
      </c>
      <c r="G1528" s="5" t="str">
        <f>VLOOKUP(C1528,Sheet2!$C$3:$D$12,2,0)</f>
        <v>Variable</v>
      </c>
      <c r="H1528" s="5" t="str">
        <f>IFERROR(VLOOKUP(E1528,Sheet2!$G$3:$H$8,2,0),"unkwon")</f>
        <v>online</v>
      </c>
      <c r="I1528" s="5">
        <f>VLOOKUP(B1528,Sheet2!$J$4:$K$15,2,0)</f>
        <v>12</v>
      </c>
      <c r="J1528" s="5">
        <f>IFERROR(VLOOKUP(C1528,Sheet2!$M$4:$N$12,2,0),0)</f>
        <v>4000</v>
      </c>
      <c r="K1528" s="5" t="str">
        <f t="shared" si="23"/>
        <v>over budget</v>
      </c>
    </row>
    <row r="1529" spans="1:11" x14ac:dyDescent="0.3">
      <c r="A1529" s="6">
        <v>45195</v>
      </c>
      <c r="B1529" s="5" t="s">
        <v>38</v>
      </c>
      <c r="C1529" s="5" t="s">
        <v>36</v>
      </c>
      <c r="D1529" s="5" t="s">
        <v>34</v>
      </c>
      <c r="E1529" s="5" t="s">
        <v>32</v>
      </c>
      <c r="F1529" s="5">
        <v>2205</v>
      </c>
      <c r="G1529" s="5" t="str">
        <f>VLOOKUP(C1529,Sheet2!$C$3:$D$12,2,0)</f>
        <v>Variable</v>
      </c>
      <c r="H1529" s="5" t="str">
        <f>IFERROR(VLOOKUP(E1529,Sheet2!$G$3:$H$8,2,0),"unkwon")</f>
        <v>offline</v>
      </c>
      <c r="I1529" s="5">
        <f>VLOOKUP(B1529,Sheet2!$J$4:$K$15,2,0)</f>
        <v>9</v>
      </c>
      <c r="J1529" s="5">
        <f>IFERROR(VLOOKUP(C1529,Sheet2!$M$4:$N$12,2,0),0)</f>
        <v>10000</v>
      </c>
      <c r="K1529" s="5" t="str">
        <f t="shared" si="23"/>
        <v>within budget</v>
      </c>
    </row>
    <row r="1530" spans="1:11" x14ac:dyDescent="0.3">
      <c r="A1530" s="6">
        <v>45051</v>
      </c>
      <c r="B1530" s="5" t="s">
        <v>28</v>
      </c>
      <c r="C1530" s="5" t="s">
        <v>22</v>
      </c>
      <c r="D1530" s="5" t="s">
        <v>20</v>
      </c>
      <c r="E1530" s="5" t="s">
        <v>12</v>
      </c>
      <c r="F1530" s="5">
        <v>1983</v>
      </c>
      <c r="G1530" s="5" t="str">
        <f>VLOOKUP(C1530,Sheet2!$C$3:$D$12,2,0)</f>
        <v>Variable</v>
      </c>
      <c r="H1530" s="5" t="str">
        <f>IFERROR(VLOOKUP(E1530,Sheet2!$G$3:$H$8,2,0),"unkwon")</f>
        <v>online</v>
      </c>
      <c r="I1530" s="5">
        <f>VLOOKUP(B1530,Sheet2!$J$4:$K$15,2,0)</f>
        <v>5</v>
      </c>
      <c r="J1530" s="5">
        <f>IFERROR(VLOOKUP(C1530,Sheet2!$M$4:$N$12,2,0),0)</f>
        <v>1000</v>
      </c>
      <c r="K1530" s="5" t="str">
        <f t="shared" si="23"/>
        <v>over budget</v>
      </c>
    </row>
    <row r="1531" spans="1:11" x14ac:dyDescent="0.3">
      <c r="A1531" s="6">
        <v>45585</v>
      </c>
      <c r="B1531" s="5" t="s">
        <v>6</v>
      </c>
      <c r="C1531" s="5" t="s">
        <v>30</v>
      </c>
      <c r="D1531" s="5" t="s">
        <v>34</v>
      </c>
      <c r="E1531" s="5" t="s">
        <v>9</v>
      </c>
      <c r="F1531" s="5">
        <v>4868</v>
      </c>
      <c r="G1531" s="5" t="str">
        <f>VLOOKUP(C1531,Sheet2!$C$3:$D$12,2,0)</f>
        <v>Fixed</v>
      </c>
      <c r="H1531" s="5" t="str">
        <f>IFERROR(VLOOKUP(E1531,Sheet2!$G$3:$H$8,2,0),"unkwon")</f>
        <v>online</v>
      </c>
      <c r="I1531" s="5">
        <f>VLOOKUP(B1531,Sheet2!$J$4:$K$15,2,0)</f>
        <v>10</v>
      </c>
      <c r="J1531" s="5">
        <f>IFERROR(VLOOKUP(C1531,Sheet2!$M$4:$N$12,2,0),0)</f>
        <v>3000</v>
      </c>
      <c r="K1531" s="5" t="str">
        <f t="shared" si="23"/>
        <v>over budget</v>
      </c>
    </row>
    <row r="1532" spans="1:11" x14ac:dyDescent="0.3">
      <c r="A1532" s="6">
        <v>45184</v>
      </c>
      <c r="B1532" s="5" t="s">
        <v>38</v>
      </c>
      <c r="C1532" s="5" t="s">
        <v>13</v>
      </c>
      <c r="D1532" s="5" t="s">
        <v>34</v>
      </c>
      <c r="E1532" s="5" t="s">
        <v>15</v>
      </c>
      <c r="F1532" s="5">
        <v>3063</v>
      </c>
      <c r="G1532" s="5" t="str">
        <f>VLOOKUP(C1532,Sheet2!$C$3:$D$12,2,0)</f>
        <v>Variable</v>
      </c>
      <c r="H1532" s="5" t="str">
        <f>IFERROR(VLOOKUP(E1532,Sheet2!$G$3:$H$8,2,0),"unkwon")</f>
        <v>online</v>
      </c>
      <c r="I1532" s="5">
        <f>VLOOKUP(B1532,Sheet2!$J$4:$K$15,2,0)</f>
        <v>9</v>
      </c>
      <c r="J1532" s="5">
        <f>IFERROR(VLOOKUP(C1532,Sheet2!$M$4:$N$12,2,0),0)</f>
        <v>5000</v>
      </c>
      <c r="K1532" s="5" t="str">
        <f t="shared" si="23"/>
        <v>within budget</v>
      </c>
    </row>
    <row r="1533" spans="1:11" x14ac:dyDescent="0.3">
      <c r="A1533" s="6">
        <v>45585</v>
      </c>
      <c r="B1533" s="5" t="s">
        <v>6</v>
      </c>
      <c r="C1533" s="5" t="s">
        <v>30</v>
      </c>
      <c r="D1533" s="5" t="s">
        <v>18</v>
      </c>
      <c r="E1533" s="5" t="s">
        <v>32</v>
      </c>
      <c r="F1533" s="5">
        <v>2913</v>
      </c>
      <c r="G1533" s="5" t="str">
        <f>VLOOKUP(C1533,Sheet2!$C$3:$D$12,2,0)</f>
        <v>Fixed</v>
      </c>
      <c r="H1533" s="5" t="str">
        <f>IFERROR(VLOOKUP(E1533,Sheet2!$G$3:$H$8,2,0),"unkwon")</f>
        <v>offline</v>
      </c>
      <c r="I1533" s="5">
        <f>VLOOKUP(B1533,Sheet2!$J$4:$K$15,2,0)</f>
        <v>10</v>
      </c>
      <c r="J1533" s="5">
        <f>IFERROR(VLOOKUP(C1533,Sheet2!$M$4:$N$12,2,0),0)</f>
        <v>3000</v>
      </c>
      <c r="K1533" s="5" t="str">
        <f t="shared" si="23"/>
        <v>within budget</v>
      </c>
    </row>
    <row r="1534" spans="1:11" x14ac:dyDescent="0.3">
      <c r="A1534" s="6">
        <v>45132</v>
      </c>
      <c r="B1534" s="5" t="s">
        <v>21</v>
      </c>
      <c r="C1534" s="5" t="s">
        <v>35</v>
      </c>
      <c r="D1534" s="5" t="s">
        <v>11</v>
      </c>
      <c r="E1534" s="5" t="s">
        <v>32</v>
      </c>
      <c r="F1534" s="5">
        <v>1844</v>
      </c>
      <c r="G1534" s="5" t="str">
        <f>VLOOKUP(C1534,Sheet2!$C$3:$D$12,2,0)</f>
        <v>Fixed</v>
      </c>
      <c r="H1534" s="5" t="str">
        <f>IFERROR(VLOOKUP(E1534,Sheet2!$G$3:$H$8,2,0),"unkwon")</f>
        <v>offline</v>
      </c>
      <c r="I1534" s="5">
        <f>VLOOKUP(B1534,Sheet2!$J$4:$K$15,2,0)</f>
        <v>7</v>
      </c>
      <c r="J1534" s="5">
        <f>IFERROR(VLOOKUP(C1534,Sheet2!$M$4:$N$12,2,0),0)</f>
        <v>5500</v>
      </c>
      <c r="K1534" s="5" t="str">
        <f t="shared" si="23"/>
        <v>within budget</v>
      </c>
    </row>
    <row r="1535" spans="1:11" x14ac:dyDescent="0.3">
      <c r="A1535" s="6">
        <v>45200</v>
      </c>
      <c r="B1535" s="5" t="s">
        <v>6</v>
      </c>
      <c r="C1535" s="5" t="s">
        <v>10</v>
      </c>
      <c r="D1535" s="5" t="s">
        <v>23</v>
      </c>
      <c r="E1535" s="5" t="s">
        <v>17</v>
      </c>
      <c r="F1535" s="5">
        <v>3801</v>
      </c>
      <c r="G1535" s="5" t="str">
        <f>VLOOKUP(C1535,Sheet2!$C$3:$D$12,2,0)</f>
        <v>Variable</v>
      </c>
      <c r="H1535" s="5" t="str">
        <f>IFERROR(VLOOKUP(E1535,Sheet2!$G$3:$H$8,2,0),"unkwon")</f>
        <v>online</v>
      </c>
      <c r="I1535" s="5">
        <f>VLOOKUP(B1535,Sheet2!$J$4:$K$15,2,0)</f>
        <v>10</v>
      </c>
      <c r="J1535" s="5">
        <f>IFERROR(VLOOKUP(C1535,Sheet2!$M$4:$N$12,2,0),0)</f>
        <v>5000</v>
      </c>
      <c r="K1535" s="5" t="str">
        <f t="shared" si="23"/>
        <v>within budget</v>
      </c>
    </row>
    <row r="1536" spans="1:11" x14ac:dyDescent="0.3">
      <c r="A1536" s="6">
        <v>45295</v>
      </c>
      <c r="B1536" s="5" t="s">
        <v>37</v>
      </c>
      <c r="C1536" s="5" t="s">
        <v>7</v>
      </c>
      <c r="D1536" s="5" t="s">
        <v>23</v>
      </c>
      <c r="E1536" s="5" t="s">
        <v>12</v>
      </c>
      <c r="F1536" s="5">
        <v>1459</v>
      </c>
      <c r="G1536" s="5" t="str">
        <f>VLOOKUP(C1536,Sheet2!$C$3:$D$12,2,0)</f>
        <v>Fixed</v>
      </c>
      <c r="H1536" s="5" t="str">
        <f>IFERROR(VLOOKUP(E1536,Sheet2!$G$3:$H$8,2,0),"unkwon")</f>
        <v>online</v>
      </c>
      <c r="I1536" s="5">
        <f>VLOOKUP(B1536,Sheet2!$J$4:$K$15,2,0)</f>
        <v>1</v>
      </c>
      <c r="J1536" s="5">
        <f>IFERROR(VLOOKUP(C1536,Sheet2!$M$4:$N$12,2,0),0)</f>
        <v>2000</v>
      </c>
      <c r="K1536" s="5" t="str">
        <f t="shared" si="23"/>
        <v>within budget</v>
      </c>
    </row>
    <row r="1537" spans="1:11" x14ac:dyDescent="0.3">
      <c r="A1537" s="6">
        <v>45426</v>
      </c>
      <c r="B1537" s="5" t="s">
        <v>28</v>
      </c>
      <c r="C1537" s="5" t="s">
        <v>10</v>
      </c>
      <c r="D1537" s="5" t="s">
        <v>18</v>
      </c>
      <c r="E1537" s="5" t="s">
        <v>32</v>
      </c>
      <c r="F1537" s="5">
        <v>943</v>
      </c>
      <c r="G1537" s="5" t="str">
        <f>VLOOKUP(C1537,Sheet2!$C$3:$D$12,2,0)</f>
        <v>Variable</v>
      </c>
      <c r="H1537" s="5" t="str">
        <f>IFERROR(VLOOKUP(E1537,Sheet2!$G$3:$H$8,2,0),"unkwon")</f>
        <v>offline</v>
      </c>
      <c r="I1537" s="5">
        <f>VLOOKUP(B1537,Sheet2!$J$4:$K$15,2,0)</f>
        <v>5</v>
      </c>
      <c r="J1537" s="5">
        <f>IFERROR(VLOOKUP(C1537,Sheet2!$M$4:$N$12,2,0),0)</f>
        <v>5000</v>
      </c>
      <c r="K1537" s="5" t="str">
        <f t="shared" si="23"/>
        <v>within budget</v>
      </c>
    </row>
    <row r="1538" spans="1:11" x14ac:dyDescent="0.3">
      <c r="A1538" s="6">
        <v>45574</v>
      </c>
      <c r="B1538" s="5" t="s">
        <v>6</v>
      </c>
      <c r="C1538" s="5" t="s">
        <v>30</v>
      </c>
      <c r="D1538" s="5" t="s">
        <v>8</v>
      </c>
      <c r="E1538" s="5" t="s">
        <v>32</v>
      </c>
      <c r="F1538" s="5">
        <v>676</v>
      </c>
      <c r="G1538" s="5" t="str">
        <f>VLOOKUP(C1538,Sheet2!$C$3:$D$12,2,0)</f>
        <v>Fixed</v>
      </c>
      <c r="H1538" s="5" t="str">
        <f>IFERROR(VLOOKUP(E1538,Sheet2!$G$3:$H$8,2,0),"unkwon")</f>
        <v>offline</v>
      </c>
      <c r="I1538" s="5">
        <f>VLOOKUP(B1538,Sheet2!$J$4:$K$15,2,0)</f>
        <v>10</v>
      </c>
      <c r="J1538" s="5">
        <f>IFERROR(VLOOKUP(C1538,Sheet2!$M$4:$N$12,2,0),0)</f>
        <v>3000</v>
      </c>
      <c r="K1538" s="5" t="str">
        <f t="shared" si="23"/>
        <v>within budget</v>
      </c>
    </row>
    <row r="1539" spans="1:11" x14ac:dyDescent="0.3">
      <c r="A1539" s="6">
        <v>44966</v>
      </c>
      <c r="B1539" s="5" t="s">
        <v>33</v>
      </c>
      <c r="C1539" s="5" t="s">
        <v>36</v>
      </c>
      <c r="D1539" s="5" t="s">
        <v>31</v>
      </c>
      <c r="E1539" s="5" t="s">
        <v>9</v>
      </c>
      <c r="F1539" s="5">
        <v>4151</v>
      </c>
      <c r="G1539" s="5" t="str">
        <f>VLOOKUP(C1539,Sheet2!$C$3:$D$12,2,0)</f>
        <v>Variable</v>
      </c>
      <c r="H1539" s="5" t="str">
        <f>IFERROR(VLOOKUP(E1539,Sheet2!$G$3:$H$8,2,0),"unkwon")</f>
        <v>online</v>
      </c>
      <c r="I1539" s="5">
        <f>VLOOKUP(B1539,Sheet2!$J$4:$K$15,2,0)</f>
        <v>2</v>
      </c>
      <c r="J1539" s="5">
        <f>IFERROR(VLOOKUP(C1539,Sheet2!$M$4:$N$12,2,0),0)</f>
        <v>10000</v>
      </c>
      <c r="K1539" s="5" t="str">
        <f t="shared" ref="K1539:K1602" si="24">IF(F1539&gt;J1539,"over budget","within budget")</f>
        <v>within budget</v>
      </c>
    </row>
    <row r="1540" spans="1:11" x14ac:dyDescent="0.3">
      <c r="A1540" s="6">
        <v>45250</v>
      </c>
      <c r="B1540" s="5" t="s">
        <v>40</v>
      </c>
      <c r="C1540" s="5" t="s">
        <v>35</v>
      </c>
      <c r="D1540" s="5" t="s">
        <v>34</v>
      </c>
      <c r="E1540" s="5" t="s">
        <v>17</v>
      </c>
      <c r="F1540" s="5">
        <v>4418</v>
      </c>
      <c r="G1540" s="5" t="str">
        <f>VLOOKUP(C1540,Sheet2!$C$3:$D$12,2,0)</f>
        <v>Fixed</v>
      </c>
      <c r="H1540" s="5" t="str">
        <f>IFERROR(VLOOKUP(E1540,Sheet2!$G$3:$H$8,2,0),"unkwon")</f>
        <v>online</v>
      </c>
      <c r="I1540" s="5">
        <f>VLOOKUP(B1540,Sheet2!$J$4:$K$15,2,0)</f>
        <v>11</v>
      </c>
      <c r="J1540" s="5">
        <f>IFERROR(VLOOKUP(C1540,Sheet2!$M$4:$N$12,2,0),0)</f>
        <v>5500</v>
      </c>
      <c r="K1540" s="5" t="str">
        <f t="shared" si="24"/>
        <v>within budget</v>
      </c>
    </row>
    <row r="1541" spans="1:11" x14ac:dyDescent="0.3">
      <c r="A1541" s="6">
        <v>44978</v>
      </c>
      <c r="B1541" s="5" t="s">
        <v>33</v>
      </c>
      <c r="C1541" s="5" t="s">
        <v>36</v>
      </c>
      <c r="D1541" s="5" t="s">
        <v>11</v>
      </c>
      <c r="E1541" s="5" t="s">
        <v>15</v>
      </c>
      <c r="F1541" s="5">
        <v>2168</v>
      </c>
      <c r="G1541" s="5" t="str">
        <f>VLOOKUP(C1541,Sheet2!$C$3:$D$12,2,0)</f>
        <v>Variable</v>
      </c>
      <c r="H1541" s="5" t="str">
        <f>IFERROR(VLOOKUP(E1541,Sheet2!$G$3:$H$8,2,0),"unkwon")</f>
        <v>online</v>
      </c>
      <c r="I1541" s="5">
        <f>VLOOKUP(B1541,Sheet2!$J$4:$K$15,2,0)</f>
        <v>2</v>
      </c>
      <c r="J1541" s="5">
        <f>IFERROR(VLOOKUP(C1541,Sheet2!$M$4:$N$12,2,0),0)</f>
        <v>10000</v>
      </c>
      <c r="K1541" s="5" t="str">
        <f t="shared" si="24"/>
        <v>within budget</v>
      </c>
    </row>
    <row r="1542" spans="1:11" x14ac:dyDescent="0.3">
      <c r="A1542" s="6">
        <v>45398</v>
      </c>
      <c r="B1542" s="5" t="s">
        <v>29</v>
      </c>
      <c r="C1542" s="5" t="s">
        <v>7</v>
      </c>
      <c r="D1542" s="5" t="s">
        <v>26</v>
      </c>
      <c r="E1542" s="5" t="s">
        <v>9</v>
      </c>
      <c r="F1542" s="5">
        <v>3388</v>
      </c>
      <c r="G1542" s="5" t="str">
        <f>VLOOKUP(C1542,Sheet2!$C$3:$D$12,2,0)</f>
        <v>Fixed</v>
      </c>
      <c r="H1542" s="5" t="str">
        <f>IFERROR(VLOOKUP(E1542,Sheet2!$G$3:$H$8,2,0),"unkwon")</f>
        <v>online</v>
      </c>
      <c r="I1542" s="5">
        <f>VLOOKUP(B1542,Sheet2!$J$4:$K$15,2,0)</f>
        <v>4</v>
      </c>
      <c r="J1542" s="5">
        <f>IFERROR(VLOOKUP(C1542,Sheet2!$M$4:$N$12,2,0),0)</f>
        <v>2000</v>
      </c>
      <c r="K1542" s="5" t="str">
        <f t="shared" si="24"/>
        <v>over budget</v>
      </c>
    </row>
    <row r="1543" spans="1:11" x14ac:dyDescent="0.3">
      <c r="A1543" s="6">
        <v>44942</v>
      </c>
      <c r="B1543" s="5" t="s">
        <v>37</v>
      </c>
      <c r="C1543" s="5" t="s">
        <v>35</v>
      </c>
      <c r="D1543" s="5" t="s">
        <v>8</v>
      </c>
      <c r="E1543" s="5" t="s">
        <v>17</v>
      </c>
      <c r="F1543" s="5">
        <v>2847</v>
      </c>
      <c r="G1543" s="5" t="str">
        <f>VLOOKUP(C1543,Sheet2!$C$3:$D$12,2,0)</f>
        <v>Fixed</v>
      </c>
      <c r="H1543" s="5" t="str">
        <f>IFERROR(VLOOKUP(E1543,Sheet2!$G$3:$H$8,2,0),"unkwon")</f>
        <v>online</v>
      </c>
      <c r="I1543" s="5">
        <f>VLOOKUP(B1543,Sheet2!$J$4:$K$15,2,0)</f>
        <v>1</v>
      </c>
      <c r="J1543" s="5">
        <f>IFERROR(VLOOKUP(C1543,Sheet2!$M$4:$N$12,2,0),0)</f>
        <v>5500</v>
      </c>
      <c r="K1543" s="5" t="str">
        <f t="shared" si="24"/>
        <v>within budget</v>
      </c>
    </row>
    <row r="1544" spans="1:11" x14ac:dyDescent="0.3">
      <c r="A1544" s="6">
        <v>44975</v>
      </c>
      <c r="B1544" s="5" t="s">
        <v>33</v>
      </c>
      <c r="C1544" s="5" t="s">
        <v>13</v>
      </c>
      <c r="D1544" s="5" t="s">
        <v>20</v>
      </c>
      <c r="E1544" s="5" t="s">
        <v>12</v>
      </c>
      <c r="F1544" s="5">
        <v>1800</v>
      </c>
      <c r="G1544" s="5" t="str">
        <f>VLOOKUP(C1544,Sheet2!$C$3:$D$12,2,0)</f>
        <v>Variable</v>
      </c>
      <c r="H1544" s="5" t="str">
        <f>IFERROR(VLOOKUP(E1544,Sheet2!$G$3:$H$8,2,0),"unkwon")</f>
        <v>online</v>
      </c>
      <c r="I1544" s="5">
        <f>VLOOKUP(B1544,Sheet2!$J$4:$K$15,2,0)</f>
        <v>2</v>
      </c>
      <c r="J1544" s="5">
        <f>IFERROR(VLOOKUP(C1544,Sheet2!$M$4:$N$12,2,0),0)</f>
        <v>5000</v>
      </c>
      <c r="K1544" s="5" t="str">
        <f t="shared" si="24"/>
        <v>within budget</v>
      </c>
    </row>
    <row r="1545" spans="1:11" x14ac:dyDescent="0.3">
      <c r="A1545" s="6">
        <v>45026</v>
      </c>
      <c r="B1545" s="5" t="s">
        <v>29</v>
      </c>
      <c r="C1545" s="5" t="s">
        <v>35</v>
      </c>
      <c r="D1545" s="5" t="s">
        <v>23</v>
      </c>
      <c r="E1545" s="5" t="s">
        <v>9</v>
      </c>
      <c r="F1545" s="5">
        <v>678</v>
      </c>
      <c r="G1545" s="5" t="str">
        <f>VLOOKUP(C1545,Sheet2!$C$3:$D$12,2,0)</f>
        <v>Fixed</v>
      </c>
      <c r="H1545" s="5" t="str">
        <f>IFERROR(VLOOKUP(E1545,Sheet2!$G$3:$H$8,2,0),"unkwon")</f>
        <v>online</v>
      </c>
      <c r="I1545" s="5">
        <f>VLOOKUP(B1545,Sheet2!$J$4:$K$15,2,0)</f>
        <v>4</v>
      </c>
      <c r="J1545" s="5">
        <f>IFERROR(VLOOKUP(C1545,Sheet2!$M$4:$N$12,2,0),0)</f>
        <v>5500</v>
      </c>
      <c r="K1545" s="5" t="str">
        <f t="shared" si="24"/>
        <v>within budget</v>
      </c>
    </row>
    <row r="1546" spans="1:11" x14ac:dyDescent="0.3">
      <c r="A1546" s="6">
        <v>45638</v>
      </c>
      <c r="B1546" s="5" t="s">
        <v>16</v>
      </c>
      <c r="C1546" s="5" t="s">
        <v>35</v>
      </c>
      <c r="D1546" s="5" t="s">
        <v>14</v>
      </c>
      <c r="E1546" s="5" t="s">
        <v>15</v>
      </c>
      <c r="F1546" s="5">
        <v>2772</v>
      </c>
      <c r="G1546" s="5" t="str">
        <f>VLOOKUP(C1546,Sheet2!$C$3:$D$12,2,0)</f>
        <v>Fixed</v>
      </c>
      <c r="H1546" s="5" t="str">
        <f>IFERROR(VLOOKUP(E1546,Sheet2!$G$3:$H$8,2,0),"unkwon")</f>
        <v>online</v>
      </c>
      <c r="I1546" s="5">
        <f>VLOOKUP(B1546,Sheet2!$J$4:$K$15,2,0)</f>
        <v>12</v>
      </c>
      <c r="J1546" s="5">
        <f>IFERROR(VLOOKUP(C1546,Sheet2!$M$4:$N$12,2,0),0)</f>
        <v>5500</v>
      </c>
      <c r="K1546" s="5" t="str">
        <f t="shared" si="24"/>
        <v>within budget</v>
      </c>
    </row>
    <row r="1547" spans="1:11" x14ac:dyDescent="0.3">
      <c r="A1547" s="6">
        <v>45128</v>
      </c>
      <c r="B1547" s="5" t="s">
        <v>21</v>
      </c>
      <c r="C1547" s="5" t="s">
        <v>35</v>
      </c>
      <c r="D1547" s="5" t="s">
        <v>31</v>
      </c>
      <c r="E1547" s="5" t="s">
        <v>17</v>
      </c>
      <c r="F1547" s="5">
        <v>4356</v>
      </c>
      <c r="G1547" s="5" t="str">
        <f>VLOOKUP(C1547,Sheet2!$C$3:$D$12,2,0)</f>
        <v>Fixed</v>
      </c>
      <c r="H1547" s="5" t="str">
        <f>IFERROR(VLOOKUP(E1547,Sheet2!$G$3:$H$8,2,0),"unkwon")</f>
        <v>online</v>
      </c>
      <c r="I1547" s="5">
        <f>VLOOKUP(B1547,Sheet2!$J$4:$K$15,2,0)</f>
        <v>7</v>
      </c>
      <c r="J1547" s="5">
        <f>IFERROR(VLOOKUP(C1547,Sheet2!$M$4:$N$12,2,0),0)</f>
        <v>5500</v>
      </c>
      <c r="K1547" s="5" t="str">
        <f t="shared" si="24"/>
        <v>within budget</v>
      </c>
    </row>
    <row r="1548" spans="1:11" x14ac:dyDescent="0.3">
      <c r="A1548" s="6">
        <v>45336</v>
      </c>
      <c r="B1548" s="5" t="s">
        <v>33</v>
      </c>
      <c r="C1548" s="5" t="s">
        <v>41</v>
      </c>
      <c r="D1548" s="5" t="s">
        <v>24</v>
      </c>
      <c r="E1548" s="5" t="s">
        <v>12</v>
      </c>
      <c r="F1548" s="5">
        <v>4906</v>
      </c>
      <c r="G1548" s="5" t="str">
        <f>VLOOKUP(C1548,Sheet2!$C$3:$D$12,2,0)</f>
        <v>Variable</v>
      </c>
      <c r="H1548" s="5" t="str">
        <f>IFERROR(VLOOKUP(E1548,Sheet2!$G$3:$H$8,2,0),"unkwon")</f>
        <v>online</v>
      </c>
      <c r="I1548" s="5">
        <f>VLOOKUP(B1548,Sheet2!$J$4:$K$15,2,0)</f>
        <v>2</v>
      </c>
      <c r="J1548" s="5">
        <f>IFERROR(VLOOKUP(C1548,Sheet2!$M$4:$N$12,2,0),0)</f>
        <v>7000</v>
      </c>
      <c r="K1548" s="5" t="str">
        <f t="shared" si="24"/>
        <v>within budget</v>
      </c>
    </row>
    <row r="1549" spans="1:11" x14ac:dyDescent="0.3">
      <c r="A1549" s="6">
        <v>45197</v>
      </c>
      <c r="B1549" s="5" t="s">
        <v>38</v>
      </c>
      <c r="C1549" s="5" t="s">
        <v>41</v>
      </c>
      <c r="D1549" s="5" t="s">
        <v>24</v>
      </c>
      <c r="E1549" s="5" t="s">
        <v>9</v>
      </c>
      <c r="F1549" s="5">
        <v>4085</v>
      </c>
      <c r="G1549" s="5" t="str">
        <f>VLOOKUP(C1549,Sheet2!$C$3:$D$12,2,0)</f>
        <v>Variable</v>
      </c>
      <c r="H1549" s="5" t="str">
        <f>IFERROR(VLOOKUP(E1549,Sheet2!$G$3:$H$8,2,0),"unkwon")</f>
        <v>online</v>
      </c>
      <c r="I1549" s="5">
        <f>VLOOKUP(B1549,Sheet2!$J$4:$K$15,2,0)</f>
        <v>9</v>
      </c>
      <c r="J1549" s="5">
        <f>IFERROR(VLOOKUP(C1549,Sheet2!$M$4:$N$12,2,0),0)</f>
        <v>7000</v>
      </c>
      <c r="K1549" s="5" t="str">
        <f t="shared" si="24"/>
        <v>within budget</v>
      </c>
    </row>
    <row r="1550" spans="1:11" x14ac:dyDescent="0.3">
      <c r="A1550" s="6">
        <v>45001</v>
      </c>
      <c r="B1550" s="5" t="s">
        <v>19</v>
      </c>
      <c r="C1550" s="5" t="s">
        <v>36</v>
      </c>
      <c r="D1550" s="5" t="s">
        <v>14</v>
      </c>
      <c r="E1550" s="5" t="s">
        <v>15</v>
      </c>
      <c r="F1550" s="5">
        <v>1445</v>
      </c>
      <c r="G1550" s="5" t="str">
        <f>VLOOKUP(C1550,Sheet2!$C$3:$D$12,2,0)</f>
        <v>Variable</v>
      </c>
      <c r="H1550" s="5" t="str">
        <f>IFERROR(VLOOKUP(E1550,Sheet2!$G$3:$H$8,2,0),"unkwon")</f>
        <v>online</v>
      </c>
      <c r="I1550" s="5">
        <f>VLOOKUP(B1550,Sheet2!$J$4:$K$15,2,0)</f>
        <v>3</v>
      </c>
      <c r="J1550" s="5">
        <f>IFERROR(VLOOKUP(C1550,Sheet2!$M$4:$N$12,2,0),0)</f>
        <v>10000</v>
      </c>
      <c r="K1550" s="5" t="str">
        <f t="shared" si="24"/>
        <v>within budget</v>
      </c>
    </row>
    <row r="1551" spans="1:11" x14ac:dyDescent="0.3">
      <c r="A1551" s="6">
        <v>45248</v>
      </c>
      <c r="B1551" s="5" t="s">
        <v>40</v>
      </c>
      <c r="C1551" s="5" t="s">
        <v>30</v>
      </c>
      <c r="D1551" s="5" t="s">
        <v>23</v>
      </c>
      <c r="E1551" s="5" t="s">
        <v>9</v>
      </c>
      <c r="F1551" s="5">
        <v>4193</v>
      </c>
      <c r="G1551" s="5" t="str">
        <f>VLOOKUP(C1551,Sheet2!$C$3:$D$12,2,0)</f>
        <v>Fixed</v>
      </c>
      <c r="H1551" s="5" t="str">
        <f>IFERROR(VLOOKUP(E1551,Sheet2!$G$3:$H$8,2,0),"unkwon")</f>
        <v>online</v>
      </c>
      <c r="I1551" s="5">
        <f>VLOOKUP(B1551,Sheet2!$J$4:$K$15,2,0)</f>
        <v>11</v>
      </c>
      <c r="J1551" s="5">
        <f>IFERROR(VLOOKUP(C1551,Sheet2!$M$4:$N$12,2,0),0)</f>
        <v>3000</v>
      </c>
      <c r="K1551" s="5" t="str">
        <f t="shared" si="24"/>
        <v>over budget</v>
      </c>
    </row>
    <row r="1552" spans="1:11" x14ac:dyDescent="0.3">
      <c r="A1552" s="6">
        <v>44971</v>
      </c>
      <c r="B1552" s="5" t="s">
        <v>33</v>
      </c>
      <c r="C1552" s="5" t="s">
        <v>27</v>
      </c>
      <c r="D1552" s="5" t="s">
        <v>11</v>
      </c>
      <c r="E1552" s="5" t="s">
        <v>32</v>
      </c>
      <c r="F1552" s="5">
        <v>2278</v>
      </c>
      <c r="G1552" s="5" t="str">
        <f>VLOOKUP(C1552,Sheet2!$C$3:$D$12,2,0)</f>
        <v>Variable</v>
      </c>
      <c r="H1552" s="5" t="str">
        <f>IFERROR(VLOOKUP(E1552,Sheet2!$G$3:$H$8,2,0),"unkwon")</f>
        <v>offline</v>
      </c>
      <c r="I1552" s="5">
        <f>VLOOKUP(B1552,Sheet2!$J$4:$K$15,2,0)</f>
        <v>2</v>
      </c>
      <c r="J1552" s="5">
        <f>IFERROR(VLOOKUP(C1552,Sheet2!$M$4:$N$12,2,0),0)</f>
        <v>4000</v>
      </c>
      <c r="K1552" s="5" t="str">
        <f t="shared" si="24"/>
        <v>within budget</v>
      </c>
    </row>
    <row r="1553" spans="1:11" x14ac:dyDescent="0.3">
      <c r="A1553" s="6">
        <v>45549</v>
      </c>
      <c r="B1553" s="5" t="s">
        <v>38</v>
      </c>
      <c r="C1553" s="5" t="s">
        <v>27</v>
      </c>
      <c r="D1553" s="5" t="s">
        <v>14</v>
      </c>
      <c r="E1553" s="5" t="s">
        <v>15</v>
      </c>
      <c r="F1553" s="5">
        <v>1338</v>
      </c>
      <c r="G1553" s="5" t="str">
        <f>VLOOKUP(C1553,Sheet2!$C$3:$D$12,2,0)</f>
        <v>Variable</v>
      </c>
      <c r="H1553" s="5" t="str">
        <f>IFERROR(VLOOKUP(E1553,Sheet2!$G$3:$H$8,2,0),"unkwon")</f>
        <v>online</v>
      </c>
      <c r="I1553" s="5">
        <f>VLOOKUP(B1553,Sheet2!$J$4:$K$15,2,0)</f>
        <v>9</v>
      </c>
      <c r="J1553" s="5">
        <f>IFERROR(VLOOKUP(C1553,Sheet2!$M$4:$N$12,2,0),0)</f>
        <v>4000</v>
      </c>
      <c r="K1553" s="5" t="str">
        <f t="shared" si="24"/>
        <v>within budget</v>
      </c>
    </row>
    <row r="1554" spans="1:11" x14ac:dyDescent="0.3">
      <c r="A1554" s="6">
        <v>45421</v>
      </c>
      <c r="B1554" s="5" t="s">
        <v>28</v>
      </c>
      <c r="C1554" s="5" t="s">
        <v>7</v>
      </c>
      <c r="D1554" s="5" t="s">
        <v>18</v>
      </c>
      <c r="E1554" s="5" t="s">
        <v>15</v>
      </c>
      <c r="F1554" s="5">
        <v>3968</v>
      </c>
      <c r="G1554" s="5" t="str">
        <f>VLOOKUP(C1554,Sheet2!$C$3:$D$12,2,0)</f>
        <v>Fixed</v>
      </c>
      <c r="H1554" s="5" t="str">
        <f>IFERROR(VLOOKUP(E1554,Sheet2!$G$3:$H$8,2,0),"unkwon")</f>
        <v>online</v>
      </c>
      <c r="I1554" s="5">
        <f>VLOOKUP(B1554,Sheet2!$J$4:$K$15,2,0)</f>
        <v>5</v>
      </c>
      <c r="J1554" s="5">
        <f>IFERROR(VLOOKUP(C1554,Sheet2!$M$4:$N$12,2,0),0)</f>
        <v>2000</v>
      </c>
      <c r="K1554" s="5" t="str">
        <f t="shared" si="24"/>
        <v>over budget</v>
      </c>
    </row>
    <row r="1555" spans="1:11" x14ac:dyDescent="0.3">
      <c r="A1555" s="6">
        <v>45336</v>
      </c>
      <c r="B1555" s="5" t="s">
        <v>33</v>
      </c>
      <c r="C1555" s="5" t="s">
        <v>30</v>
      </c>
      <c r="D1555" s="5" t="s">
        <v>14</v>
      </c>
      <c r="E1555" s="5" t="s">
        <v>9</v>
      </c>
      <c r="F1555" s="5">
        <v>2476</v>
      </c>
      <c r="G1555" s="5" t="str">
        <f>VLOOKUP(C1555,Sheet2!$C$3:$D$12,2,0)</f>
        <v>Fixed</v>
      </c>
      <c r="H1555" s="5" t="str">
        <f>IFERROR(VLOOKUP(E1555,Sheet2!$G$3:$H$8,2,0),"unkwon")</f>
        <v>online</v>
      </c>
      <c r="I1555" s="5">
        <f>VLOOKUP(B1555,Sheet2!$J$4:$K$15,2,0)</f>
        <v>2</v>
      </c>
      <c r="J1555" s="5">
        <f>IFERROR(VLOOKUP(C1555,Sheet2!$M$4:$N$12,2,0),0)</f>
        <v>3000</v>
      </c>
      <c r="K1555" s="5" t="str">
        <f t="shared" si="24"/>
        <v>within budget</v>
      </c>
    </row>
    <row r="1556" spans="1:11" x14ac:dyDescent="0.3">
      <c r="A1556" s="6">
        <v>45537</v>
      </c>
      <c r="B1556" s="5" t="s">
        <v>38</v>
      </c>
      <c r="C1556" s="5" t="s">
        <v>36</v>
      </c>
      <c r="D1556" s="5" t="s">
        <v>11</v>
      </c>
      <c r="E1556" s="5" t="s">
        <v>15</v>
      </c>
      <c r="F1556" s="5">
        <v>4390</v>
      </c>
      <c r="G1556" s="5" t="str">
        <f>VLOOKUP(C1556,Sheet2!$C$3:$D$12,2,0)</f>
        <v>Variable</v>
      </c>
      <c r="H1556" s="5" t="str">
        <f>IFERROR(VLOOKUP(E1556,Sheet2!$G$3:$H$8,2,0),"unkwon")</f>
        <v>online</v>
      </c>
      <c r="I1556" s="5">
        <f>VLOOKUP(B1556,Sheet2!$J$4:$K$15,2,0)</f>
        <v>9</v>
      </c>
      <c r="J1556" s="5">
        <f>IFERROR(VLOOKUP(C1556,Sheet2!$M$4:$N$12,2,0),0)</f>
        <v>10000</v>
      </c>
      <c r="K1556" s="5" t="str">
        <f t="shared" si="24"/>
        <v>within budget</v>
      </c>
    </row>
    <row r="1557" spans="1:11" x14ac:dyDescent="0.3">
      <c r="A1557" s="6">
        <v>45435</v>
      </c>
      <c r="B1557" s="5" t="s">
        <v>28</v>
      </c>
      <c r="C1557" s="5" t="s">
        <v>30</v>
      </c>
      <c r="D1557" s="5" t="s">
        <v>18</v>
      </c>
      <c r="E1557" s="5" t="s">
        <v>15</v>
      </c>
      <c r="F1557" s="5">
        <v>1009</v>
      </c>
      <c r="G1557" s="5" t="str">
        <f>VLOOKUP(C1557,Sheet2!$C$3:$D$12,2,0)</f>
        <v>Fixed</v>
      </c>
      <c r="H1557" s="5" t="str">
        <f>IFERROR(VLOOKUP(E1557,Sheet2!$G$3:$H$8,2,0),"unkwon")</f>
        <v>online</v>
      </c>
      <c r="I1557" s="5">
        <f>VLOOKUP(B1557,Sheet2!$J$4:$K$15,2,0)</f>
        <v>5</v>
      </c>
      <c r="J1557" s="5">
        <f>IFERROR(VLOOKUP(C1557,Sheet2!$M$4:$N$12,2,0),0)</f>
        <v>3000</v>
      </c>
      <c r="K1557" s="5" t="str">
        <f t="shared" si="24"/>
        <v>within budget</v>
      </c>
    </row>
    <row r="1558" spans="1:11" x14ac:dyDescent="0.3">
      <c r="A1558" s="6">
        <v>45081</v>
      </c>
      <c r="B1558" s="5" t="s">
        <v>39</v>
      </c>
      <c r="C1558" s="5" t="s">
        <v>35</v>
      </c>
      <c r="D1558" s="5" t="s">
        <v>18</v>
      </c>
      <c r="E1558" s="5" t="s">
        <v>15</v>
      </c>
      <c r="F1558" s="5">
        <v>1178</v>
      </c>
      <c r="G1558" s="5" t="str">
        <f>VLOOKUP(C1558,Sheet2!$C$3:$D$12,2,0)</f>
        <v>Fixed</v>
      </c>
      <c r="H1558" s="5" t="str">
        <f>IFERROR(VLOOKUP(E1558,Sheet2!$G$3:$H$8,2,0),"unkwon")</f>
        <v>online</v>
      </c>
      <c r="I1558" s="5">
        <f>VLOOKUP(B1558,Sheet2!$J$4:$K$15,2,0)</f>
        <v>6</v>
      </c>
      <c r="J1558" s="5">
        <f>IFERROR(VLOOKUP(C1558,Sheet2!$M$4:$N$12,2,0),0)</f>
        <v>5500</v>
      </c>
      <c r="K1558" s="5" t="str">
        <f t="shared" si="24"/>
        <v>within budget</v>
      </c>
    </row>
    <row r="1559" spans="1:11" x14ac:dyDescent="0.3">
      <c r="A1559" s="6">
        <v>45047</v>
      </c>
      <c r="B1559" s="5" t="s">
        <v>28</v>
      </c>
      <c r="C1559" s="5" t="s">
        <v>27</v>
      </c>
      <c r="D1559" s="5" t="s">
        <v>34</v>
      </c>
      <c r="E1559" s="5" t="s">
        <v>17</v>
      </c>
      <c r="F1559" s="5">
        <v>3193</v>
      </c>
      <c r="G1559" s="5" t="str">
        <f>VLOOKUP(C1559,Sheet2!$C$3:$D$12,2,0)</f>
        <v>Variable</v>
      </c>
      <c r="H1559" s="5" t="str">
        <f>IFERROR(VLOOKUP(E1559,Sheet2!$G$3:$H$8,2,0),"unkwon")</f>
        <v>online</v>
      </c>
      <c r="I1559" s="5">
        <f>VLOOKUP(B1559,Sheet2!$J$4:$K$15,2,0)</f>
        <v>5</v>
      </c>
      <c r="J1559" s="5">
        <f>IFERROR(VLOOKUP(C1559,Sheet2!$M$4:$N$12,2,0),0)</f>
        <v>4000</v>
      </c>
      <c r="K1559" s="5" t="str">
        <f t="shared" si="24"/>
        <v>within budget</v>
      </c>
    </row>
    <row r="1560" spans="1:11" x14ac:dyDescent="0.3">
      <c r="A1560" s="6">
        <v>45590</v>
      </c>
      <c r="B1560" s="5" t="s">
        <v>6</v>
      </c>
      <c r="C1560" s="5" t="s">
        <v>35</v>
      </c>
      <c r="D1560" s="5" t="s">
        <v>8</v>
      </c>
      <c r="E1560" s="5" t="s">
        <v>17</v>
      </c>
      <c r="F1560" s="5">
        <v>4269</v>
      </c>
      <c r="G1560" s="5" t="str">
        <f>VLOOKUP(C1560,Sheet2!$C$3:$D$12,2,0)</f>
        <v>Fixed</v>
      </c>
      <c r="H1560" s="5" t="str">
        <f>IFERROR(VLOOKUP(E1560,Sheet2!$G$3:$H$8,2,0),"unkwon")</f>
        <v>online</v>
      </c>
      <c r="I1560" s="5">
        <f>VLOOKUP(B1560,Sheet2!$J$4:$K$15,2,0)</f>
        <v>10</v>
      </c>
      <c r="J1560" s="5">
        <f>IFERROR(VLOOKUP(C1560,Sheet2!$M$4:$N$12,2,0),0)</f>
        <v>5500</v>
      </c>
      <c r="K1560" s="5" t="str">
        <f t="shared" si="24"/>
        <v>within budget</v>
      </c>
    </row>
    <row r="1561" spans="1:11" x14ac:dyDescent="0.3">
      <c r="A1561" s="6">
        <v>45603</v>
      </c>
      <c r="B1561" s="5" t="s">
        <v>40</v>
      </c>
      <c r="C1561" s="5" t="s">
        <v>7</v>
      </c>
      <c r="D1561" s="5" t="s">
        <v>11</v>
      </c>
      <c r="E1561" s="5" t="s">
        <v>17</v>
      </c>
      <c r="F1561" s="5">
        <v>4665</v>
      </c>
      <c r="G1561" s="5" t="str">
        <f>VLOOKUP(C1561,Sheet2!$C$3:$D$12,2,0)</f>
        <v>Fixed</v>
      </c>
      <c r="H1561" s="5" t="str">
        <f>IFERROR(VLOOKUP(E1561,Sheet2!$G$3:$H$8,2,0),"unkwon")</f>
        <v>online</v>
      </c>
      <c r="I1561" s="5">
        <f>VLOOKUP(B1561,Sheet2!$J$4:$K$15,2,0)</f>
        <v>11</v>
      </c>
      <c r="J1561" s="5">
        <f>IFERROR(VLOOKUP(C1561,Sheet2!$M$4:$N$12,2,0),0)</f>
        <v>2000</v>
      </c>
      <c r="K1561" s="5" t="str">
        <f t="shared" si="24"/>
        <v>over budget</v>
      </c>
    </row>
    <row r="1562" spans="1:11" x14ac:dyDescent="0.3">
      <c r="A1562" s="6">
        <v>44934</v>
      </c>
      <c r="B1562" s="5" t="s">
        <v>37</v>
      </c>
      <c r="C1562" s="5" t="s">
        <v>27</v>
      </c>
      <c r="D1562" s="5" t="s">
        <v>23</v>
      </c>
      <c r="E1562" s="5" t="s">
        <v>32</v>
      </c>
      <c r="F1562" s="5">
        <v>3734</v>
      </c>
      <c r="G1562" s="5" t="str">
        <f>VLOOKUP(C1562,Sheet2!$C$3:$D$12,2,0)</f>
        <v>Variable</v>
      </c>
      <c r="H1562" s="5" t="str">
        <f>IFERROR(VLOOKUP(E1562,Sheet2!$G$3:$H$8,2,0),"unkwon")</f>
        <v>offline</v>
      </c>
      <c r="I1562" s="5">
        <f>VLOOKUP(B1562,Sheet2!$J$4:$K$15,2,0)</f>
        <v>1</v>
      </c>
      <c r="J1562" s="5">
        <f>IFERROR(VLOOKUP(C1562,Sheet2!$M$4:$N$12,2,0),0)</f>
        <v>4000</v>
      </c>
      <c r="K1562" s="5" t="str">
        <f t="shared" si="24"/>
        <v>within budget</v>
      </c>
    </row>
    <row r="1563" spans="1:11" x14ac:dyDescent="0.3">
      <c r="A1563" s="6">
        <v>45084</v>
      </c>
      <c r="B1563" s="5" t="s">
        <v>39</v>
      </c>
      <c r="C1563" s="5" t="s">
        <v>27</v>
      </c>
      <c r="D1563" s="5" t="s">
        <v>11</v>
      </c>
      <c r="E1563" s="5" t="s">
        <v>12</v>
      </c>
      <c r="F1563" s="5">
        <v>2407</v>
      </c>
      <c r="G1563" s="5" t="str">
        <f>VLOOKUP(C1563,Sheet2!$C$3:$D$12,2,0)</f>
        <v>Variable</v>
      </c>
      <c r="H1563" s="5" t="str">
        <f>IFERROR(VLOOKUP(E1563,Sheet2!$G$3:$H$8,2,0),"unkwon")</f>
        <v>online</v>
      </c>
      <c r="I1563" s="5">
        <f>VLOOKUP(B1563,Sheet2!$J$4:$K$15,2,0)</f>
        <v>6</v>
      </c>
      <c r="J1563" s="5">
        <f>IFERROR(VLOOKUP(C1563,Sheet2!$M$4:$N$12,2,0),0)</f>
        <v>4000</v>
      </c>
      <c r="K1563" s="5" t="str">
        <f t="shared" si="24"/>
        <v>within budget</v>
      </c>
    </row>
    <row r="1564" spans="1:11" x14ac:dyDescent="0.3">
      <c r="A1564" s="6">
        <v>45095</v>
      </c>
      <c r="B1564" s="5" t="s">
        <v>39</v>
      </c>
      <c r="C1564" s="5" t="s">
        <v>22</v>
      </c>
      <c r="D1564" s="5" t="s">
        <v>24</v>
      </c>
      <c r="E1564" s="5" t="s">
        <v>32</v>
      </c>
      <c r="F1564" s="5">
        <v>1578</v>
      </c>
      <c r="G1564" s="5" t="str">
        <f>VLOOKUP(C1564,Sheet2!$C$3:$D$12,2,0)</f>
        <v>Variable</v>
      </c>
      <c r="H1564" s="5" t="str">
        <f>IFERROR(VLOOKUP(E1564,Sheet2!$G$3:$H$8,2,0),"unkwon")</f>
        <v>offline</v>
      </c>
      <c r="I1564" s="5">
        <f>VLOOKUP(B1564,Sheet2!$J$4:$K$15,2,0)</f>
        <v>6</v>
      </c>
      <c r="J1564" s="5">
        <f>IFERROR(VLOOKUP(C1564,Sheet2!$M$4:$N$12,2,0),0)</f>
        <v>1000</v>
      </c>
      <c r="K1564" s="5" t="str">
        <f t="shared" si="24"/>
        <v>over budget</v>
      </c>
    </row>
    <row r="1565" spans="1:11" x14ac:dyDescent="0.3">
      <c r="A1565" s="6">
        <v>45008</v>
      </c>
      <c r="B1565" s="5" t="s">
        <v>19</v>
      </c>
      <c r="C1565" s="5" t="s">
        <v>36</v>
      </c>
      <c r="D1565" s="5" t="s">
        <v>26</v>
      </c>
      <c r="E1565" s="5" t="s">
        <v>32</v>
      </c>
      <c r="F1565" s="5">
        <v>1300</v>
      </c>
      <c r="G1565" s="5" t="str">
        <f>VLOOKUP(C1565,Sheet2!$C$3:$D$12,2,0)</f>
        <v>Variable</v>
      </c>
      <c r="H1565" s="5" t="str">
        <f>IFERROR(VLOOKUP(E1565,Sheet2!$G$3:$H$8,2,0),"unkwon")</f>
        <v>offline</v>
      </c>
      <c r="I1565" s="5">
        <f>VLOOKUP(B1565,Sheet2!$J$4:$K$15,2,0)</f>
        <v>3</v>
      </c>
      <c r="J1565" s="5">
        <f>IFERROR(VLOOKUP(C1565,Sheet2!$M$4:$N$12,2,0),0)</f>
        <v>10000</v>
      </c>
      <c r="K1565" s="5" t="str">
        <f t="shared" si="24"/>
        <v>within budget</v>
      </c>
    </row>
    <row r="1566" spans="1:11" x14ac:dyDescent="0.3">
      <c r="A1566" s="6">
        <v>44975</v>
      </c>
      <c r="B1566" s="5" t="s">
        <v>33</v>
      </c>
      <c r="C1566" s="5" t="s">
        <v>41</v>
      </c>
      <c r="D1566" s="5" t="s">
        <v>24</v>
      </c>
      <c r="E1566" s="5" t="s">
        <v>15</v>
      </c>
      <c r="F1566" s="5">
        <v>2739</v>
      </c>
      <c r="G1566" s="5" t="str">
        <f>VLOOKUP(C1566,Sheet2!$C$3:$D$12,2,0)</f>
        <v>Variable</v>
      </c>
      <c r="H1566" s="5" t="str">
        <f>IFERROR(VLOOKUP(E1566,Sheet2!$G$3:$H$8,2,0),"unkwon")</f>
        <v>online</v>
      </c>
      <c r="I1566" s="5">
        <f>VLOOKUP(B1566,Sheet2!$J$4:$K$15,2,0)</f>
        <v>2</v>
      </c>
      <c r="J1566" s="5">
        <f>IFERROR(VLOOKUP(C1566,Sheet2!$M$4:$N$12,2,0),0)</f>
        <v>7000</v>
      </c>
      <c r="K1566" s="5" t="str">
        <f t="shared" si="24"/>
        <v>within budget</v>
      </c>
    </row>
    <row r="1567" spans="1:11" x14ac:dyDescent="0.3">
      <c r="A1567" s="6">
        <v>45319</v>
      </c>
      <c r="B1567" s="5" t="s">
        <v>37</v>
      </c>
      <c r="C1567" s="5" t="s">
        <v>27</v>
      </c>
      <c r="D1567" s="5" t="s">
        <v>11</v>
      </c>
      <c r="E1567" s="5" t="s">
        <v>17</v>
      </c>
      <c r="F1567" s="5">
        <v>1326</v>
      </c>
      <c r="G1567" s="5" t="str">
        <f>VLOOKUP(C1567,Sheet2!$C$3:$D$12,2,0)</f>
        <v>Variable</v>
      </c>
      <c r="H1567" s="5" t="str">
        <f>IFERROR(VLOOKUP(E1567,Sheet2!$G$3:$H$8,2,0),"unkwon")</f>
        <v>online</v>
      </c>
      <c r="I1567" s="5">
        <f>VLOOKUP(B1567,Sheet2!$J$4:$K$15,2,0)</f>
        <v>1</v>
      </c>
      <c r="J1567" s="5">
        <f>IFERROR(VLOOKUP(C1567,Sheet2!$M$4:$N$12,2,0),0)</f>
        <v>4000</v>
      </c>
      <c r="K1567" s="5" t="str">
        <f t="shared" si="24"/>
        <v>within budget</v>
      </c>
    </row>
    <row r="1568" spans="1:11" x14ac:dyDescent="0.3">
      <c r="A1568" s="6">
        <v>45540</v>
      </c>
      <c r="B1568" s="5" t="s">
        <v>38</v>
      </c>
      <c r="C1568" s="5" t="s">
        <v>35</v>
      </c>
      <c r="D1568" s="5" t="s">
        <v>11</v>
      </c>
      <c r="E1568" s="5" t="s">
        <v>12</v>
      </c>
      <c r="F1568" s="5">
        <v>1266</v>
      </c>
      <c r="G1568" s="5" t="str">
        <f>VLOOKUP(C1568,Sheet2!$C$3:$D$12,2,0)</f>
        <v>Fixed</v>
      </c>
      <c r="H1568" s="5" t="str">
        <f>IFERROR(VLOOKUP(E1568,Sheet2!$G$3:$H$8,2,0),"unkwon")</f>
        <v>online</v>
      </c>
      <c r="I1568" s="5">
        <f>VLOOKUP(B1568,Sheet2!$J$4:$K$15,2,0)</f>
        <v>9</v>
      </c>
      <c r="J1568" s="5">
        <f>IFERROR(VLOOKUP(C1568,Sheet2!$M$4:$N$12,2,0),0)</f>
        <v>5500</v>
      </c>
      <c r="K1568" s="5" t="str">
        <f t="shared" si="24"/>
        <v>within budget</v>
      </c>
    </row>
    <row r="1569" spans="1:11" x14ac:dyDescent="0.3">
      <c r="A1569" s="6">
        <v>45044</v>
      </c>
      <c r="B1569" s="5" t="s">
        <v>29</v>
      </c>
      <c r="C1569" s="5" t="s">
        <v>35</v>
      </c>
      <c r="D1569" s="5" t="s">
        <v>23</v>
      </c>
      <c r="E1569" s="5" t="s">
        <v>12</v>
      </c>
      <c r="F1569" s="5">
        <v>2112</v>
      </c>
      <c r="G1569" s="5" t="str">
        <f>VLOOKUP(C1569,Sheet2!$C$3:$D$12,2,0)</f>
        <v>Fixed</v>
      </c>
      <c r="H1569" s="5" t="str">
        <f>IFERROR(VLOOKUP(E1569,Sheet2!$G$3:$H$8,2,0),"unkwon")</f>
        <v>online</v>
      </c>
      <c r="I1569" s="5">
        <f>VLOOKUP(B1569,Sheet2!$J$4:$K$15,2,0)</f>
        <v>4</v>
      </c>
      <c r="J1569" s="5">
        <f>IFERROR(VLOOKUP(C1569,Sheet2!$M$4:$N$12,2,0),0)</f>
        <v>5500</v>
      </c>
      <c r="K1569" s="5" t="str">
        <f t="shared" si="24"/>
        <v>within budget</v>
      </c>
    </row>
    <row r="1570" spans="1:11" x14ac:dyDescent="0.3">
      <c r="A1570" s="6">
        <v>45487</v>
      </c>
      <c r="B1570" s="5" t="s">
        <v>21</v>
      </c>
      <c r="C1570" s="5" t="s">
        <v>30</v>
      </c>
      <c r="D1570" s="5" t="s">
        <v>20</v>
      </c>
      <c r="E1570" s="5" t="s">
        <v>15</v>
      </c>
      <c r="F1570" s="5">
        <v>506</v>
      </c>
      <c r="G1570" s="5" t="str">
        <f>VLOOKUP(C1570,Sheet2!$C$3:$D$12,2,0)</f>
        <v>Fixed</v>
      </c>
      <c r="H1570" s="5" t="str">
        <f>IFERROR(VLOOKUP(E1570,Sheet2!$G$3:$H$8,2,0),"unkwon")</f>
        <v>online</v>
      </c>
      <c r="I1570" s="5">
        <f>VLOOKUP(B1570,Sheet2!$J$4:$K$15,2,0)</f>
        <v>7</v>
      </c>
      <c r="J1570" s="5">
        <f>IFERROR(VLOOKUP(C1570,Sheet2!$M$4:$N$12,2,0),0)</f>
        <v>3000</v>
      </c>
      <c r="K1570" s="5" t="str">
        <f t="shared" si="24"/>
        <v>within budget</v>
      </c>
    </row>
    <row r="1571" spans="1:11" x14ac:dyDescent="0.3">
      <c r="A1571" s="6">
        <v>45247</v>
      </c>
      <c r="B1571" s="5" t="s">
        <v>40</v>
      </c>
      <c r="C1571" s="5" t="s">
        <v>13</v>
      </c>
      <c r="D1571" s="5" t="s">
        <v>34</v>
      </c>
      <c r="E1571" s="5" t="s">
        <v>15</v>
      </c>
      <c r="F1571" s="5">
        <v>3726</v>
      </c>
      <c r="G1571" s="5" t="str">
        <f>VLOOKUP(C1571,Sheet2!$C$3:$D$12,2,0)</f>
        <v>Variable</v>
      </c>
      <c r="H1571" s="5" t="str">
        <f>IFERROR(VLOOKUP(E1571,Sheet2!$G$3:$H$8,2,0),"unkwon")</f>
        <v>online</v>
      </c>
      <c r="I1571" s="5">
        <f>VLOOKUP(B1571,Sheet2!$J$4:$K$15,2,0)</f>
        <v>11</v>
      </c>
      <c r="J1571" s="5">
        <f>IFERROR(VLOOKUP(C1571,Sheet2!$M$4:$N$12,2,0),0)</f>
        <v>5000</v>
      </c>
      <c r="K1571" s="5" t="str">
        <f t="shared" si="24"/>
        <v>within budget</v>
      </c>
    </row>
    <row r="1572" spans="1:11" x14ac:dyDescent="0.3">
      <c r="A1572" s="6">
        <v>45135</v>
      </c>
      <c r="B1572" s="5" t="s">
        <v>21</v>
      </c>
      <c r="C1572" s="5" t="s">
        <v>7</v>
      </c>
      <c r="D1572" s="5" t="s">
        <v>23</v>
      </c>
      <c r="E1572" s="5" t="s">
        <v>15</v>
      </c>
      <c r="F1572" s="5">
        <v>3909</v>
      </c>
      <c r="G1572" s="5" t="str">
        <f>VLOOKUP(C1572,Sheet2!$C$3:$D$12,2,0)</f>
        <v>Fixed</v>
      </c>
      <c r="H1572" s="5" t="str">
        <f>IFERROR(VLOOKUP(E1572,Sheet2!$G$3:$H$8,2,0),"unkwon")</f>
        <v>online</v>
      </c>
      <c r="I1572" s="5">
        <f>VLOOKUP(B1572,Sheet2!$J$4:$K$15,2,0)</f>
        <v>7</v>
      </c>
      <c r="J1572" s="5">
        <f>IFERROR(VLOOKUP(C1572,Sheet2!$M$4:$N$12,2,0),0)</f>
        <v>2000</v>
      </c>
      <c r="K1572" s="5" t="str">
        <f t="shared" si="24"/>
        <v>over budget</v>
      </c>
    </row>
    <row r="1573" spans="1:11" x14ac:dyDescent="0.3">
      <c r="A1573" s="6">
        <v>45336</v>
      </c>
      <c r="B1573" s="5" t="s">
        <v>33</v>
      </c>
      <c r="C1573" s="5" t="s">
        <v>30</v>
      </c>
      <c r="D1573" s="5" t="s">
        <v>18</v>
      </c>
      <c r="E1573" s="5" t="s">
        <v>32</v>
      </c>
      <c r="F1573" s="5">
        <v>3846</v>
      </c>
      <c r="G1573" s="5" t="str">
        <f>VLOOKUP(C1573,Sheet2!$C$3:$D$12,2,0)</f>
        <v>Fixed</v>
      </c>
      <c r="H1573" s="5" t="str">
        <f>IFERROR(VLOOKUP(E1573,Sheet2!$G$3:$H$8,2,0),"unkwon")</f>
        <v>offline</v>
      </c>
      <c r="I1573" s="5">
        <f>VLOOKUP(B1573,Sheet2!$J$4:$K$15,2,0)</f>
        <v>2</v>
      </c>
      <c r="J1573" s="5">
        <f>IFERROR(VLOOKUP(C1573,Sheet2!$M$4:$N$12,2,0),0)</f>
        <v>3000</v>
      </c>
      <c r="K1573" s="5" t="str">
        <f t="shared" si="24"/>
        <v>over budget</v>
      </c>
    </row>
    <row r="1574" spans="1:11" x14ac:dyDescent="0.3">
      <c r="A1574" s="6">
        <v>45231</v>
      </c>
      <c r="B1574" s="5" t="s">
        <v>40</v>
      </c>
      <c r="C1574" s="5" t="s">
        <v>10</v>
      </c>
      <c r="D1574" s="5" t="s">
        <v>24</v>
      </c>
      <c r="E1574" s="5" t="s">
        <v>15</v>
      </c>
      <c r="F1574" s="5">
        <v>4112</v>
      </c>
      <c r="G1574" s="5" t="str">
        <f>VLOOKUP(C1574,Sheet2!$C$3:$D$12,2,0)</f>
        <v>Variable</v>
      </c>
      <c r="H1574" s="5" t="str">
        <f>IFERROR(VLOOKUP(E1574,Sheet2!$G$3:$H$8,2,0),"unkwon")</f>
        <v>online</v>
      </c>
      <c r="I1574" s="5">
        <f>VLOOKUP(B1574,Sheet2!$J$4:$K$15,2,0)</f>
        <v>11</v>
      </c>
      <c r="J1574" s="5">
        <f>IFERROR(VLOOKUP(C1574,Sheet2!$M$4:$N$12,2,0),0)</f>
        <v>5000</v>
      </c>
      <c r="K1574" s="5" t="str">
        <f t="shared" si="24"/>
        <v>within budget</v>
      </c>
    </row>
    <row r="1575" spans="1:11" x14ac:dyDescent="0.3">
      <c r="A1575" s="6">
        <v>45423</v>
      </c>
      <c r="B1575" s="5" t="s">
        <v>28</v>
      </c>
      <c r="C1575" s="5" t="s">
        <v>10</v>
      </c>
      <c r="D1575" s="5" t="s">
        <v>20</v>
      </c>
      <c r="E1575" s="5" t="s">
        <v>12</v>
      </c>
      <c r="F1575" s="5">
        <v>54</v>
      </c>
      <c r="G1575" s="5" t="str">
        <f>VLOOKUP(C1575,Sheet2!$C$3:$D$12,2,0)</f>
        <v>Variable</v>
      </c>
      <c r="H1575" s="5" t="str">
        <f>IFERROR(VLOOKUP(E1575,Sheet2!$G$3:$H$8,2,0),"unkwon")</f>
        <v>online</v>
      </c>
      <c r="I1575" s="5">
        <f>VLOOKUP(B1575,Sheet2!$J$4:$K$15,2,0)</f>
        <v>5</v>
      </c>
      <c r="J1575" s="5">
        <f>IFERROR(VLOOKUP(C1575,Sheet2!$M$4:$N$12,2,0),0)</f>
        <v>5000</v>
      </c>
      <c r="K1575" s="5" t="str">
        <f t="shared" si="24"/>
        <v>within budget</v>
      </c>
    </row>
    <row r="1576" spans="1:11" x14ac:dyDescent="0.3">
      <c r="A1576" s="6">
        <v>45147</v>
      </c>
      <c r="B1576" s="5" t="s">
        <v>25</v>
      </c>
      <c r="C1576" s="5" t="s">
        <v>13</v>
      </c>
      <c r="D1576" s="5" t="s">
        <v>24</v>
      </c>
      <c r="E1576" s="5" t="s">
        <v>32</v>
      </c>
      <c r="F1576" s="5">
        <v>3512</v>
      </c>
      <c r="G1576" s="5" t="str">
        <f>VLOOKUP(C1576,Sheet2!$C$3:$D$12,2,0)</f>
        <v>Variable</v>
      </c>
      <c r="H1576" s="5" t="str">
        <f>IFERROR(VLOOKUP(E1576,Sheet2!$G$3:$H$8,2,0),"unkwon")</f>
        <v>offline</v>
      </c>
      <c r="I1576" s="5">
        <f>VLOOKUP(B1576,Sheet2!$J$4:$K$15,2,0)</f>
        <v>8</v>
      </c>
      <c r="J1576" s="5">
        <f>IFERROR(VLOOKUP(C1576,Sheet2!$M$4:$N$12,2,0),0)</f>
        <v>5000</v>
      </c>
      <c r="K1576" s="5" t="str">
        <f t="shared" si="24"/>
        <v>within budget</v>
      </c>
    </row>
    <row r="1577" spans="1:11" x14ac:dyDescent="0.3">
      <c r="A1577" s="6">
        <v>45021</v>
      </c>
      <c r="B1577" s="5" t="s">
        <v>29</v>
      </c>
      <c r="C1577" s="5" t="s">
        <v>30</v>
      </c>
      <c r="D1577" s="5" t="s">
        <v>18</v>
      </c>
      <c r="E1577" s="5" t="s">
        <v>17</v>
      </c>
      <c r="F1577" s="5">
        <v>4655</v>
      </c>
      <c r="G1577" s="5" t="str">
        <f>VLOOKUP(C1577,Sheet2!$C$3:$D$12,2,0)</f>
        <v>Fixed</v>
      </c>
      <c r="H1577" s="5" t="str">
        <f>IFERROR(VLOOKUP(E1577,Sheet2!$G$3:$H$8,2,0),"unkwon")</f>
        <v>online</v>
      </c>
      <c r="I1577" s="5">
        <f>VLOOKUP(B1577,Sheet2!$J$4:$K$15,2,0)</f>
        <v>4</v>
      </c>
      <c r="J1577" s="5">
        <f>IFERROR(VLOOKUP(C1577,Sheet2!$M$4:$N$12,2,0),0)</f>
        <v>3000</v>
      </c>
      <c r="K1577" s="5" t="str">
        <f t="shared" si="24"/>
        <v>over budget</v>
      </c>
    </row>
    <row r="1578" spans="1:11" x14ac:dyDescent="0.3">
      <c r="A1578" s="6">
        <v>45609</v>
      </c>
      <c r="B1578" s="5" t="s">
        <v>40</v>
      </c>
      <c r="C1578" s="5" t="s">
        <v>36</v>
      </c>
      <c r="D1578" s="5" t="s">
        <v>20</v>
      </c>
      <c r="E1578" s="5" t="s">
        <v>32</v>
      </c>
      <c r="F1578" s="5">
        <v>1303</v>
      </c>
      <c r="G1578" s="5" t="str">
        <f>VLOOKUP(C1578,Sheet2!$C$3:$D$12,2,0)</f>
        <v>Variable</v>
      </c>
      <c r="H1578" s="5" t="str">
        <f>IFERROR(VLOOKUP(E1578,Sheet2!$G$3:$H$8,2,0),"unkwon")</f>
        <v>offline</v>
      </c>
      <c r="I1578" s="5">
        <f>VLOOKUP(B1578,Sheet2!$J$4:$K$15,2,0)</f>
        <v>11</v>
      </c>
      <c r="J1578" s="5">
        <f>IFERROR(VLOOKUP(C1578,Sheet2!$M$4:$N$12,2,0),0)</f>
        <v>10000</v>
      </c>
      <c r="K1578" s="5" t="str">
        <f t="shared" si="24"/>
        <v>within budget</v>
      </c>
    </row>
    <row r="1579" spans="1:11" x14ac:dyDescent="0.3">
      <c r="A1579" s="6">
        <v>45480</v>
      </c>
      <c r="B1579" s="5" t="s">
        <v>21</v>
      </c>
      <c r="C1579" s="5" t="s">
        <v>7</v>
      </c>
      <c r="D1579" s="5" t="s">
        <v>14</v>
      </c>
      <c r="E1579" s="5" t="s">
        <v>15</v>
      </c>
      <c r="F1579" s="5">
        <v>715</v>
      </c>
      <c r="G1579" s="5" t="str">
        <f>VLOOKUP(C1579,Sheet2!$C$3:$D$12,2,0)</f>
        <v>Fixed</v>
      </c>
      <c r="H1579" s="5" t="str">
        <f>IFERROR(VLOOKUP(E1579,Sheet2!$G$3:$H$8,2,0),"unkwon")</f>
        <v>online</v>
      </c>
      <c r="I1579" s="5">
        <f>VLOOKUP(B1579,Sheet2!$J$4:$K$15,2,0)</f>
        <v>7</v>
      </c>
      <c r="J1579" s="5">
        <f>IFERROR(VLOOKUP(C1579,Sheet2!$M$4:$N$12,2,0),0)</f>
        <v>2000</v>
      </c>
      <c r="K1579" s="5" t="str">
        <f t="shared" si="24"/>
        <v>within budget</v>
      </c>
    </row>
    <row r="1580" spans="1:11" x14ac:dyDescent="0.3">
      <c r="A1580" s="6">
        <v>45558</v>
      </c>
      <c r="B1580" s="5" t="s">
        <v>38</v>
      </c>
      <c r="C1580" s="5" t="s">
        <v>13</v>
      </c>
      <c r="D1580" s="5" t="s">
        <v>24</v>
      </c>
      <c r="E1580" s="5" t="s">
        <v>12</v>
      </c>
      <c r="F1580" s="5">
        <v>4663</v>
      </c>
      <c r="G1580" s="5" t="str">
        <f>VLOOKUP(C1580,Sheet2!$C$3:$D$12,2,0)</f>
        <v>Variable</v>
      </c>
      <c r="H1580" s="5" t="str">
        <f>IFERROR(VLOOKUP(E1580,Sheet2!$G$3:$H$8,2,0),"unkwon")</f>
        <v>online</v>
      </c>
      <c r="I1580" s="5">
        <f>VLOOKUP(B1580,Sheet2!$J$4:$K$15,2,0)</f>
        <v>9</v>
      </c>
      <c r="J1580" s="5">
        <f>IFERROR(VLOOKUP(C1580,Sheet2!$M$4:$N$12,2,0),0)</f>
        <v>5000</v>
      </c>
      <c r="K1580" s="5" t="str">
        <f t="shared" si="24"/>
        <v>within budget</v>
      </c>
    </row>
    <row r="1581" spans="1:11" x14ac:dyDescent="0.3">
      <c r="A1581" s="6">
        <v>45099</v>
      </c>
      <c r="B1581" s="5" t="s">
        <v>39</v>
      </c>
      <c r="C1581" s="5" t="s">
        <v>30</v>
      </c>
      <c r="D1581" s="5" t="s">
        <v>34</v>
      </c>
      <c r="E1581" s="5" t="s">
        <v>9</v>
      </c>
      <c r="F1581" s="5">
        <v>4329</v>
      </c>
      <c r="G1581" s="5" t="str">
        <f>VLOOKUP(C1581,Sheet2!$C$3:$D$12,2,0)</f>
        <v>Fixed</v>
      </c>
      <c r="H1581" s="5" t="str">
        <f>IFERROR(VLOOKUP(E1581,Sheet2!$G$3:$H$8,2,0),"unkwon")</f>
        <v>online</v>
      </c>
      <c r="I1581" s="5">
        <f>VLOOKUP(B1581,Sheet2!$J$4:$K$15,2,0)</f>
        <v>6</v>
      </c>
      <c r="J1581" s="5">
        <f>IFERROR(VLOOKUP(C1581,Sheet2!$M$4:$N$12,2,0),0)</f>
        <v>3000</v>
      </c>
      <c r="K1581" s="5" t="str">
        <f t="shared" si="24"/>
        <v>over budget</v>
      </c>
    </row>
    <row r="1582" spans="1:11" x14ac:dyDescent="0.3">
      <c r="A1582" s="6">
        <v>45377</v>
      </c>
      <c r="B1582" s="5" t="s">
        <v>19</v>
      </c>
      <c r="C1582" s="5" t="s">
        <v>13</v>
      </c>
      <c r="D1582" s="5" t="s">
        <v>18</v>
      </c>
      <c r="E1582" s="5" t="s">
        <v>15</v>
      </c>
      <c r="F1582" s="5">
        <v>2653</v>
      </c>
      <c r="G1582" s="5" t="str">
        <f>VLOOKUP(C1582,Sheet2!$C$3:$D$12,2,0)</f>
        <v>Variable</v>
      </c>
      <c r="H1582" s="5" t="str">
        <f>IFERROR(VLOOKUP(E1582,Sheet2!$G$3:$H$8,2,0),"unkwon")</f>
        <v>online</v>
      </c>
      <c r="I1582" s="5">
        <f>VLOOKUP(B1582,Sheet2!$J$4:$K$15,2,0)</f>
        <v>3</v>
      </c>
      <c r="J1582" s="5">
        <f>IFERROR(VLOOKUP(C1582,Sheet2!$M$4:$N$12,2,0),0)</f>
        <v>5000</v>
      </c>
      <c r="K1582" s="5" t="str">
        <f t="shared" si="24"/>
        <v>within budget</v>
      </c>
    </row>
    <row r="1583" spans="1:11" x14ac:dyDescent="0.3">
      <c r="A1583" s="6">
        <v>45420</v>
      </c>
      <c r="B1583" s="5" t="s">
        <v>28</v>
      </c>
      <c r="C1583" s="5" t="s">
        <v>7</v>
      </c>
      <c r="D1583" s="5" t="s">
        <v>34</v>
      </c>
      <c r="E1583" s="5" t="s">
        <v>17</v>
      </c>
      <c r="F1583" s="5">
        <v>3466</v>
      </c>
      <c r="G1583" s="5" t="str">
        <f>VLOOKUP(C1583,Sheet2!$C$3:$D$12,2,0)</f>
        <v>Fixed</v>
      </c>
      <c r="H1583" s="5" t="str">
        <f>IFERROR(VLOOKUP(E1583,Sheet2!$G$3:$H$8,2,0),"unkwon")</f>
        <v>online</v>
      </c>
      <c r="I1583" s="5">
        <f>VLOOKUP(B1583,Sheet2!$J$4:$K$15,2,0)</f>
        <v>5</v>
      </c>
      <c r="J1583" s="5">
        <f>IFERROR(VLOOKUP(C1583,Sheet2!$M$4:$N$12,2,0),0)</f>
        <v>2000</v>
      </c>
      <c r="K1583" s="5" t="str">
        <f t="shared" si="24"/>
        <v>over budget</v>
      </c>
    </row>
    <row r="1584" spans="1:11" x14ac:dyDescent="0.3">
      <c r="A1584" s="6">
        <v>44997</v>
      </c>
      <c r="B1584" s="5" t="s">
        <v>19</v>
      </c>
      <c r="C1584" s="5" t="s">
        <v>27</v>
      </c>
      <c r="D1584" s="5" t="s">
        <v>23</v>
      </c>
      <c r="E1584" s="5" t="s">
        <v>12</v>
      </c>
      <c r="F1584" s="5">
        <v>3044</v>
      </c>
      <c r="G1584" s="5" t="str">
        <f>VLOOKUP(C1584,Sheet2!$C$3:$D$12,2,0)</f>
        <v>Variable</v>
      </c>
      <c r="H1584" s="5" t="str">
        <f>IFERROR(VLOOKUP(E1584,Sheet2!$G$3:$H$8,2,0),"unkwon")</f>
        <v>online</v>
      </c>
      <c r="I1584" s="5">
        <f>VLOOKUP(B1584,Sheet2!$J$4:$K$15,2,0)</f>
        <v>3</v>
      </c>
      <c r="J1584" s="5">
        <f>IFERROR(VLOOKUP(C1584,Sheet2!$M$4:$N$12,2,0),0)</f>
        <v>4000</v>
      </c>
      <c r="K1584" s="5" t="str">
        <f t="shared" si="24"/>
        <v>within budget</v>
      </c>
    </row>
    <row r="1585" spans="1:11" x14ac:dyDescent="0.3">
      <c r="A1585" s="6">
        <v>45051</v>
      </c>
      <c r="B1585" s="5" t="s">
        <v>28</v>
      </c>
      <c r="C1585" s="5" t="s">
        <v>30</v>
      </c>
      <c r="D1585" s="5" t="s">
        <v>20</v>
      </c>
      <c r="E1585" s="5" t="s">
        <v>15</v>
      </c>
      <c r="F1585" s="5">
        <v>3196</v>
      </c>
      <c r="G1585" s="5" t="str">
        <f>VLOOKUP(C1585,Sheet2!$C$3:$D$12,2,0)</f>
        <v>Fixed</v>
      </c>
      <c r="H1585" s="5" t="str">
        <f>IFERROR(VLOOKUP(E1585,Sheet2!$G$3:$H$8,2,0),"unkwon")</f>
        <v>online</v>
      </c>
      <c r="I1585" s="5">
        <f>VLOOKUP(B1585,Sheet2!$J$4:$K$15,2,0)</f>
        <v>5</v>
      </c>
      <c r="J1585" s="5">
        <f>IFERROR(VLOOKUP(C1585,Sheet2!$M$4:$N$12,2,0),0)</f>
        <v>3000</v>
      </c>
      <c r="K1585" s="5" t="str">
        <f t="shared" si="24"/>
        <v>over budget</v>
      </c>
    </row>
    <row r="1586" spans="1:11" x14ac:dyDescent="0.3">
      <c r="A1586" s="6">
        <v>45233</v>
      </c>
      <c r="B1586" s="5" t="s">
        <v>40</v>
      </c>
      <c r="C1586" s="5" t="s">
        <v>41</v>
      </c>
      <c r="D1586" s="5" t="s">
        <v>24</v>
      </c>
      <c r="E1586" s="5" t="s">
        <v>32</v>
      </c>
      <c r="F1586" s="5">
        <v>4917</v>
      </c>
      <c r="G1586" s="5" t="str">
        <f>VLOOKUP(C1586,Sheet2!$C$3:$D$12,2,0)</f>
        <v>Variable</v>
      </c>
      <c r="H1586" s="5" t="str">
        <f>IFERROR(VLOOKUP(E1586,Sheet2!$G$3:$H$8,2,0),"unkwon")</f>
        <v>offline</v>
      </c>
      <c r="I1586" s="5">
        <f>VLOOKUP(B1586,Sheet2!$J$4:$K$15,2,0)</f>
        <v>11</v>
      </c>
      <c r="J1586" s="5">
        <f>IFERROR(VLOOKUP(C1586,Sheet2!$M$4:$N$12,2,0),0)</f>
        <v>7000</v>
      </c>
      <c r="K1586" s="5" t="str">
        <f t="shared" si="24"/>
        <v>within budget</v>
      </c>
    </row>
    <row r="1587" spans="1:11" x14ac:dyDescent="0.3">
      <c r="A1587" s="6">
        <v>45178</v>
      </c>
      <c r="B1587" s="5" t="s">
        <v>38</v>
      </c>
      <c r="C1587" s="5" t="s">
        <v>36</v>
      </c>
      <c r="D1587" s="5" t="s">
        <v>23</v>
      </c>
      <c r="E1587" s="5" t="s">
        <v>12</v>
      </c>
      <c r="F1587" s="5">
        <v>140</v>
      </c>
      <c r="G1587" s="5" t="str">
        <f>VLOOKUP(C1587,Sheet2!$C$3:$D$12,2,0)</f>
        <v>Variable</v>
      </c>
      <c r="H1587" s="5" t="str">
        <f>IFERROR(VLOOKUP(E1587,Sheet2!$G$3:$H$8,2,0),"unkwon")</f>
        <v>online</v>
      </c>
      <c r="I1587" s="5">
        <f>VLOOKUP(B1587,Sheet2!$J$4:$K$15,2,0)</f>
        <v>9</v>
      </c>
      <c r="J1587" s="5">
        <f>IFERROR(VLOOKUP(C1587,Sheet2!$M$4:$N$12,2,0),0)</f>
        <v>10000</v>
      </c>
      <c r="K1587" s="5" t="str">
        <f t="shared" si="24"/>
        <v>within budget</v>
      </c>
    </row>
    <row r="1588" spans="1:11" x14ac:dyDescent="0.3">
      <c r="A1588" s="6">
        <v>45453</v>
      </c>
      <c r="B1588" s="5" t="s">
        <v>39</v>
      </c>
      <c r="C1588" s="5" t="s">
        <v>10</v>
      </c>
      <c r="D1588" s="5" t="s">
        <v>20</v>
      </c>
      <c r="E1588" s="5" t="s">
        <v>12</v>
      </c>
      <c r="F1588" s="5">
        <v>4509</v>
      </c>
      <c r="G1588" s="5" t="str">
        <f>VLOOKUP(C1588,Sheet2!$C$3:$D$12,2,0)</f>
        <v>Variable</v>
      </c>
      <c r="H1588" s="5" t="str">
        <f>IFERROR(VLOOKUP(E1588,Sheet2!$G$3:$H$8,2,0),"unkwon")</f>
        <v>online</v>
      </c>
      <c r="I1588" s="5">
        <f>VLOOKUP(B1588,Sheet2!$J$4:$K$15,2,0)</f>
        <v>6</v>
      </c>
      <c r="J1588" s="5">
        <f>IFERROR(VLOOKUP(C1588,Sheet2!$M$4:$N$12,2,0),0)</f>
        <v>5000</v>
      </c>
      <c r="K1588" s="5" t="str">
        <f t="shared" si="24"/>
        <v>within budget</v>
      </c>
    </row>
    <row r="1589" spans="1:11" x14ac:dyDescent="0.3">
      <c r="A1589" s="6">
        <v>45625</v>
      </c>
      <c r="B1589" s="5" t="s">
        <v>40</v>
      </c>
      <c r="C1589" s="5" t="s">
        <v>30</v>
      </c>
      <c r="D1589" s="5" t="s">
        <v>14</v>
      </c>
      <c r="E1589" s="5" t="s">
        <v>9</v>
      </c>
      <c r="F1589" s="5">
        <v>4452</v>
      </c>
      <c r="G1589" s="5" t="str">
        <f>VLOOKUP(C1589,Sheet2!$C$3:$D$12,2,0)</f>
        <v>Fixed</v>
      </c>
      <c r="H1589" s="5" t="str">
        <f>IFERROR(VLOOKUP(E1589,Sheet2!$G$3:$H$8,2,0),"unkwon")</f>
        <v>online</v>
      </c>
      <c r="I1589" s="5">
        <f>VLOOKUP(B1589,Sheet2!$J$4:$K$15,2,0)</f>
        <v>11</v>
      </c>
      <c r="J1589" s="5">
        <f>IFERROR(VLOOKUP(C1589,Sheet2!$M$4:$N$12,2,0),0)</f>
        <v>3000</v>
      </c>
      <c r="K1589" s="5" t="str">
        <f t="shared" si="24"/>
        <v>over budget</v>
      </c>
    </row>
    <row r="1590" spans="1:11" x14ac:dyDescent="0.3">
      <c r="A1590" s="6">
        <v>45545</v>
      </c>
      <c r="B1590" s="5" t="s">
        <v>38</v>
      </c>
      <c r="C1590" s="5" t="s">
        <v>7</v>
      </c>
      <c r="D1590" s="5" t="s">
        <v>24</v>
      </c>
      <c r="E1590" s="5" t="s">
        <v>9</v>
      </c>
      <c r="F1590" s="5">
        <v>1393</v>
      </c>
      <c r="G1590" s="5" t="str">
        <f>VLOOKUP(C1590,Sheet2!$C$3:$D$12,2,0)</f>
        <v>Fixed</v>
      </c>
      <c r="H1590" s="5" t="str">
        <f>IFERROR(VLOOKUP(E1590,Sheet2!$G$3:$H$8,2,0),"unkwon")</f>
        <v>online</v>
      </c>
      <c r="I1590" s="5">
        <f>VLOOKUP(B1590,Sheet2!$J$4:$K$15,2,0)</f>
        <v>9</v>
      </c>
      <c r="J1590" s="5">
        <f>IFERROR(VLOOKUP(C1590,Sheet2!$M$4:$N$12,2,0),0)</f>
        <v>2000</v>
      </c>
      <c r="K1590" s="5" t="str">
        <f t="shared" si="24"/>
        <v>within budget</v>
      </c>
    </row>
    <row r="1591" spans="1:11" x14ac:dyDescent="0.3">
      <c r="A1591" s="6">
        <v>45267</v>
      </c>
      <c r="B1591" s="5" t="s">
        <v>16</v>
      </c>
      <c r="C1591" s="5" t="s">
        <v>30</v>
      </c>
      <c r="D1591" s="5" t="s">
        <v>26</v>
      </c>
      <c r="E1591" s="5" t="s">
        <v>12</v>
      </c>
      <c r="F1591" s="5">
        <v>4790</v>
      </c>
      <c r="G1591" s="5" t="str">
        <f>VLOOKUP(C1591,Sheet2!$C$3:$D$12,2,0)</f>
        <v>Fixed</v>
      </c>
      <c r="H1591" s="5" t="str">
        <f>IFERROR(VLOOKUP(E1591,Sheet2!$G$3:$H$8,2,0),"unkwon")</f>
        <v>online</v>
      </c>
      <c r="I1591" s="5">
        <f>VLOOKUP(B1591,Sheet2!$J$4:$K$15,2,0)</f>
        <v>12</v>
      </c>
      <c r="J1591" s="5">
        <f>IFERROR(VLOOKUP(C1591,Sheet2!$M$4:$N$12,2,0),0)</f>
        <v>3000</v>
      </c>
      <c r="K1591" s="5" t="str">
        <f t="shared" si="24"/>
        <v>over budget</v>
      </c>
    </row>
    <row r="1592" spans="1:11" x14ac:dyDescent="0.3">
      <c r="A1592" s="6">
        <v>45334</v>
      </c>
      <c r="B1592" s="5" t="s">
        <v>33</v>
      </c>
      <c r="C1592" s="5" t="s">
        <v>10</v>
      </c>
      <c r="D1592" s="5" t="s">
        <v>24</v>
      </c>
      <c r="E1592" s="5" t="s">
        <v>15</v>
      </c>
      <c r="F1592" s="5">
        <v>1997</v>
      </c>
      <c r="G1592" s="5" t="str">
        <f>VLOOKUP(C1592,Sheet2!$C$3:$D$12,2,0)</f>
        <v>Variable</v>
      </c>
      <c r="H1592" s="5" t="str">
        <f>IFERROR(VLOOKUP(E1592,Sheet2!$G$3:$H$8,2,0),"unkwon")</f>
        <v>online</v>
      </c>
      <c r="I1592" s="5">
        <f>VLOOKUP(B1592,Sheet2!$J$4:$K$15,2,0)</f>
        <v>2</v>
      </c>
      <c r="J1592" s="5">
        <f>IFERROR(VLOOKUP(C1592,Sheet2!$M$4:$N$12,2,0),0)</f>
        <v>5000</v>
      </c>
      <c r="K1592" s="5" t="str">
        <f t="shared" si="24"/>
        <v>within budget</v>
      </c>
    </row>
    <row r="1593" spans="1:11" x14ac:dyDescent="0.3">
      <c r="A1593" s="6">
        <v>44990</v>
      </c>
      <c r="B1593" s="5" t="s">
        <v>19</v>
      </c>
      <c r="C1593" s="5" t="s">
        <v>35</v>
      </c>
      <c r="D1593" s="5" t="s">
        <v>11</v>
      </c>
      <c r="E1593" s="5" t="s">
        <v>15</v>
      </c>
      <c r="F1593" s="5">
        <v>3095</v>
      </c>
      <c r="G1593" s="5" t="str">
        <f>VLOOKUP(C1593,Sheet2!$C$3:$D$12,2,0)</f>
        <v>Fixed</v>
      </c>
      <c r="H1593" s="5" t="str">
        <f>IFERROR(VLOOKUP(E1593,Sheet2!$G$3:$H$8,2,0),"unkwon")</f>
        <v>online</v>
      </c>
      <c r="I1593" s="5">
        <f>VLOOKUP(B1593,Sheet2!$J$4:$K$15,2,0)</f>
        <v>3</v>
      </c>
      <c r="J1593" s="5">
        <f>IFERROR(VLOOKUP(C1593,Sheet2!$M$4:$N$12,2,0),0)</f>
        <v>5500</v>
      </c>
      <c r="K1593" s="5" t="str">
        <f t="shared" si="24"/>
        <v>within budget</v>
      </c>
    </row>
    <row r="1594" spans="1:11" x14ac:dyDescent="0.3">
      <c r="A1594" s="6">
        <v>45475</v>
      </c>
      <c r="B1594" s="5" t="s">
        <v>21</v>
      </c>
      <c r="C1594" s="5" t="s">
        <v>13</v>
      </c>
      <c r="D1594" s="5" t="s">
        <v>20</v>
      </c>
      <c r="E1594" s="5" t="s">
        <v>9</v>
      </c>
      <c r="F1594" s="5">
        <v>1278</v>
      </c>
      <c r="G1594" s="5" t="str">
        <f>VLOOKUP(C1594,Sheet2!$C$3:$D$12,2,0)</f>
        <v>Variable</v>
      </c>
      <c r="H1594" s="5" t="str">
        <f>IFERROR(VLOOKUP(E1594,Sheet2!$G$3:$H$8,2,0),"unkwon")</f>
        <v>online</v>
      </c>
      <c r="I1594" s="5">
        <f>VLOOKUP(B1594,Sheet2!$J$4:$K$15,2,0)</f>
        <v>7</v>
      </c>
      <c r="J1594" s="5">
        <f>IFERROR(VLOOKUP(C1594,Sheet2!$M$4:$N$12,2,0),0)</f>
        <v>5000</v>
      </c>
      <c r="K1594" s="5" t="str">
        <f t="shared" si="24"/>
        <v>within budget</v>
      </c>
    </row>
    <row r="1595" spans="1:11" x14ac:dyDescent="0.3">
      <c r="A1595" s="6">
        <v>45128</v>
      </c>
      <c r="B1595" s="5" t="s">
        <v>21</v>
      </c>
      <c r="C1595" s="5" t="s">
        <v>35</v>
      </c>
      <c r="D1595" s="5" t="s">
        <v>31</v>
      </c>
      <c r="E1595" s="5" t="s">
        <v>15</v>
      </c>
      <c r="F1595" s="5">
        <v>4294</v>
      </c>
      <c r="G1595" s="5" t="str">
        <f>VLOOKUP(C1595,Sheet2!$C$3:$D$12,2,0)</f>
        <v>Fixed</v>
      </c>
      <c r="H1595" s="5" t="str">
        <f>IFERROR(VLOOKUP(E1595,Sheet2!$G$3:$H$8,2,0),"unkwon")</f>
        <v>online</v>
      </c>
      <c r="I1595" s="5">
        <f>VLOOKUP(B1595,Sheet2!$J$4:$K$15,2,0)</f>
        <v>7</v>
      </c>
      <c r="J1595" s="5">
        <f>IFERROR(VLOOKUP(C1595,Sheet2!$M$4:$N$12,2,0),0)</f>
        <v>5500</v>
      </c>
      <c r="K1595" s="5" t="str">
        <f t="shared" si="24"/>
        <v>within budget</v>
      </c>
    </row>
    <row r="1596" spans="1:11" x14ac:dyDescent="0.3">
      <c r="A1596" s="6">
        <v>45391</v>
      </c>
      <c r="B1596" s="5" t="s">
        <v>29</v>
      </c>
      <c r="C1596" s="5" t="s">
        <v>10</v>
      </c>
      <c r="D1596" s="5" t="s">
        <v>26</v>
      </c>
      <c r="E1596" s="5" t="s">
        <v>9</v>
      </c>
      <c r="F1596" s="5">
        <v>1375</v>
      </c>
      <c r="G1596" s="5" t="str">
        <f>VLOOKUP(C1596,Sheet2!$C$3:$D$12,2,0)</f>
        <v>Variable</v>
      </c>
      <c r="H1596" s="5" t="str">
        <f>IFERROR(VLOOKUP(E1596,Sheet2!$G$3:$H$8,2,0),"unkwon")</f>
        <v>online</v>
      </c>
      <c r="I1596" s="5">
        <f>VLOOKUP(B1596,Sheet2!$J$4:$K$15,2,0)</f>
        <v>4</v>
      </c>
      <c r="J1596" s="5">
        <f>IFERROR(VLOOKUP(C1596,Sheet2!$M$4:$N$12,2,0),0)</f>
        <v>5000</v>
      </c>
      <c r="K1596" s="5" t="str">
        <f t="shared" si="24"/>
        <v>within budget</v>
      </c>
    </row>
    <row r="1597" spans="1:11" x14ac:dyDescent="0.3">
      <c r="A1597" s="6">
        <v>45386</v>
      </c>
      <c r="B1597" s="5" t="s">
        <v>29</v>
      </c>
      <c r="C1597" s="5" t="s">
        <v>30</v>
      </c>
      <c r="D1597" s="5" t="s">
        <v>23</v>
      </c>
      <c r="E1597" s="5" t="s">
        <v>32</v>
      </c>
      <c r="F1597" s="5">
        <v>2845</v>
      </c>
      <c r="G1597" s="5" t="str">
        <f>VLOOKUP(C1597,Sheet2!$C$3:$D$12,2,0)</f>
        <v>Fixed</v>
      </c>
      <c r="H1597" s="5" t="str">
        <f>IFERROR(VLOOKUP(E1597,Sheet2!$G$3:$H$8,2,0),"unkwon")</f>
        <v>offline</v>
      </c>
      <c r="I1597" s="5">
        <f>VLOOKUP(B1597,Sheet2!$J$4:$K$15,2,0)</f>
        <v>4</v>
      </c>
      <c r="J1597" s="5">
        <f>IFERROR(VLOOKUP(C1597,Sheet2!$M$4:$N$12,2,0),0)</f>
        <v>3000</v>
      </c>
      <c r="K1597" s="5" t="str">
        <f t="shared" si="24"/>
        <v>within budget</v>
      </c>
    </row>
    <row r="1598" spans="1:11" x14ac:dyDescent="0.3">
      <c r="A1598" s="6">
        <v>45649</v>
      </c>
      <c r="B1598" s="5" t="s">
        <v>16</v>
      </c>
      <c r="C1598" s="5" t="s">
        <v>13</v>
      </c>
      <c r="D1598" s="5" t="s">
        <v>8</v>
      </c>
      <c r="E1598" s="5" t="s">
        <v>15</v>
      </c>
      <c r="F1598" s="5">
        <v>3631</v>
      </c>
      <c r="G1598" s="5" t="str">
        <f>VLOOKUP(C1598,Sheet2!$C$3:$D$12,2,0)</f>
        <v>Variable</v>
      </c>
      <c r="H1598" s="5" t="str">
        <f>IFERROR(VLOOKUP(E1598,Sheet2!$G$3:$H$8,2,0),"unkwon")</f>
        <v>online</v>
      </c>
      <c r="I1598" s="5">
        <f>VLOOKUP(B1598,Sheet2!$J$4:$K$15,2,0)</f>
        <v>12</v>
      </c>
      <c r="J1598" s="5">
        <f>IFERROR(VLOOKUP(C1598,Sheet2!$M$4:$N$12,2,0),0)</f>
        <v>5000</v>
      </c>
      <c r="K1598" s="5" t="str">
        <f t="shared" si="24"/>
        <v>within budget</v>
      </c>
    </row>
    <row r="1599" spans="1:11" x14ac:dyDescent="0.3">
      <c r="A1599" s="6">
        <v>45378</v>
      </c>
      <c r="B1599" s="5" t="s">
        <v>19</v>
      </c>
      <c r="C1599" s="5" t="s">
        <v>30</v>
      </c>
      <c r="D1599" s="5" t="s">
        <v>34</v>
      </c>
      <c r="E1599" s="5" t="s">
        <v>12</v>
      </c>
      <c r="F1599" s="5">
        <v>192</v>
      </c>
      <c r="G1599" s="5" t="str">
        <f>VLOOKUP(C1599,Sheet2!$C$3:$D$12,2,0)</f>
        <v>Fixed</v>
      </c>
      <c r="H1599" s="5" t="str">
        <f>IFERROR(VLOOKUP(E1599,Sheet2!$G$3:$H$8,2,0),"unkwon")</f>
        <v>online</v>
      </c>
      <c r="I1599" s="5">
        <f>VLOOKUP(B1599,Sheet2!$J$4:$K$15,2,0)</f>
        <v>3</v>
      </c>
      <c r="J1599" s="5">
        <f>IFERROR(VLOOKUP(C1599,Sheet2!$M$4:$N$12,2,0),0)</f>
        <v>3000</v>
      </c>
      <c r="K1599" s="5" t="str">
        <f t="shared" si="24"/>
        <v>within budget</v>
      </c>
    </row>
    <row r="1600" spans="1:11" x14ac:dyDescent="0.3">
      <c r="A1600" s="6">
        <v>45385</v>
      </c>
      <c r="B1600" s="5" t="s">
        <v>29</v>
      </c>
      <c r="C1600" s="5" t="s">
        <v>10</v>
      </c>
      <c r="D1600" s="5" t="s">
        <v>34</v>
      </c>
      <c r="E1600" s="5" t="s">
        <v>9</v>
      </c>
      <c r="F1600" s="5">
        <v>1907</v>
      </c>
      <c r="G1600" s="5" t="str">
        <f>VLOOKUP(C1600,Sheet2!$C$3:$D$12,2,0)</f>
        <v>Variable</v>
      </c>
      <c r="H1600" s="5" t="str">
        <f>IFERROR(VLOOKUP(E1600,Sheet2!$G$3:$H$8,2,0),"unkwon")</f>
        <v>online</v>
      </c>
      <c r="I1600" s="5">
        <f>VLOOKUP(B1600,Sheet2!$J$4:$K$15,2,0)</f>
        <v>4</v>
      </c>
      <c r="J1600" s="5">
        <f>IFERROR(VLOOKUP(C1600,Sheet2!$M$4:$N$12,2,0),0)</f>
        <v>5000</v>
      </c>
      <c r="K1600" s="5" t="str">
        <f t="shared" si="24"/>
        <v>within budget</v>
      </c>
    </row>
    <row r="1601" spans="1:11" x14ac:dyDescent="0.3">
      <c r="A1601" s="6">
        <v>45639</v>
      </c>
      <c r="B1601" s="5" t="s">
        <v>16</v>
      </c>
      <c r="C1601" s="5" t="s">
        <v>41</v>
      </c>
      <c r="D1601" s="5" t="s">
        <v>18</v>
      </c>
      <c r="E1601" s="5" t="s">
        <v>12</v>
      </c>
      <c r="F1601" s="5">
        <v>1404</v>
      </c>
      <c r="G1601" s="5" t="str">
        <f>VLOOKUP(C1601,Sheet2!$C$3:$D$12,2,0)</f>
        <v>Variable</v>
      </c>
      <c r="H1601" s="5" t="str">
        <f>IFERROR(VLOOKUP(E1601,Sheet2!$G$3:$H$8,2,0),"unkwon")</f>
        <v>online</v>
      </c>
      <c r="I1601" s="5">
        <f>VLOOKUP(B1601,Sheet2!$J$4:$K$15,2,0)</f>
        <v>12</v>
      </c>
      <c r="J1601" s="5">
        <f>IFERROR(VLOOKUP(C1601,Sheet2!$M$4:$N$12,2,0),0)</f>
        <v>7000</v>
      </c>
      <c r="K1601" s="5" t="str">
        <f t="shared" si="24"/>
        <v>within budget</v>
      </c>
    </row>
    <row r="1602" spans="1:11" x14ac:dyDescent="0.3">
      <c r="A1602" s="6">
        <v>45116</v>
      </c>
      <c r="B1602" s="5" t="s">
        <v>21</v>
      </c>
      <c r="C1602" s="5" t="s">
        <v>10</v>
      </c>
      <c r="D1602" s="5" t="s">
        <v>24</v>
      </c>
      <c r="E1602" s="5" t="s">
        <v>15</v>
      </c>
      <c r="F1602" s="5">
        <v>4271</v>
      </c>
      <c r="G1602" s="5" t="str">
        <f>VLOOKUP(C1602,Sheet2!$C$3:$D$12,2,0)</f>
        <v>Variable</v>
      </c>
      <c r="H1602" s="5" t="str">
        <f>IFERROR(VLOOKUP(E1602,Sheet2!$G$3:$H$8,2,0),"unkwon")</f>
        <v>online</v>
      </c>
      <c r="I1602" s="5">
        <f>VLOOKUP(B1602,Sheet2!$J$4:$K$15,2,0)</f>
        <v>7</v>
      </c>
      <c r="J1602" s="5">
        <f>IFERROR(VLOOKUP(C1602,Sheet2!$M$4:$N$12,2,0),0)</f>
        <v>5000</v>
      </c>
      <c r="K1602" s="5" t="str">
        <f t="shared" si="24"/>
        <v>within budget</v>
      </c>
    </row>
    <row r="1603" spans="1:11" x14ac:dyDescent="0.3">
      <c r="A1603" s="6">
        <v>45153</v>
      </c>
      <c r="B1603" s="5" t="s">
        <v>25</v>
      </c>
      <c r="C1603" s="5" t="s">
        <v>10</v>
      </c>
      <c r="D1603" s="5" t="s">
        <v>20</v>
      </c>
      <c r="E1603" s="5" t="s">
        <v>15</v>
      </c>
      <c r="F1603" s="5">
        <v>4611</v>
      </c>
      <c r="G1603" s="5" t="str">
        <f>VLOOKUP(C1603,Sheet2!$C$3:$D$12,2,0)</f>
        <v>Variable</v>
      </c>
      <c r="H1603" s="5" t="str">
        <f>IFERROR(VLOOKUP(E1603,Sheet2!$G$3:$H$8,2,0),"unkwon")</f>
        <v>online</v>
      </c>
      <c r="I1603" s="5">
        <f>VLOOKUP(B1603,Sheet2!$J$4:$K$15,2,0)</f>
        <v>8</v>
      </c>
      <c r="J1603" s="5">
        <f>IFERROR(VLOOKUP(C1603,Sheet2!$M$4:$N$12,2,0),0)</f>
        <v>5000</v>
      </c>
      <c r="K1603" s="5" t="str">
        <f t="shared" ref="K1603:K1666" si="25">IF(F1603&gt;J1603,"over budget","within budget")</f>
        <v>within budget</v>
      </c>
    </row>
    <row r="1604" spans="1:11" x14ac:dyDescent="0.3">
      <c r="A1604" s="6">
        <v>45231</v>
      </c>
      <c r="B1604" s="5" t="s">
        <v>40</v>
      </c>
      <c r="C1604" s="5" t="s">
        <v>10</v>
      </c>
      <c r="D1604" s="5" t="s">
        <v>18</v>
      </c>
      <c r="E1604" s="5" t="s">
        <v>12</v>
      </c>
      <c r="F1604" s="5">
        <v>1774</v>
      </c>
      <c r="G1604" s="5" t="str">
        <f>VLOOKUP(C1604,Sheet2!$C$3:$D$12,2,0)</f>
        <v>Variable</v>
      </c>
      <c r="H1604" s="5" t="str">
        <f>IFERROR(VLOOKUP(E1604,Sheet2!$G$3:$H$8,2,0),"unkwon")</f>
        <v>online</v>
      </c>
      <c r="I1604" s="5">
        <f>VLOOKUP(B1604,Sheet2!$J$4:$K$15,2,0)</f>
        <v>11</v>
      </c>
      <c r="J1604" s="5">
        <f>IFERROR(VLOOKUP(C1604,Sheet2!$M$4:$N$12,2,0),0)</f>
        <v>5000</v>
      </c>
      <c r="K1604" s="5" t="str">
        <f t="shared" si="25"/>
        <v>within budget</v>
      </c>
    </row>
    <row r="1605" spans="1:11" x14ac:dyDescent="0.3">
      <c r="A1605" s="6">
        <v>45636</v>
      </c>
      <c r="B1605" s="5" t="s">
        <v>16</v>
      </c>
      <c r="C1605" s="5" t="s">
        <v>36</v>
      </c>
      <c r="D1605" s="5" t="s">
        <v>26</v>
      </c>
      <c r="E1605" s="5" t="s">
        <v>12</v>
      </c>
      <c r="F1605" s="5">
        <v>1188</v>
      </c>
      <c r="G1605" s="5" t="str">
        <f>VLOOKUP(C1605,Sheet2!$C$3:$D$12,2,0)</f>
        <v>Variable</v>
      </c>
      <c r="H1605" s="5" t="str">
        <f>IFERROR(VLOOKUP(E1605,Sheet2!$G$3:$H$8,2,0),"unkwon")</f>
        <v>online</v>
      </c>
      <c r="I1605" s="5">
        <f>VLOOKUP(B1605,Sheet2!$J$4:$K$15,2,0)</f>
        <v>12</v>
      </c>
      <c r="J1605" s="5">
        <f>IFERROR(VLOOKUP(C1605,Sheet2!$M$4:$N$12,2,0),0)</f>
        <v>10000</v>
      </c>
      <c r="K1605" s="5" t="str">
        <f t="shared" si="25"/>
        <v>within budget</v>
      </c>
    </row>
    <row r="1606" spans="1:11" x14ac:dyDescent="0.3">
      <c r="A1606" s="6">
        <v>44944</v>
      </c>
      <c r="B1606" s="5" t="s">
        <v>37</v>
      </c>
      <c r="C1606" s="5" t="s">
        <v>30</v>
      </c>
      <c r="D1606" s="5" t="s">
        <v>18</v>
      </c>
      <c r="E1606" s="5" t="s">
        <v>15</v>
      </c>
      <c r="F1606" s="5">
        <v>1654</v>
      </c>
      <c r="G1606" s="5" t="str">
        <f>VLOOKUP(C1606,Sheet2!$C$3:$D$12,2,0)</f>
        <v>Fixed</v>
      </c>
      <c r="H1606" s="5" t="str">
        <f>IFERROR(VLOOKUP(E1606,Sheet2!$G$3:$H$8,2,0),"unkwon")</f>
        <v>online</v>
      </c>
      <c r="I1606" s="5">
        <f>VLOOKUP(B1606,Sheet2!$J$4:$K$15,2,0)</f>
        <v>1</v>
      </c>
      <c r="J1606" s="5">
        <f>IFERROR(VLOOKUP(C1606,Sheet2!$M$4:$N$12,2,0),0)</f>
        <v>3000</v>
      </c>
      <c r="K1606" s="5" t="str">
        <f t="shared" si="25"/>
        <v>within budget</v>
      </c>
    </row>
    <row r="1607" spans="1:11" x14ac:dyDescent="0.3">
      <c r="A1607" s="6">
        <v>45105</v>
      </c>
      <c r="B1607" s="5" t="s">
        <v>39</v>
      </c>
      <c r="C1607" s="5" t="s">
        <v>35</v>
      </c>
      <c r="D1607" s="5" t="s">
        <v>18</v>
      </c>
      <c r="E1607" s="5" t="s">
        <v>12</v>
      </c>
      <c r="F1607" s="5">
        <v>1387</v>
      </c>
      <c r="G1607" s="5" t="str">
        <f>VLOOKUP(C1607,Sheet2!$C$3:$D$12,2,0)</f>
        <v>Fixed</v>
      </c>
      <c r="H1607" s="5" t="str">
        <f>IFERROR(VLOOKUP(E1607,Sheet2!$G$3:$H$8,2,0),"unkwon")</f>
        <v>online</v>
      </c>
      <c r="I1607" s="5">
        <f>VLOOKUP(B1607,Sheet2!$J$4:$K$15,2,0)</f>
        <v>6</v>
      </c>
      <c r="J1607" s="5">
        <f>IFERROR(VLOOKUP(C1607,Sheet2!$M$4:$N$12,2,0),0)</f>
        <v>5500</v>
      </c>
      <c r="K1607" s="5" t="str">
        <f t="shared" si="25"/>
        <v>within budget</v>
      </c>
    </row>
    <row r="1608" spans="1:11" x14ac:dyDescent="0.3">
      <c r="A1608" s="6">
        <v>44968</v>
      </c>
      <c r="B1608" s="5" t="s">
        <v>33</v>
      </c>
      <c r="C1608" s="5" t="s">
        <v>13</v>
      </c>
      <c r="D1608" s="5" t="s">
        <v>34</v>
      </c>
      <c r="E1608" s="5" t="s">
        <v>12</v>
      </c>
      <c r="F1608" s="5">
        <v>1175</v>
      </c>
      <c r="G1608" s="5" t="str">
        <f>VLOOKUP(C1608,Sheet2!$C$3:$D$12,2,0)</f>
        <v>Variable</v>
      </c>
      <c r="H1608" s="5" t="str">
        <f>IFERROR(VLOOKUP(E1608,Sheet2!$G$3:$H$8,2,0),"unkwon")</f>
        <v>online</v>
      </c>
      <c r="I1608" s="5">
        <f>VLOOKUP(B1608,Sheet2!$J$4:$K$15,2,0)</f>
        <v>2</v>
      </c>
      <c r="J1608" s="5">
        <f>IFERROR(VLOOKUP(C1608,Sheet2!$M$4:$N$12,2,0),0)</f>
        <v>5000</v>
      </c>
      <c r="K1608" s="5" t="str">
        <f t="shared" si="25"/>
        <v>within budget</v>
      </c>
    </row>
    <row r="1609" spans="1:11" x14ac:dyDescent="0.3">
      <c r="A1609" s="6">
        <v>45387</v>
      </c>
      <c r="B1609" s="5" t="s">
        <v>29</v>
      </c>
      <c r="C1609" s="5" t="s">
        <v>22</v>
      </c>
      <c r="D1609" s="5" t="s">
        <v>31</v>
      </c>
      <c r="E1609" s="5" t="s">
        <v>12</v>
      </c>
      <c r="F1609" s="5">
        <v>3371</v>
      </c>
      <c r="G1609" s="5" t="str">
        <f>VLOOKUP(C1609,Sheet2!$C$3:$D$12,2,0)</f>
        <v>Variable</v>
      </c>
      <c r="H1609" s="5" t="str">
        <f>IFERROR(VLOOKUP(E1609,Sheet2!$G$3:$H$8,2,0),"unkwon")</f>
        <v>online</v>
      </c>
      <c r="I1609" s="5">
        <f>VLOOKUP(B1609,Sheet2!$J$4:$K$15,2,0)</f>
        <v>4</v>
      </c>
      <c r="J1609" s="5">
        <f>IFERROR(VLOOKUP(C1609,Sheet2!$M$4:$N$12,2,0),0)</f>
        <v>1000</v>
      </c>
      <c r="K1609" s="5" t="str">
        <f t="shared" si="25"/>
        <v>over budget</v>
      </c>
    </row>
    <row r="1610" spans="1:11" x14ac:dyDescent="0.3">
      <c r="A1610" s="6">
        <v>45088</v>
      </c>
      <c r="B1610" s="5" t="s">
        <v>39</v>
      </c>
      <c r="C1610" s="5" t="s">
        <v>7</v>
      </c>
      <c r="D1610" s="5" t="s">
        <v>23</v>
      </c>
      <c r="E1610" s="5" t="s">
        <v>32</v>
      </c>
      <c r="F1610" s="5">
        <v>4619</v>
      </c>
      <c r="G1610" s="5" t="str">
        <f>VLOOKUP(C1610,Sheet2!$C$3:$D$12,2,0)</f>
        <v>Fixed</v>
      </c>
      <c r="H1610" s="5" t="str">
        <f>IFERROR(VLOOKUP(E1610,Sheet2!$G$3:$H$8,2,0),"unkwon")</f>
        <v>offline</v>
      </c>
      <c r="I1610" s="5">
        <f>VLOOKUP(B1610,Sheet2!$J$4:$K$15,2,0)</f>
        <v>6</v>
      </c>
      <c r="J1610" s="5">
        <f>IFERROR(VLOOKUP(C1610,Sheet2!$M$4:$N$12,2,0),0)</f>
        <v>2000</v>
      </c>
      <c r="K1610" s="5" t="str">
        <f t="shared" si="25"/>
        <v>over budget</v>
      </c>
    </row>
    <row r="1611" spans="1:11" x14ac:dyDescent="0.3">
      <c r="A1611" s="6">
        <v>45065</v>
      </c>
      <c r="B1611" s="5" t="s">
        <v>28</v>
      </c>
      <c r="C1611" s="5" t="s">
        <v>22</v>
      </c>
      <c r="D1611" s="5" t="s">
        <v>31</v>
      </c>
      <c r="E1611" s="5" t="s">
        <v>12</v>
      </c>
      <c r="F1611" s="5">
        <v>530</v>
      </c>
      <c r="G1611" s="5" t="str">
        <f>VLOOKUP(C1611,Sheet2!$C$3:$D$12,2,0)</f>
        <v>Variable</v>
      </c>
      <c r="H1611" s="5" t="str">
        <f>IFERROR(VLOOKUP(E1611,Sheet2!$G$3:$H$8,2,0),"unkwon")</f>
        <v>online</v>
      </c>
      <c r="I1611" s="5">
        <f>VLOOKUP(B1611,Sheet2!$J$4:$K$15,2,0)</f>
        <v>5</v>
      </c>
      <c r="J1611" s="5">
        <f>IFERROR(VLOOKUP(C1611,Sheet2!$M$4:$N$12,2,0),0)</f>
        <v>1000</v>
      </c>
      <c r="K1611" s="5" t="str">
        <f t="shared" si="25"/>
        <v>within budget</v>
      </c>
    </row>
    <row r="1612" spans="1:11" x14ac:dyDescent="0.3">
      <c r="A1612" s="6">
        <v>45185</v>
      </c>
      <c r="B1612" s="5" t="s">
        <v>38</v>
      </c>
      <c r="C1612" s="5" t="s">
        <v>22</v>
      </c>
      <c r="D1612" s="5" t="s">
        <v>8</v>
      </c>
      <c r="E1612" s="5" t="s">
        <v>15</v>
      </c>
      <c r="F1612" s="5">
        <v>4120</v>
      </c>
      <c r="G1612" s="5" t="str">
        <f>VLOOKUP(C1612,Sheet2!$C$3:$D$12,2,0)</f>
        <v>Variable</v>
      </c>
      <c r="H1612" s="5" t="str">
        <f>IFERROR(VLOOKUP(E1612,Sheet2!$G$3:$H$8,2,0),"unkwon")</f>
        <v>online</v>
      </c>
      <c r="I1612" s="5">
        <f>VLOOKUP(B1612,Sheet2!$J$4:$K$15,2,0)</f>
        <v>9</v>
      </c>
      <c r="J1612" s="5">
        <f>IFERROR(VLOOKUP(C1612,Sheet2!$M$4:$N$12,2,0),0)</f>
        <v>1000</v>
      </c>
      <c r="K1612" s="5" t="str">
        <f t="shared" si="25"/>
        <v>over budget</v>
      </c>
    </row>
    <row r="1613" spans="1:11" x14ac:dyDescent="0.3">
      <c r="A1613" s="6">
        <v>45632</v>
      </c>
      <c r="B1613" s="5" t="s">
        <v>16</v>
      </c>
      <c r="C1613" s="5" t="s">
        <v>41</v>
      </c>
      <c r="D1613" s="5" t="s">
        <v>26</v>
      </c>
      <c r="E1613" s="5" t="s">
        <v>12</v>
      </c>
      <c r="F1613" s="5">
        <v>3398</v>
      </c>
      <c r="G1613" s="5" t="str">
        <f>VLOOKUP(C1613,Sheet2!$C$3:$D$12,2,0)</f>
        <v>Variable</v>
      </c>
      <c r="H1613" s="5" t="str">
        <f>IFERROR(VLOOKUP(E1613,Sheet2!$G$3:$H$8,2,0),"unkwon")</f>
        <v>online</v>
      </c>
      <c r="I1613" s="5">
        <f>VLOOKUP(B1613,Sheet2!$J$4:$K$15,2,0)</f>
        <v>12</v>
      </c>
      <c r="J1613" s="5">
        <f>IFERROR(VLOOKUP(C1613,Sheet2!$M$4:$N$12,2,0),0)</f>
        <v>7000</v>
      </c>
      <c r="K1613" s="5" t="str">
        <f t="shared" si="25"/>
        <v>within budget</v>
      </c>
    </row>
    <row r="1614" spans="1:11" x14ac:dyDescent="0.3">
      <c r="A1614" s="6">
        <v>45166</v>
      </c>
      <c r="B1614" s="5" t="s">
        <v>25</v>
      </c>
      <c r="C1614" s="5" t="s">
        <v>22</v>
      </c>
      <c r="D1614" s="5" t="s">
        <v>31</v>
      </c>
      <c r="E1614" s="5" t="s">
        <v>12</v>
      </c>
      <c r="F1614" s="5">
        <v>4429</v>
      </c>
      <c r="G1614" s="5" t="str">
        <f>VLOOKUP(C1614,Sheet2!$C$3:$D$12,2,0)</f>
        <v>Variable</v>
      </c>
      <c r="H1614" s="5" t="str">
        <f>IFERROR(VLOOKUP(E1614,Sheet2!$G$3:$H$8,2,0),"unkwon")</f>
        <v>online</v>
      </c>
      <c r="I1614" s="5">
        <f>VLOOKUP(B1614,Sheet2!$J$4:$K$15,2,0)</f>
        <v>8</v>
      </c>
      <c r="J1614" s="5">
        <f>IFERROR(VLOOKUP(C1614,Sheet2!$M$4:$N$12,2,0),0)</f>
        <v>1000</v>
      </c>
      <c r="K1614" s="5" t="str">
        <f t="shared" si="25"/>
        <v>over budget</v>
      </c>
    </row>
    <row r="1615" spans="1:11" x14ac:dyDescent="0.3">
      <c r="A1615" s="6">
        <v>45609</v>
      </c>
      <c r="B1615" s="5" t="s">
        <v>40</v>
      </c>
      <c r="C1615" s="5" t="s">
        <v>13</v>
      </c>
      <c r="D1615" s="5" t="s">
        <v>26</v>
      </c>
      <c r="E1615" s="5" t="s">
        <v>15</v>
      </c>
      <c r="F1615" s="5">
        <v>394</v>
      </c>
      <c r="G1615" s="5" t="str">
        <f>VLOOKUP(C1615,Sheet2!$C$3:$D$12,2,0)</f>
        <v>Variable</v>
      </c>
      <c r="H1615" s="5" t="str">
        <f>IFERROR(VLOOKUP(E1615,Sheet2!$G$3:$H$8,2,0),"unkwon")</f>
        <v>online</v>
      </c>
      <c r="I1615" s="5">
        <f>VLOOKUP(B1615,Sheet2!$J$4:$K$15,2,0)</f>
        <v>11</v>
      </c>
      <c r="J1615" s="5">
        <f>IFERROR(VLOOKUP(C1615,Sheet2!$M$4:$N$12,2,0),0)</f>
        <v>5000</v>
      </c>
      <c r="K1615" s="5" t="str">
        <f t="shared" si="25"/>
        <v>within budget</v>
      </c>
    </row>
    <row r="1616" spans="1:11" x14ac:dyDescent="0.3">
      <c r="A1616" s="6">
        <v>45082</v>
      </c>
      <c r="B1616" s="5" t="s">
        <v>39</v>
      </c>
      <c r="C1616" s="5" t="s">
        <v>7</v>
      </c>
      <c r="D1616" s="5" t="s">
        <v>8</v>
      </c>
      <c r="E1616" s="5" t="s">
        <v>15</v>
      </c>
      <c r="F1616" s="5">
        <v>1087</v>
      </c>
      <c r="G1616" s="5" t="str">
        <f>VLOOKUP(C1616,Sheet2!$C$3:$D$12,2,0)</f>
        <v>Fixed</v>
      </c>
      <c r="H1616" s="5" t="str">
        <f>IFERROR(VLOOKUP(E1616,Sheet2!$G$3:$H$8,2,0),"unkwon")</f>
        <v>online</v>
      </c>
      <c r="I1616" s="5">
        <f>VLOOKUP(B1616,Sheet2!$J$4:$K$15,2,0)</f>
        <v>6</v>
      </c>
      <c r="J1616" s="5">
        <f>IFERROR(VLOOKUP(C1616,Sheet2!$M$4:$N$12,2,0),0)</f>
        <v>2000</v>
      </c>
      <c r="K1616" s="5" t="str">
        <f t="shared" si="25"/>
        <v>within budget</v>
      </c>
    </row>
    <row r="1617" spans="1:11" x14ac:dyDescent="0.3">
      <c r="A1617" s="6">
        <v>45412</v>
      </c>
      <c r="B1617" s="5" t="s">
        <v>29</v>
      </c>
      <c r="C1617" s="5" t="s">
        <v>10</v>
      </c>
      <c r="D1617" s="5" t="s">
        <v>23</v>
      </c>
      <c r="E1617" s="5" t="s">
        <v>15</v>
      </c>
      <c r="F1617" s="5">
        <v>2514</v>
      </c>
      <c r="G1617" s="5" t="str">
        <f>VLOOKUP(C1617,Sheet2!$C$3:$D$12,2,0)</f>
        <v>Variable</v>
      </c>
      <c r="H1617" s="5" t="str">
        <f>IFERROR(VLOOKUP(E1617,Sheet2!$G$3:$H$8,2,0),"unkwon")</f>
        <v>online</v>
      </c>
      <c r="I1617" s="5">
        <f>VLOOKUP(B1617,Sheet2!$J$4:$K$15,2,0)</f>
        <v>4</v>
      </c>
      <c r="J1617" s="5">
        <f>IFERROR(VLOOKUP(C1617,Sheet2!$M$4:$N$12,2,0),0)</f>
        <v>5000</v>
      </c>
      <c r="K1617" s="5" t="str">
        <f t="shared" si="25"/>
        <v>within budget</v>
      </c>
    </row>
    <row r="1618" spans="1:11" x14ac:dyDescent="0.3">
      <c r="A1618" s="6">
        <v>45455</v>
      </c>
      <c r="B1618" s="5" t="s">
        <v>39</v>
      </c>
      <c r="C1618" s="5" t="s">
        <v>41</v>
      </c>
      <c r="D1618" s="5" t="s">
        <v>8</v>
      </c>
      <c r="E1618" s="5" t="s">
        <v>12</v>
      </c>
      <c r="F1618" s="5">
        <v>3297</v>
      </c>
      <c r="G1618" s="5" t="str">
        <f>VLOOKUP(C1618,Sheet2!$C$3:$D$12,2,0)</f>
        <v>Variable</v>
      </c>
      <c r="H1618" s="5" t="str">
        <f>IFERROR(VLOOKUP(E1618,Sheet2!$G$3:$H$8,2,0),"unkwon")</f>
        <v>online</v>
      </c>
      <c r="I1618" s="5">
        <f>VLOOKUP(B1618,Sheet2!$J$4:$K$15,2,0)</f>
        <v>6</v>
      </c>
      <c r="J1618" s="5">
        <f>IFERROR(VLOOKUP(C1618,Sheet2!$M$4:$N$12,2,0),0)</f>
        <v>7000</v>
      </c>
      <c r="K1618" s="5" t="str">
        <f t="shared" si="25"/>
        <v>within budget</v>
      </c>
    </row>
    <row r="1619" spans="1:11" x14ac:dyDescent="0.3">
      <c r="A1619" s="6">
        <v>44997</v>
      </c>
      <c r="B1619" s="5" t="s">
        <v>19</v>
      </c>
      <c r="C1619" s="5" t="s">
        <v>10</v>
      </c>
      <c r="D1619" s="5" t="s">
        <v>14</v>
      </c>
      <c r="E1619" s="5" t="s">
        <v>17</v>
      </c>
      <c r="F1619" s="5">
        <v>2233</v>
      </c>
      <c r="G1619" s="5" t="str">
        <f>VLOOKUP(C1619,Sheet2!$C$3:$D$12,2,0)</f>
        <v>Variable</v>
      </c>
      <c r="H1619" s="5" t="str">
        <f>IFERROR(VLOOKUP(E1619,Sheet2!$G$3:$H$8,2,0),"unkwon")</f>
        <v>online</v>
      </c>
      <c r="I1619" s="5">
        <f>VLOOKUP(B1619,Sheet2!$J$4:$K$15,2,0)</f>
        <v>3</v>
      </c>
      <c r="J1619" s="5">
        <f>IFERROR(VLOOKUP(C1619,Sheet2!$M$4:$N$12,2,0),0)</f>
        <v>5000</v>
      </c>
      <c r="K1619" s="5" t="str">
        <f t="shared" si="25"/>
        <v>within budget</v>
      </c>
    </row>
    <row r="1620" spans="1:11" x14ac:dyDescent="0.3">
      <c r="A1620" s="6">
        <v>45090</v>
      </c>
      <c r="B1620" s="5" t="s">
        <v>39</v>
      </c>
      <c r="C1620" s="5" t="s">
        <v>7</v>
      </c>
      <c r="D1620" s="5" t="s">
        <v>23</v>
      </c>
      <c r="E1620" s="5" t="s">
        <v>12</v>
      </c>
      <c r="F1620" s="5">
        <v>2563</v>
      </c>
      <c r="G1620" s="5" t="str">
        <f>VLOOKUP(C1620,Sheet2!$C$3:$D$12,2,0)</f>
        <v>Fixed</v>
      </c>
      <c r="H1620" s="5" t="str">
        <f>IFERROR(VLOOKUP(E1620,Sheet2!$G$3:$H$8,2,0),"unkwon")</f>
        <v>online</v>
      </c>
      <c r="I1620" s="5">
        <f>VLOOKUP(B1620,Sheet2!$J$4:$K$15,2,0)</f>
        <v>6</v>
      </c>
      <c r="J1620" s="5">
        <f>IFERROR(VLOOKUP(C1620,Sheet2!$M$4:$N$12,2,0),0)</f>
        <v>2000</v>
      </c>
      <c r="K1620" s="5" t="str">
        <f t="shared" si="25"/>
        <v>over budget</v>
      </c>
    </row>
    <row r="1621" spans="1:11" x14ac:dyDescent="0.3">
      <c r="A1621" s="6">
        <v>44930</v>
      </c>
      <c r="B1621" s="5" t="s">
        <v>37</v>
      </c>
      <c r="C1621" s="5" t="s">
        <v>13</v>
      </c>
      <c r="D1621" s="5" t="s">
        <v>34</v>
      </c>
      <c r="E1621" s="5" t="s">
        <v>9</v>
      </c>
      <c r="F1621" s="5">
        <v>1293</v>
      </c>
      <c r="G1621" s="5" t="str">
        <f>VLOOKUP(C1621,Sheet2!$C$3:$D$12,2,0)</f>
        <v>Variable</v>
      </c>
      <c r="H1621" s="5" t="str">
        <f>IFERROR(VLOOKUP(E1621,Sheet2!$G$3:$H$8,2,0),"unkwon")</f>
        <v>online</v>
      </c>
      <c r="I1621" s="5">
        <f>VLOOKUP(B1621,Sheet2!$J$4:$K$15,2,0)</f>
        <v>1</v>
      </c>
      <c r="J1621" s="5">
        <f>IFERROR(VLOOKUP(C1621,Sheet2!$M$4:$N$12,2,0),0)</f>
        <v>5000</v>
      </c>
      <c r="K1621" s="5" t="str">
        <f t="shared" si="25"/>
        <v>within budget</v>
      </c>
    </row>
    <row r="1622" spans="1:11" x14ac:dyDescent="0.3">
      <c r="A1622" s="6">
        <v>45318</v>
      </c>
      <c r="B1622" s="5" t="s">
        <v>37</v>
      </c>
      <c r="C1622" s="5" t="s">
        <v>10</v>
      </c>
      <c r="D1622" s="5" t="s">
        <v>24</v>
      </c>
      <c r="E1622" s="5" t="s">
        <v>17</v>
      </c>
      <c r="F1622" s="5">
        <v>3449</v>
      </c>
      <c r="G1622" s="5" t="str">
        <f>VLOOKUP(C1622,Sheet2!$C$3:$D$12,2,0)</f>
        <v>Variable</v>
      </c>
      <c r="H1622" s="5" t="str">
        <f>IFERROR(VLOOKUP(E1622,Sheet2!$G$3:$H$8,2,0),"unkwon")</f>
        <v>online</v>
      </c>
      <c r="I1622" s="5">
        <f>VLOOKUP(B1622,Sheet2!$J$4:$K$15,2,0)</f>
        <v>1</v>
      </c>
      <c r="J1622" s="5">
        <f>IFERROR(VLOOKUP(C1622,Sheet2!$M$4:$N$12,2,0),0)</f>
        <v>5000</v>
      </c>
      <c r="K1622" s="5" t="str">
        <f t="shared" si="25"/>
        <v>within budget</v>
      </c>
    </row>
    <row r="1623" spans="1:11" x14ac:dyDescent="0.3">
      <c r="A1623" s="6">
        <v>45539</v>
      </c>
      <c r="B1623" s="5" t="s">
        <v>38</v>
      </c>
      <c r="C1623" s="5" t="s">
        <v>36</v>
      </c>
      <c r="D1623" s="5" t="s">
        <v>31</v>
      </c>
      <c r="E1623" s="5" t="s">
        <v>32</v>
      </c>
      <c r="F1623" s="5">
        <v>2530</v>
      </c>
      <c r="G1623" s="5" t="str">
        <f>VLOOKUP(C1623,Sheet2!$C$3:$D$12,2,0)</f>
        <v>Variable</v>
      </c>
      <c r="H1623" s="5" t="str">
        <f>IFERROR(VLOOKUP(E1623,Sheet2!$G$3:$H$8,2,0),"unkwon")</f>
        <v>offline</v>
      </c>
      <c r="I1623" s="5">
        <f>VLOOKUP(B1623,Sheet2!$J$4:$K$15,2,0)</f>
        <v>9</v>
      </c>
      <c r="J1623" s="5">
        <f>IFERROR(VLOOKUP(C1623,Sheet2!$M$4:$N$12,2,0),0)</f>
        <v>10000</v>
      </c>
      <c r="K1623" s="5" t="str">
        <f t="shared" si="25"/>
        <v>within budget</v>
      </c>
    </row>
    <row r="1624" spans="1:11" x14ac:dyDescent="0.3">
      <c r="A1624" s="6">
        <v>45651</v>
      </c>
      <c r="B1624" s="5" t="s">
        <v>16</v>
      </c>
      <c r="C1624" s="5" t="s">
        <v>7</v>
      </c>
      <c r="D1624" s="5" t="s">
        <v>23</v>
      </c>
      <c r="E1624" s="5" t="s">
        <v>12</v>
      </c>
      <c r="F1624" s="5">
        <v>1799</v>
      </c>
      <c r="G1624" s="5" t="str">
        <f>VLOOKUP(C1624,Sheet2!$C$3:$D$12,2,0)</f>
        <v>Fixed</v>
      </c>
      <c r="H1624" s="5" t="str">
        <f>IFERROR(VLOOKUP(E1624,Sheet2!$G$3:$H$8,2,0),"unkwon")</f>
        <v>online</v>
      </c>
      <c r="I1624" s="5">
        <f>VLOOKUP(B1624,Sheet2!$J$4:$K$15,2,0)</f>
        <v>12</v>
      </c>
      <c r="J1624" s="5">
        <f>IFERROR(VLOOKUP(C1624,Sheet2!$M$4:$N$12,2,0),0)</f>
        <v>2000</v>
      </c>
      <c r="K1624" s="5" t="str">
        <f t="shared" si="25"/>
        <v>within budget</v>
      </c>
    </row>
    <row r="1625" spans="1:11" x14ac:dyDescent="0.3">
      <c r="A1625" s="6">
        <v>45357</v>
      </c>
      <c r="B1625" s="5" t="s">
        <v>19</v>
      </c>
      <c r="C1625" s="5" t="s">
        <v>41</v>
      </c>
      <c r="D1625" s="5" t="s">
        <v>20</v>
      </c>
      <c r="E1625" s="5" t="s">
        <v>9</v>
      </c>
      <c r="F1625" s="5">
        <v>2161</v>
      </c>
      <c r="G1625" s="5" t="str">
        <f>VLOOKUP(C1625,Sheet2!$C$3:$D$12,2,0)</f>
        <v>Variable</v>
      </c>
      <c r="H1625" s="5" t="str">
        <f>IFERROR(VLOOKUP(E1625,Sheet2!$G$3:$H$8,2,0),"unkwon")</f>
        <v>online</v>
      </c>
      <c r="I1625" s="5">
        <f>VLOOKUP(B1625,Sheet2!$J$4:$K$15,2,0)</f>
        <v>3</v>
      </c>
      <c r="J1625" s="5">
        <f>IFERROR(VLOOKUP(C1625,Sheet2!$M$4:$N$12,2,0),0)</f>
        <v>7000</v>
      </c>
      <c r="K1625" s="5" t="str">
        <f t="shared" si="25"/>
        <v>within budget</v>
      </c>
    </row>
    <row r="1626" spans="1:11" x14ac:dyDescent="0.3">
      <c r="A1626" s="6">
        <v>45494</v>
      </c>
      <c r="B1626" s="5" t="s">
        <v>21</v>
      </c>
      <c r="C1626" s="5" t="s">
        <v>36</v>
      </c>
      <c r="D1626" s="5" t="s">
        <v>31</v>
      </c>
      <c r="E1626" s="5" t="s">
        <v>9</v>
      </c>
      <c r="F1626" s="5">
        <v>1748</v>
      </c>
      <c r="G1626" s="5" t="str">
        <f>VLOOKUP(C1626,Sheet2!$C$3:$D$12,2,0)</f>
        <v>Variable</v>
      </c>
      <c r="H1626" s="5" t="str">
        <f>IFERROR(VLOOKUP(E1626,Sheet2!$G$3:$H$8,2,0),"unkwon")</f>
        <v>online</v>
      </c>
      <c r="I1626" s="5">
        <f>VLOOKUP(B1626,Sheet2!$J$4:$K$15,2,0)</f>
        <v>7</v>
      </c>
      <c r="J1626" s="5">
        <f>IFERROR(VLOOKUP(C1626,Sheet2!$M$4:$N$12,2,0),0)</f>
        <v>10000</v>
      </c>
      <c r="K1626" s="5" t="str">
        <f t="shared" si="25"/>
        <v>within budget</v>
      </c>
    </row>
    <row r="1627" spans="1:11" x14ac:dyDescent="0.3">
      <c r="A1627" s="6">
        <v>44938</v>
      </c>
      <c r="B1627" s="5" t="s">
        <v>37</v>
      </c>
      <c r="C1627" s="5" t="s">
        <v>27</v>
      </c>
      <c r="D1627" s="5" t="s">
        <v>18</v>
      </c>
      <c r="E1627" s="5" t="s">
        <v>15</v>
      </c>
      <c r="F1627" s="5">
        <v>658</v>
      </c>
      <c r="G1627" s="5" t="str">
        <f>VLOOKUP(C1627,Sheet2!$C$3:$D$12,2,0)</f>
        <v>Variable</v>
      </c>
      <c r="H1627" s="5" t="str">
        <f>IFERROR(VLOOKUP(E1627,Sheet2!$G$3:$H$8,2,0),"unkwon")</f>
        <v>online</v>
      </c>
      <c r="I1627" s="5">
        <f>VLOOKUP(B1627,Sheet2!$J$4:$K$15,2,0)</f>
        <v>1</v>
      </c>
      <c r="J1627" s="5">
        <f>IFERROR(VLOOKUP(C1627,Sheet2!$M$4:$N$12,2,0),0)</f>
        <v>4000</v>
      </c>
      <c r="K1627" s="5" t="str">
        <f t="shared" si="25"/>
        <v>within budget</v>
      </c>
    </row>
    <row r="1628" spans="1:11" x14ac:dyDescent="0.3">
      <c r="A1628" s="6">
        <v>45458</v>
      </c>
      <c r="B1628" s="5" t="s">
        <v>39</v>
      </c>
      <c r="C1628" s="5" t="s">
        <v>10</v>
      </c>
      <c r="D1628" s="5" t="s">
        <v>34</v>
      </c>
      <c r="E1628" s="5" t="s">
        <v>15</v>
      </c>
      <c r="F1628" s="5">
        <v>3249</v>
      </c>
      <c r="G1628" s="5" t="str">
        <f>VLOOKUP(C1628,Sheet2!$C$3:$D$12,2,0)</f>
        <v>Variable</v>
      </c>
      <c r="H1628" s="5" t="str">
        <f>IFERROR(VLOOKUP(E1628,Sheet2!$G$3:$H$8,2,0),"unkwon")</f>
        <v>online</v>
      </c>
      <c r="I1628" s="5">
        <f>VLOOKUP(B1628,Sheet2!$J$4:$K$15,2,0)</f>
        <v>6</v>
      </c>
      <c r="J1628" s="5">
        <f>IFERROR(VLOOKUP(C1628,Sheet2!$M$4:$N$12,2,0),0)</f>
        <v>5000</v>
      </c>
      <c r="K1628" s="5" t="str">
        <f t="shared" si="25"/>
        <v>within budget</v>
      </c>
    </row>
    <row r="1629" spans="1:11" x14ac:dyDescent="0.3">
      <c r="A1629" s="6">
        <v>45192</v>
      </c>
      <c r="B1629" s="5" t="s">
        <v>38</v>
      </c>
      <c r="C1629" s="5" t="s">
        <v>30</v>
      </c>
      <c r="D1629" s="5" t="s">
        <v>23</v>
      </c>
      <c r="E1629" s="5" t="s">
        <v>12</v>
      </c>
      <c r="F1629" s="5">
        <v>3537</v>
      </c>
      <c r="G1629" s="5" t="str">
        <f>VLOOKUP(C1629,Sheet2!$C$3:$D$12,2,0)</f>
        <v>Fixed</v>
      </c>
      <c r="H1629" s="5" t="str">
        <f>IFERROR(VLOOKUP(E1629,Sheet2!$G$3:$H$8,2,0),"unkwon")</f>
        <v>online</v>
      </c>
      <c r="I1629" s="5">
        <f>VLOOKUP(B1629,Sheet2!$J$4:$K$15,2,0)</f>
        <v>9</v>
      </c>
      <c r="J1629" s="5">
        <f>IFERROR(VLOOKUP(C1629,Sheet2!$M$4:$N$12,2,0),0)</f>
        <v>3000</v>
      </c>
      <c r="K1629" s="5" t="str">
        <f t="shared" si="25"/>
        <v>over budget</v>
      </c>
    </row>
    <row r="1630" spans="1:11" x14ac:dyDescent="0.3">
      <c r="A1630" s="6">
        <v>45207</v>
      </c>
      <c r="B1630" s="5" t="s">
        <v>6</v>
      </c>
      <c r="C1630" s="5" t="s">
        <v>30</v>
      </c>
      <c r="D1630" s="5" t="s">
        <v>20</v>
      </c>
      <c r="E1630" s="5" t="s">
        <v>15</v>
      </c>
      <c r="F1630" s="5">
        <v>2551</v>
      </c>
      <c r="G1630" s="5" t="str">
        <f>VLOOKUP(C1630,Sheet2!$C$3:$D$12,2,0)</f>
        <v>Fixed</v>
      </c>
      <c r="H1630" s="5" t="str">
        <f>IFERROR(VLOOKUP(E1630,Sheet2!$G$3:$H$8,2,0),"unkwon")</f>
        <v>online</v>
      </c>
      <c r="I1630" s="5">
        <f>VLOOKUP(B1630,Sheet2!$J$4:$K$15,2,0)</f>
        <v>10</v>
      </c>
      <c r="J1630" s="5">
        <f>IFERROR(VLOOKUP(C1630,Sheet2!$M$4:$N$12,2,0),0)</f>
        <v>3000</v>
      </c>
      <c r="K1630" s="5" t="str">
        <f t="shared" si="25"/>
        <v>within budget</v>
      </c>
    </row>
    <row r="1631" spans="1:11" x14ac:dyDescent="0.3">
      <c r="A1631" s="6">
        <v>45118</v>
      </c>
      <c r="B1631" s="5" t="s">
        <v>21</v>
      </c>
      <c r="C1631" s="5" t="s">
        <v>27</v>
      </c>
      <c r="D1631" s="5" t="s">
        <v>23</v>
      </c>
      <c r="E1631" s="5" t="s">
        <v>9</v>
      </c>
      <c r="F1631" s="5">
        <v>1106</v>
      </c>
      <c r="G1631" s="5" t="str">
        <f>VLOOKUP(C1631,Sheet2!$C$3:$D$12,2,0)</f>
        <v>Variable</v>
      </c>
      <c r="H1631" s="5" t="str">
        <f>IFERROR(VLOOKUP(E1631,Sheet2!$G$3:$H$8,2,0),"unkwon")</f>
        <v>online</v>
      </c>
      <c r="I1631" s="5">
        <f>VLOOKUP(B1631,Sheet2!$J$4:$K$15,2,0)</f>
        <v>7</v>
      </c>
      <c r="J1631" s="5">
        <f>IFERROR(VLOOKUP(C1631,Sheet2!$M$4:$N$12,2,0),0)</f>
        <v>4000</v>
      </c>
      <c r="K1631" s="5" t="str">
        <f t="shared" si="25"/>
        <v>within budget</v>
      </c>
    </row>
    <row r="1632" spans="1:11" x14ac:dyDescent="0.3">
      <c r="A1632" s="6">
        <v>45365</v>
      </c>
      <c r="B1632" s="5" t="s">
        <v>19</v>
      </c>
      <c r="C1632" s="5" t="s">
        <v>35</v>
      </c>
      <c r="D1632" s="5" t="s">
        <v>34</v>
      </c>
      <c r="E1632" s="5" t="s">
        <v>32</v>
      </c>
      <c r="F1632" s="5">
        <v>1258</v>
      </c>
      <c r="G1632" s="5" t="str">
        <f>VLOOKUP(C1632,Sheet2!$C$3:$D$12,2,0)</f>
        <v>Fixed</v>
      </c>
      <c r="H1632" s="5" t="str">
        <f>IFERROR(VLOOKUP(E1632,Sheet2!$G$3:$H$8,2,0),"unkwon")</f>
        <v>offline</v>
      </c>
      <c r="I1632" s="5">
        <f>VLOOKUP(B1632,Sheet2!$J$4:$K$15,2,0)</f>
        <v>3</v>
      </c>
      <c r="J1632" s="5">
        <f>IFERROR(VLOOKUP(C1632,Sheet2!$M$4:$N$12,2,0),0)</f>
        <v>5500</v>
      </c>
      <c r="K1632" s="5" t="str">
        <f t="shared" si="25"/>
        <v>within budget</v>
      </c>
    </row>
    <row r="1633" spans="1:11" x14ac:dyDescent="0.3">
      <c r="A1633" s="6">
        <v>45082</v>
      </c>
      <c r="B1633" s="5" t="s">
        <v>39</v>
      </c>
      <c r="C1633" s="5" t="s">
        <v>10</v>
      </c>
      <c r="D1633" s="5" t="s">
        <v>20</v>
      </c>
      <c r="E1633" s="5" t="s">
        <v>12</v>
      </c>
      <c r="F1633" s="5">
        <v>3159</v>
      </c>
      <c r="G1633" s="5" t="str">
        <f>VLOOKUP(C1633,Sheet2!$C$3:$D$12,2,0)</f>
        <v>Variable</v>
      </c>
      <c r="H1633" s="5" t="str">
        <f>IFERROR(VLOOKUP(E1633,Sheet2!$G$3:$H$8,2,0),"unkwon")</f>
        <v>online</v>
      </c>
      <c r="I1633" s="5">
        <f>VLOOKUP(B1633,Sheet2!$J$4:$K$15,2,0)</f>
        <v>6</v>
      </c>
      <c r="J1633" s="5">
        <f>IFERROR(VLOOKUP(C1633,Sheet2!$M$4:$N$12,2,0),0)</f>
        <v>5000</v>
      </c>
      <c r="K1633" s="5" t="str">
        <f t="shared" si="25"/>
        <v>within budget</v>
      </c>
    </row>
    <row r="1634" spans="1:11" x14ac:dyDescent="0.3">
      <c r="A1634" s="6">
        <v>45415</v>
      </c>
      <c r="B1634" s="5" t="s">
        <v>28</v>
      </c>
      <c r="C1634" s="5" t="s">
        <v>22</v>
      </c>
      <c r="D1634" s="5" t="s">
        <v>11</v>
      </c>
      <c r="E1634" s="5" t="s">
        <v>17</v>
      </c>
      <c r="F1634" s="5">
        <v>2674</v>
      </c>
      <c r="G1634" s="5" t="str">
        <f>VLOOKUP(C1634,Sheet2!$C$3:$D$12,2,0)</f>
        <v>Variable</v>
      </c>
      <c r="H1634" s="5" t="str">
        <f>IFERROR(VLOOKUP(E1634,Sheet2!$G$3:$H$8,2,0),"unkwon")</f>
        <v>online</v>
      </c>
      <c r="I1634" s="5">
        <f>VLOOKUP(B1634,Sheet2!$J$4:$K$15,2,0)</f>
        <v>5</v>
      </c>
      <c r="J1634" s="5">
        <f>IFERROR(VLOOKUP(C1634,Sheet2!$M$4:$N$12,2,0),0)</f>
        <v>1000</v>
      </c>
      <c r="K1634" s="5" t="str">
        <f t="shared" si="25"/>
        <v>over budget</v>
      </c>
    </row>
    <row r="1635" spans="1:11" x14ac:dyDescent="0.3">
      <c r="A1635" s="6">
        <v>45003</v>
      </c>
      <c r="B1635" s="5" t="s">
        <v>19</v>
      </c>
      <c r="C1635" s="5" t="s">
        <v>7</v>
      </c>
      <c r="D1635" s="5" t="s">
        <v>23</v>
      </c>
      <c r="E1635" s="5" t="s">
        <v>32</v>
      </c>
      <c r="F1635" s="5">
        <v>1724</v>
      </c>
      <c r="G1635" s="5" t="str">
        <f>VLOOKUP(C1635,Sheet2!$C$3:$D$12,2,0)</f>
        <v>Fixed</v>
      </c>
      <c r="H1635" s="5" t="str">
        <f>IFERROR(VLOOKUP(E1635,Sheet2!$G$3:$H$8,2,0),"unkwon")</f>
        <v>offline</v>
      </c>
      <c r="I1635" s="5">
        <f>VLOOKUP(B1635,Sheet2!$J$4:$K$15,2,0)</f>
        <v>3</v>
      </c>
      <c r="J1635" s="5">
        <f>IFERROR(VLOOKUP(C1635,Sheet2!$M$4:$N$12,2,0),0)</f>
        <v>2000</v>
      </c>
      <c r="K1635" s="5" t="str">
        <f t="shared" si="25"/>
        <v>within budget</v>
      </c>
    </row>
    <row r="1636" spans="1:11" x14ac:dyDescent="0.3">
      <c r="A1636" s="6">
        <v>45013</v>
      </c>
      <c r="B1636" s="5" t="s">
        <v>19</v>
      </c>
      <c r="C1636" s="5" t="s">
        <v>30</v>
      </c>
      <c r="D1636" s="5" t="s">
        <v>31</v>
      </c>
      <c r="E1636" s="5" t="s">
        <v>12</v>
      </c>
      <c r="F1636" s="5">
        <v>1091</v>
      </c>
      <c r="G1636" s="5" t="str">
        <f>VLOOKUP(C1636,Sheet2!$C$3:$D$12,2,0)</f>
        <v>Fixed</v>
      </c>
      <c r="H1636" s="5" t="str">
        <f>IFERROR(VLOOKUP(E1636,Sheet2!$G$3:$H$8,2,0),"unkwon")</f>
        <v>online</v>
      </c>
      <c r="I1636" s="5">
        <f>VLOOKUP(B1636,Sheet2!$J$4:$K$15,2,0)</f>
        <v>3</v>
      </c>
      <c r="J1636" s="5">
        <f>IFERROR(VLOOKUP(C1636,Sheet2!$M$4:$N$12,2,0),0)</f>
        <v>3000</v>
      </c>
      <c r="K1636" s="5" t="str">
        <f t="shared" si="25"/>
        <v>within budget</v>
      </c>
    </row>
    <row r="1637" spans="1:11" x14ac:dyDescent="0.3">
      <c r="A1637" s="6">
        <v>45226</v>
      </c>
      <c r="B1637" s="5" t="s">
        <v>6</v>
      </c>
      <c r="C1637" s="5" t="s">
        <v>22</v>
      </c>
      <c r="D1637" s="5" t="s">
        <v>20</v>
      </c>
      <c r="E1637" s="5" t="s">
        <v>32</v>
      </c>
      <c r="F1637" s="5">
        <v>941</v>
      </c>
      <c r="G1637" s="5" t="str">
        <f>VLOOKUP(C1637,Sheet2!$C$3:$D$12,2,0)</f>
        <v>Variable</v>
      </c>
      <c r="H1637" s="5" t="str">
        <f>IFERROR(VLOOKUP(E1637,Sheet2!$G$3:$H$8,2,0),"unkwon")</f>
        <v>offline</v>
      </c>
      <c r="I1637" s="5">
        <f>VLOOKUP(B1637,Sheet2!$J$4:$K$15,2,0)</f>
        <v>10</v>
      </c>
      <c r="J1637" s="5">
        <f>IFERROR(VLOOKUP(C1637,Sheet2!$M$4:$N$12,2,0),0)</f>
        <v>1000</v>
      </c>
      <c r="K1637" s="5" t="str">
        <f t="shared" si="25"/>
        <v>within budget</v>
      </c>
    </row>
    <row r="1638" spans="1:11" x14ac:dyDescent="0.3">
      <c r="A1638" s="6">
        <v>45620</v>
      </c>
      <c r="B1638" s="5" t="s">
        <v>40</v>
      </c>
      <c r="C1638" s="5" t="s">
        <v>10</v>
      </c>
      <c r="D1638" s="5" t="s">
        <v>18</v>
      </c>
      <c r="E1638" s="5" t="s">
        <v>9</v>
      </c>
      <c r="F1638" s="5">
        <v>3151</v>
      </c>
      <c r="G1638" s="5" t="str">
        <f>VLOOKUP(C1638,Sheet2!$C$3:$D$12,2,0)</f>
        <v>Variable</v>
      </c>
      <c r="H1638" s="5" t="str">
        <f>IFERROR(VLOOKUP(E1638,Sheet2!$G$3:$H$8,2,0),"unkwon")</f>
        <v>online</v>
      </c>
      <c r="I1638" s="5">
        <f>VLOOKUP(B1638,Sheet2!$J$4:$K$15,2,0)</f>
        <v>11</v>
      </c>
      <c r="J1638" s="5">
        <f>IFERROR(VLOOKUP(C1638,Sheet2!$M$4:$N$12,2,0),0)</f>
        <v>5000</v>
      </c>
      <c r="K1638" s="5" t="str">
        <f t="shared" si="25"/>
        <v>within budget</v>
      </c>
    </row>
    <row r="1639" spans="1:11" x14ac:dyDescent="0.3">
      <c r="A1639" s="6">
        <v>45228</v>
      </c>
      <c r="B1639" s="5" t="s">
        <v>6</v>
      </c>
      <c r="C1639" s="5" t="s">
        <v>30</v>
      </c>
      <c r="D1639" s="5" t="s">
        <v>31</v>
      </c>
      <c r="E1639" s="5" t="s">
        <v>15</v>
      </c>
      <c r="F1639" s="5">
        <v>2920</v>
      </c>
      <c r="G1639" s="5" t="str">
        <f>VLOOKUP(C1639,Sheet2!$C$3:$D$12,2,0)</f>
        <v>Fixed</v>
      </c>
      <c r="H1639" s="5" t="str">
        <f>IFERROR(VLOOKUP(E1639,Sheet2!$G$3:$H$8,2,0),"unkwon")</f>
        <v>online</v>
      </c>
      <c r="I1639" s="5">
        <f>VLOOKUP(B1639,Sheet2!$J$4:$K$15,2,0)</f>
        <v>10</v>
      </c>
      <c r="J1639" s="5">
        <f>IFERROR(VLOOKUP(C1639,Sheet2!$M$4:$N$12,2,0),0)</f>
        <v>3000</v>
      </c>
      <c r="K1639" s="5" t="str">
        <f t="shared" si="25"/>
        <v>within budget</v>
      </c>
    </row>
    <row r="1640" spans="1:11" x14ac:dyDescent="0.3">
      <c r="A1640" s="6">
        <v>45139</v>
      </c>
      <c r="B1640" s="5" t="s">
        <v>25</v>
      </c>
      <c r="C1640" s="5" t="s">
        <v>41</v>
      </c>
      <c r="D1640" s="5" t="s">
        <v>18</v>
      </c>
      <c r="E1640" s="5" t="s">
        <v>15</v>
      </c>
      <c r="F1640" s="5">
        <v>4418</v>
      </c>
      <c r="G1640" s="5" t="str">
        <f>VLOOKUP(C1640,Sheet2!$C$3:$D$12,2,0)</f>
        <v>Variable</v>
      </c>
      <c r="H1640" s="5" t="str">
        <f>IFERROR(VLOOKUP(E1640,Sheet2!$G$3:$H$8,2,0),"unkwon")</f>
        <v>online</v>
      </c>
      <c r="I1640" s="5">
        <f>VLOOKUP(B1640,Sheet2!$J$4:$K$15,2,0)</f>
        <v>8</v>
      </c>
      <c r="J1640" s="5">
        <f>IFERROR(VLOOKUP(C1640,Sheet2!$M$4:$N$12,2,0),0)</f>
        <v>7000</v>
      </c>
      <c r="K1640" s="5" t="str">
        <f t="shared" si="25"/>
        <v>within budget</v>
      </c>
    </row>
    <row r="1641" spans="1:11" x14ac:dyDescent="0.3">
      <c r="A1641" s="6">
        <v>45173</v>
      </c>
      <c r="B1641" s="5" t="s">
        <v>38</v>
      </c>
      <c r="C1641" s="5" t="s">
        <v>10</v>
      </c>
      <c r="D1641" s="5" t="s">
        <v>31</v>
      </c>
      <c r="E1641" s="5" t="s">
        <v>17</v>
      </c>
      <c r="F1641" s="5">
        <v>1050</v>
      </c>
      <c r="G1641" s="5" t="str">
        <f>VLOOKUP(C1641,Sheet2!$C$3:$D$12,2,0)</f>
        <v>Variable</v>
      </c>
      <c r="H1641" s="5" t="str">
        <f>IFERROR(VLOOKUP(E1641,Sheet2!$G$3:$H$8,2,0),"unkwon")</f>
        <v>online</v>
      </c>
      <c r="I1641" s="5">
        <f>VLOOKUP(B1641,Sheet2!$J$4:$K$15,2,0)</f>
        <v>9</v>
      </c>
      <c r="J1641" s="5">
        <f>IFERROR(VLOOKUP(C1641,Sheet2!$M$4:$N$12,2,0),0)</f>
        <v>5000</v>
      </c>
      <c r="K1641" s="5" t="str">
        <f t="shared" si="25"/>
        <v>within budget</v>
      </c>
    </row>
    <row r="1642" spans="1:11" x14ac:dyDescent="0.3">
      <c r="A1642" s="6">
        <v>45412</v>
      </c>
      <c r="B1642" s="5" t="s">
        <v>29</v>
      </c>
      <c r="C1642" s="5" t="s">
        <v>22</v>
      </c>
      <c r="D1642" s="5" t="s">
        <v>8</v>
      </c>
      <c r="E1642" s="5" t="s">
        <v>15</v>
      </c>
      <c r="F1642" s="5">
        <v>1156</v>
      </c>
      <c r="G1642" s="5" t="str">
        <f>VLOOKUP(C1642,Sheet2!$C$3:$D$12,2,0)</f>
        <v>Variable</v>
      </c>
      <c r="H1642" s="5" t="str">
        <f>IFERROR(VLOOKUP(E1642,Sheet2!$G$3:$H$8,2,0),"unkwon")</f>
        <v>online</v>
      </c>
      <c r="I1642" s="5">
        <f>VLOOKUP(B1642,Sheet2!$J$4:$K$15,2,0)</f>
        <v>4</v>
      </c>
      <c r="J1642" s="5">
        <f>IFERROR(VLOOKUP(C1642,Sheet2!$M$4:$N$12,2,0),0)</f>
        <v>1000</v>
      </c>
      <c r="K1642" s="5" t="str">
        <f t="shared" si="25"/>
        <v>over budget</v>
      </c>
    </row>
    <row r="1643" spans="1:11" x14ac:dyDescent="0.3">
      <c r="A1643" s="6">
        <v>45136</v>
      </c>
      <c r="B1643" s="5" t="s">
        <v>21</v>
      </c>
      <c r="C1643" s="5" t="s">
        <v>41</v>
      </c>
      <c r="D1643" s="5" t="s">
        <v>14</v>
      </c>
      <c r="E1643" s="5" t="s">
        <v>32</v>
      </c>
      <c r="F1643" s="5">
        <v>1982</v>
      </c>
      <c r="G1643" s="5" t="str">
        <f>VLOOKUP(C1643,Sheet2!$C$3:$D$12,2,0)</f>
        <v>Variable</v>
      </c>
      <c r="H1643" s="5" t="str">
        <f>IFERROR(VLOOKUP(E1643,Sheet2!$G$3:$H$8,2,0),"unkwon")</f>
        <v>offline</v>
      </c>
      <c r="I1643" s="5">
        <f>VLOOKUP(B1643,Sheet2!$J$4:$K$15,2,0)</f>
        <v>7</v>
      </c>
      <c r="J1643" s="5">
        <f>IFERROR(VLOOKUP(C1643,Sheet2!$M$4:$N$12,2,0),0)</f>
        <v>7000</v>
      </c>
      <c r="K1643" s="5" t="str">
        <f t="shared" si="25"/>
        <v>within budget</v>
      </c>
    </row>
    <row r="1644" spans="1:11" x14ac:dyDescent="0.3">
      <c r="A1644" s="6">
        <v>45045</v>
      </c>
      <c r="B1644" s="5" t="s">
        <v>29</v>
      </c>
      <c r="C1644" s="5" t="s">
        <v>35</v>
      </c>
      <c r="D1644" s="5" t="s">
        <v>23</v>
      </c>
      <c r="E1644" s="5" t="s">
        <v>17</v>
      </c>
      <c r="F1644" s="5">
        <v>3241</v>
      </c>
      <c r="G1644" s="5" t="str">
        <f>VLOOKUP(C1644,Sheet2!$C$3:$D$12,2,0)</f>
        <v>Fixed</v>
      </c>
      <c r="H1644" s="5" t="str">
        <f>IFERROR(VLOOKUP(E1644,Sheet2!$G$3:$H$8,2,0),"unkwon")</f>
        <v>online</v>
      </c>
      <c r="I1644" s="5">
        <f>VLOOKUP(B1644,Sheet2!$J$4:$K$15,2,0)</f>
        <v>4</v>
      </c>
      <c r="J1644" s="5">
        <f>IFERROR(VLOOKUP(C1644,Sheet2!$M$4:$N$12,2,0),0)</f>
        <v>5500</v>
      </c>
      <c r="K1644" s="5" t="str">
        <f t="shared" si="25"/>
        <v>within budget</v>
      </c>
    </row>
    <row r="1645" spans="1:11" x14ac:dyDescent="0.3">
      <c r="A1645" s="6">
        <v>44971</v>
      </c>
      <c r="B1645" s="5" t="s">
        <v>33</v>
      </c>
      <c r="C1645" s="5" t="s">
        <v>35</v>
      </c>
      <c r="D1645" s="5" t="s">
        <v>31</v>
      </c>
      <c r="E1645" s="5" t="s">
        <v>15</v>
      </c>
      <c r="F1645" s="5">
        <v>1387</v>
      </c>
      <c r="G1645" s="5" t="str">
        <f>VLOOKUP(C1645,Sheet2!$C$3:$D$12,2,0)</f>
        <v>Fixed</v>
      </c>
      <c r="H1645" s="5" t="str">
        <f>IFERROR(VLOOKUP(E1645,Sheet2!$G$3:$H$8,2,0),"unkwon")</f>
        <v>online</v>
      </c>
      <c r="I1645" s="5">
        <f>VLOOKUP(B1645,Sheet2!$J$4:$K$15,2,0)</f>
        <v>2</v>
      </c>
      <c r="J1645" s="5">
        <f>IFERROR(VLOOKUP(C1645,Sheet2!$M$4:$N$12,2,0),0)</f>
        <v>5500</v>
      </c>
      <c r="K1645" s="5" t="str">
        <f t="shared" si="25"/>
        <v>within budget</v>
      </c>
    </row>
    <row r="1646" spans="1:11" x14ac:dyDescent="0.3">
      <c r="A1646" s="6">
        <v>45205</v>
      </c>
      <c r="B1646" s="5" t="s">
        <v>6</v>
      </c>
      <c r="C1646" s="5" t="s">
        <v>27</v>
      </c>
      <c r="D1646" s="5" t="s">
        <v>14</v>
      </c>
      <c r="E1646" s="5" t="s">
        <v>15</v>
      </c>
      <c r="F1646" s="5">
        <v>3292</v>
      </c>
      <c r="G1646" s="5" t="str">
        <f>VLOOKUP(C1646,Sheet2!$C$3:$D$12,2,0)</f>
        <v>Variable</v>
      </c>
      <c r="H1646" s="5" t="str">
        <f>IFERROR(VLOOKUP(E1646,Sheet2!$G$3:$H$8,2,0),"unkwon")</f>
        <v>online</v>
      </c>
      <c r="I1646" s="5">
        <f>VLOOKUP(B1646,Sheet2!$J$4:$K$15,2,0)</f>
        <v>10</v>
      </c>
      <c r="J1646" s="5">
        <f>IFERROR(VLOOKUP(C1646,Sheet2!$M$4:$N$12,2,0),0)</f>
        <v>4000</v>
      </c>
      <c r="K1646" s="5" t="str">
        <f t="shared" si="25"/>
        <v>within budget</v>
      </c>
    </row>
    <row r="1647" spans="1:11" x14ac:dyDescent="0.3">
      <c r="A1647" s="6">
        <v>45151</v>
      </c>
      <c r="B1647" s="5" t="s">
        <v>25</v>
      </c>
      <c r="C1647" s="5" t="s">
        <v>7</v>
      </c>
      <c r="D1647" s="5" t="s">
        <v>34</v>
      </c>
      <c r="E1647" s="5" t="s">
        <v>12</v>
      </c>
      <c r="F1647" s="5">
        <v>1850</v>
      </c>
      <c r="G1647" s="5" t="str">
        <f>VLOOKUP(C1647,Sheet2!$C$3:$D$12,2,0)</f>
        <v>Fixed</v>
      </c>
      <c r="H1647" s="5" t="str">
        <f>IFERROR(VLOOKUP(E1647,Sheet2!$G$3:$H$8,2,0),"unkwon")</f>
        <v>online</v>
      </c>
      <c r="I1647" s="5">
        <f>VLOOKUP(B1647,Sheet2!$J$4:$K$15,2,0)</f>
        <v>8</v>
      </c>
      <c r="J1647" s="5">
        <f>IFERROR(VLOOKUP(C1647,Sheet2!$M$4:$N$12,2,0),0)</f>
        <v>2000</v>
      </c>
      <c r="K1647" s="5" t="str">
        <f t="shared" si="25"/>
        <v>within budget</v>
      </c>
    </row>
    <row r="1648" spans="1:11" x14ac:dyDescent="0.3">
      <c r="A1648" s="6">
        <v>44955</v>
      </c>
      <c r="B1648" s="5" t="s">
        <v>37</v>
      </c>
      <c r="C1648" s="5" t="s">
        <v>27</v>
      </c>
      <c r="D1648" s="5" t="s">
        <v>23</v>
      </c>
      <c r="E1648" s="5" t="s">
        <v>17</v>
      </c>
      <c r="F1648" s="5">
        <v>2677</v>
      </c>
      <c r="G1648" s="5" t="str">
        <f>VLOOKUP(C1648,Sheet2!$C$3:$D$12,2,0)</f>
        <v>Variable</v>
      </c>
      <c r="H1648" s="5" t="str">
        <f>IFERROR(VLOOKUP(E1648,Sheet2!$G$3:$H$8,2,0),"unkwon")</f>
        <v>online</v>
      </c>
      <c r="I1648" s="5">
        <f>VLOOKUP(B1648,Sheet2!$J$4:$K$15,2,0)</f>
        <v>1</v>
      </c>
      <c r="J1648" s="5">
        <f>IFERROR(VLOOKUP(C1648,Sheet2!$M$4:$N$12,2,0),0)</f>
        <v>4000</v>
      </c>
      <c r="K1648" s="5" t="str">
        <f t="shared" si="25"/>
        <v>within budget</v>
      </c>
    </row>
    <row r="1649" spans="1:11" x14ac:dyDescent="0.3">
      <c r="A1649" s="6">
        <v>45532</v>
      </c>
      <c r="B1649" s="5" t="s">
        <v>25</v>
      </c>
      <c r="C1649" s="5" t="s">
        <v>10</v>
      </c>
      <c r="D1649" s="5" t="s">
        <v>34</v>
      </c>
      <c r="E1649" s="5" t="s">
        <v>15</v>
      </c>
      <c r="F1649" s="5">
        <v>549</v>
      </c>
      <c r="G1649" s="5" t="str">
        <f>VLOOKUP(C1649,Sheet2!$C$3:$D$12,2,0)</f>
        <v>Variable</v>
      </c>
      <c r="H1649" s="5" t="str">
        <f>IFERROR(VLOOKUP(E1649,Sheet2!$G$3:$H$8,2,0),"unkwon")</f>
        <v>online</v>
      </c>
      <c r="I1649" s="5">
        <f>VLOOKUP(B1649,Sheet2!$J$4:$K$15,2,0)</f>
        <v>8</v>
      </c>
      <c r="J1649" s="5">
        <f>IFERROR(VLOOKUP(C1649,Sheet2!$M$4:$N$12,2,0),0)</f>
        <v>5000</v>
      </c>
      <c r="K1649" s="5" t="str">
        <f t="shared" si="25"/>
        <v>within budget</v>
      </c>
    </row>
    <row r="1650" spans="1:11" x14ac:dyDescent="0.3">
      <c r="A1650" s="6">
        <v>45313</v>
      </c>
      <c r="B1650" s="5" t="s">
        <v>37</v>
      </c>
      <c r="C1650" s="5" t="s">
        <v>13</v>
      </c>
      <c r="D1650" s="5" t="s">
        <v>11</v>
      </c>
      <c r="E1650" s="5" t="s">
        <v>32</v>
      </c>
      <c r="F1650" s="5">
        <v>1335</v>
      </c>
      <c r="G1650" s="5" t="str">
        <f>VLOOKUP(C1650,Sheet2!$C$3:$D$12,2,0)</f>
        <v>Variable</v>
      </c>
      <c r="H1650" s="5" t="str">
        <f>IFERROR(VLOOKUP(E1650,Sheet2!$G$3:$H$8,2,0),"unkwon")</f>
        <v>offline</v>
      </c>
      <c r="I1650" s="5">
        <f>VLOOKUP(B1650,Sheet2!$J$4:$K$15,2,0)</f>
        <v>1</v>
      </c>
      <c r="J1650" s="5">
        <f>IFERROR(VLOOKUP(C1650,Sheet2!$M$4:$N$12,2,0),0)</f>
        <v>5000</v>
      </c>
      <c r="K1650" s="5" t="str">
        <f t="shared" si="25"/>
        <v>within budget</v>
      </c>
    </row>
    <row r="1651" spans="1:11" x14ac:dyDescent="0.3">
      <c r="A1651" s="6">
        <v>45049</v>
      </c>
      <c r="B1651" s="5" t="s">
        <v>28</v>
      </c>
      <c r="C1651" s="5" t="s">
        <v>35</v>
      </c>
      <c r="D1651" s="5" t="s">
        <v>20</v>
      </c>
      <c r="E1651" s="5" t="s">
        <v>32</v>
      </c>
      <c r="F1651" s="5">
        <v>1962</v>
      </c>
      <c r="G1651" s="5" t="str">
        <f>VLOOKUP(C1651,Sheet2!$C$3:$D$12,2,0)</f>
        <v>Fixed</v>
      </c>
      <c r="H1651" s="5" t="str">
        <f>IFERROR(VLOOKUP(E1651,Sheet2!$G$3:$H$8,2,0),"unkwon")</f>
        <v>offline</v>
      </c>
      <c r="I1651" s="5">
        <f>VLOOKUP(B1651,Sheet2!$J$4:$K$15,2,0)</f>
        <v>5</v>
      </c>
      <c r="J1651" s="5">
        <f>IFERROR(VLOOKUP(C1651,Sheet2!$M$4:$N$12,2,0),0)</f>
        <v>5500</v>
      </c>
      <c r="K1651" s="5" t="str">
        <f t="shared" si="25"/>
        <v>within budget</v>
      </c>
    </row>
    <row r="1652" spans="1:11" x14ac:dyDescent="0.3">
      <c r="A1652" s="6">
        <v>44934</v>
      </c>
      <c r="B1652" s="5" t="s">
        <v>37</v>
      </c>
      <c r="C1652" s="5" t="s">
        <v>36</v>
      </c>
      <c r="D1652" s="5" t="s">
        <v>34</v>
      </c>
      <c r="E1652" s="5" t="s">
        <v>15</v>
      </c>
      <c r="F1652" s="5">
        <v>923</v>
      </c>
      <c r="G1652" s="5" t="str">
        <f>VLOOKUP(C1652,Sheet2!$C$3:$D$12,2,0)</f>
        <v>Variable</v>
      </c>
      <c r="H1652" s="5" t="str">
        <f>IFERROR(VLOOKUP(E1652,Sheet2!$G$3:$H$8,2,0),"unkwon")</f>
        <v>online</v>
      </c>
      <c r="I1652" s="5">
        <f>VLOOKUP(B1652,Sheet2!$J$4:$K$15,2,0)</f>
        <v>1</v>
      </c>
      <c r="J1652" s="5">
        <f>IFERROR(VLOOKUP(C1652,Sheet2!$M$4:$N$12,2,0),0)</f>
        <v>10000</v>
      </c>
      <c r="K1652" s="5" t="str">
        <f t="shared" si="25"/>
        <v>within budget</v>
      </c>
    </row>
    <row r="1653" spans="1:11" x14ac:dyDescent="0.3">
      <c r="A1653" s="6">
        <v>45620</v>
      </c>
      <c r="B1653" s="5" t="s">
        <v>40</v>
      </c>
      <c r="C1653" s="5" t="s">
        <v>13</v>
      </c>
      <c r="D1653" s="5" t="s">
        <v>18</v>
      </c>
      <c r="E1653" s="5" t="s">
        <v>17</v>
      </c>
      <c r="F1653" s="5">
        <v>1418</v>
      </c>
      <c r="G1653" s="5" t="str">
        <f>VLOOKUP(C1653,Sheet2!$C$3:$D$12,2,0)</f>
        <v>Variable</v>
      </c>
      <c r="H1653" s="5" t="str">
        <f>IFERROR(VLOOKUP(E1653,Sheet2!$G$3:$H$8,2,0),"unkwon")</f>
        <v>online</v>
      </c>
      <c r="I1653" s="5">
        <f>VLOOKUP(B1653,Sheet2!$J$4:$K$15,2,0)</f>
        <v>11</v>
      </c>
      <c r="J1653" s="5">
        <f>IFERROR(VLOOKUP(C1653,Sheet2!$M$4:$N$12,2,0),0)</f>
        <v>5000</v>
      </c>
      <c r="K1653" s="5" t="str">
        <f t="shared" si="25"/>
        <v>within budget</v>
      </c>
    </row>
    <row r="1654" spans="1:11" x14ac:dyDescent="0.3">
      <c r="A1654" s="6">
        <v>45180</v>
      </c>
      <c r="B1654" s="5" t="s">
        <v>38</v>
      </c>
      <c r="C1654" s="5" t="s">
        <v>22</v>
      </c>
      <c r="D1654" s="5" t="s">
        <v>18</v>
      </c>
      <c r="E1654" s="5" t="s">
        <v>32</v>
      </c>
      <c r="F1654" s="5">
        <v>3588</v>
      </c>
      <c r="G1654" s="5" t="str">
        <f>VLOOKUP(C1654,Sheet2!$C$3:$D$12,2,0)</f>
        <v>Variable</v>
      </c>
      <c r="H1654" s="5" t="str">
        <f>IFERROR(VLOOKUP(E1654,Sheet2!$G$3:$H$8,2,0),"unkwon")</f>
        <v>offline</v>
      </c>
      <c r="I1654" s="5">
        <f>VLOOKUP(B1654,Sheet2!$J$4:$K$15,2,0)</f>
        <v>9</v>
      </c>
      <c r="J1654" s="5">
        <f>IFERROR(VLOOKUP(C1654,Sheet2!$M$4:$N$12,2,0),0)</f>
        <v>1000</v>
      </c>
      <c r="K1654" s="5" t="str">
        <f t="shared" si="25"/>
        <v>over budget</v>
      </c>
    </row>
    <row r="1655" spans="1:11" x14ac:dyDescent="0.3">
      <c r="A1655" s="6">
        <v>45209</v>
      </c>
      <c r="B1655" s="5" t="s">
        <v>6</v>
      </c>
      <c r="C1655" s="5" t="s">
        <v>41</v>
      </c>
      <c r="D1655" s="5" t="s">
        <v>31</v>
      </c>
      <c r="E1655" s="5" t="s">
        <v>32</v>
      </c>
      <c r="F1655" s="5">
        <v>936</v>
      </c>
      <c r="G1655" s="5" t="str">
        <f>VLOOKUP(C1655,Sheet2!$C$3:$D$12,2,0)</f>
        <v>Variable</v>
      </c>
      <c r="H1655" s="5" t="str">
        <f>IFERROR(VLOOKUP(E1655,Sheet2!$G$3:$H$8,2,0),"unkwon")</f>
        <v>offline</v>
      </c>
      <c r="I1655" s="5">
        <f>VLOOKUP(B1655,Sheet2!$J$4:$K$15,2,0)</f>
        <v>10</v>
      </c>
      <c r="J1655" s="5">
        <f>IFERROR(VLOOKUP(C1655,Sheet2!$M$4:$N$12,2,0),0)</f>
        <v>7000</v>
      </c>
      <c r="K1655" s="5" t="str">
        <f t="shared" si="25"/>
        <v>within budget</v>
      </c>
    </row>
    <row r="1656" spans="1:11" x14ac:dyDescent="0.3">
      <c r="A1656" s="6">
        <v>45475</v>
      </c>
      <c r="B1656" s="5" t="s">
        <v>21</v>
      </c>
      <c r="C1656" s="5" t="s">
        <v>36</v>
      </c>
      <c r="D1656" s="5" t="s">
        <v>24</v>
      </c>
      <c r="E1656" s="5" t="s">
        <v>12</v>
      </c>
      <c r="F1656" s="5">
        <v>1639</v>
      </c>
      <c r="G1656" s="5" t="str">
        <f>VLOOKUP(C1656,Sheet2!$C$3:$D$12,2,0)</f>
        <v>Variable</v>
      </c>
      <c r="H1656" s="5" t="str">
        <f>IFERROR(VLOOKUP(E1656,Sheet2!$G$3:$H$8,2,0),"unkwon")</f>
        <v>online</v>
      </c>
      <c r="I1656" s="5">
        <f>VLOOKUP(B1656,Sheet2!$J$4:$K$15,2,0)</f>
        <v>7</v>
      </c>
      <c r="J1656" s="5">
        <f>IFERROR(VLOOKUP(C1656,Sheet2!$M$4:$N$12,2,0),0)</f>
        <v>10000</v>
      </c>
      <c r="K1656" s="5" t="str">
        <f t="shared" si="25"/>
        <v>within budget</v>
      </c>
    </row>
    <row r="1657" spans="1:11" x14ac:dyDescent="0.3">
      <c r="A1657" s="6">
        <v>45626</v>
      </c>
      <c r="B1657" s="5" t="s">
        <v>40</v>
      </c>
      <c r="C1657" s="5" t="s">
        <v>41</v>
      </c>
      <c r="D1657" s="5" t="s">
        <v>18</v>
      </c>
      <c r="E1657" s="5" t="s">
        <v>32</v>
      </c>
      <c r="F1657" s="5">
        <v>4080</v>
      </c>
      <c r="G1657" s="5" t="str">
        <f>VLOOKUP(C1657,Sheet2!$C$3:$D$12,2,0)</f>
        <v>Variable</v>
      </c>
      <c r="H1657" s="5" t="str">
        <f>IFERROR(VLOOKUP(E1657,Sheet2!$G$3:$H$8,2,0),"unkwon")</f>
        <v>offline</v>
      </c>
      <c r="I1657" s="5">
        <f>VLOOKUP(B1657,Sheet2!$J$4:$K$15,2,0)</f>
        <v>11</v>
      </c>
      <c r="J1657" s="5">
        <f>IFERROR(VLOOKUP(C1657,Sheet2!$M$4:$N$12,2,0),0)</f>
        <v>7000</v>
      </c>
      <c r="K1657" s="5" t="str">
        <f t="shared" si="25"/>
        <v>within budget</v>
      </c>
    </row>
    <row r="1658" spans="1:11" x14ac:dyDescent="0.3">
      <c r="A1658" s="6">
        <v>45260</v>
      </c>
      <c r="B1658" s="5" t="s">
        <v>40</v>
      </c>
      <c r="C1658" s="5" t="s">
        <v>13</v>
      </c>
      <c r="D1658" s="5" t="s">
        <v>20</v>
      </c>
      <c r="E1658" s="5" t="s">
        <v>32</v>
      </c>
      <c r="F1658" s="5">
        <v>856</v>
      </c>
      <c r="G1658" s="5" t="str">
        <f>VLOOKUP(C1658,Sheet2!$C$3:$D$12,2,0)</f>
        <v>Variable</v>
      </c>
      <c r="H1658" s="5" t="str">
        <f>IFERROR(VLOOKUP(E1658,Sheet2!$G$3:$H$8,2,0),"unkwon")</f>
        <v>offline</v>
      </c>
      <c r="I1658" s="5">
        <f>VLOOKUP(B1658,Sheet2!$J$4:$K$15,2,0)</f>
        <v>11</v>
      </c>
      <c r="J1658" s="5">
        <f>IFERROR(VLOOKUP(C1658,Sheet2!$M$4:$N$12,2,0),0)</f>
        <v>5000</v>
      </c>
      <c r="K1658" s="5" t="str">
        <f t="shared" si="25"/>
        <v>within budget</v>
      </c>
    </row>
    <row r="1659" spans="1:11" x14ac:dyDescent="0.3">
      <c r="A1659" s="6">
        <v>45023</v>
      </c>
      <c r="B1659" s="5" t="s">
        <v>29</v>
      </c>
      <c r="C1659" s="5" t="s">
        <v>13</v>
      </c>
      <c r="D1659" s="5" t="s">
        <v>20</v>
      </c>
      <c r="E1659" s="5" t="s">
        <v>15</v>
      </c>
      <c r="F1659" s="5">
        <v>4843</v>
      </c>
      <c r="G1659" s="5" t="str">
        <f>VLOOKUP(C1659,Sheet2!$C$3:$D$12,2,0)</f>
        <v>Variable</v>
      </c>
      <c r="H1659" s="5" t="str">
        <f>IFERROR(VLOOKUP(E1659,Sheet2!$G$3:$H$8,2,0),"unkwon")</f>
        <v>online</v>
      </c>
      <c r="I1659" s="5">
        <f>VLOOKUP(B1659,Sheet2!$J$4:$K$15,2,0)</f>
        <v>4</v>
      </c>
      <c r="J1659" s="5">
        <f>IFERROR(VLOOKUP(C1659,Sheet2!$M$4:$N$12,2,0),0)</f>
        <v>5000</v>
      </c>
      <c r="K1659" s="5" t="str">
        <f t="shared" si="25"/>
        <v>within budget</v>
      </c>
    </row>
    <row r="1660" spans="1:11" x14ac:dyDescent="0.3">
      <c r="A1660" s="6">
        <v>45441</v>
      </c>
      <c r="B1660" s="5" t="s">
        <v>28</v>
      </c>
      <c r="C1660" s="5" t="s">
        <v>7</v>
      </c>
      <c r="D1660" s="5" t="s">
        <v>34</v>
      </c>
      <c r="E1660" s="5" t="s">
        <v>15</v>
      </c>
      <c r="F1660" s="5">
        <v>3268</v>
      </c>
      <c r="G1660" s="5" t="str">
        <f>VLOOKUP(C1660,Sheet2!$C$3:$D$12,2,0)</f>
        <v>Fixed</v>
      </c>
      <c r="H1660" s="5" t="str">
        <f>IFERROR(VLOOKUP(E1660,Sheet2!$G$3:$H$8,2,0),"unkwon")</f>
        <v>online</v>
      </c>
      <c r="I1660" s="5">
        <f>VLOOKUP(B1660,Sheet2!$J$4:$K$15,2,0)</f>
        <v>5</v>
      </c>
      <c r="J1660" s="5">
        <f>IFERROR(VLOOKUP(C1660,Sheet2!$M$4:$N$12,2,0),0)</f>
        <v>2000</v>
      </c>
      <c r="K1660" s="5" t="str">
        <f t="shared" si="25"/>
        <v>over budget</v>
      </c>
    </row>
    <row r="1661" spans="1:11" x14ac:dyDescent="0.3">
      <c r="A1661" s="6">
        <v>44960</v>
      </c>
      <c r="B1661" s="5" t="s">
        <v>33</v>
      </c>
      <c r="C1661" s="5" t="s">
        <v>10</v>
      </c>
      <c r="D1661" s="5" t="s">
        <v>14</v>
      </c>
      <c r="E1661" s="5" t="s">
        <v>9</v>
      </c>
      <c r="F1661" s="5">
        <v>1464</v>
      </c>
      <c r="G1661" s="5" t="str">
        <f>VLOOKUP(C1661,Sheet2!$C$3:$D$12,2,0)</f>
        <v>Variable</v>
      </c>
      <c r="H1661" s="5" t="str">
        <f>IFERROR(VLOOKUP(E1661,Sheet2!$G$3:$H$8,2,0),"unkwon")</f>
        <v>online</v>
      </c>
      <c r="I1661" s="5">
        <f>VLOOKUP(B1661,Sheet2!$J$4:$K$15,2,0)</f>
        <v>2</v>
      </c>
      <c r="J1661" s="5">
        <f>IFERROR(VLOOKUP(C1661,Sheet2!$M$4:$N$12,2,0),0)</f>
        <v>5000</v>
      </c>
      <c r="K1661" s="5" t="str">
        <f t="shared" si="25"/>
        <v>within budget</v>
      </c>
    </row>
    <row r="1662" spans="1:11" x14ac:dyDescent="0.3">
      <c r="A1662" s="6">
        <v>45405</v>
      </c>
      <c r="B1662" s="5" t="s">
        <v>29</v>
      </c>
      <c r="C1662" s="5" t="s">
        <v>35</v>
      </c>
      <c r="D1662" s="5" t="s">
        <v>34</v>
      </c>
      <c r="E1662" s="5" t="s">
        <v>17</v>
      </c>
      <c r="F1662" s="5">
        <v>3022</v>
      </c>
      <c r="G1662" s="5" t="str">
        <f>VLOOKUP(C1662,Sheet2!$C$3:$D$12,2,0)</f>
        <v>Fixed</v>
      </c>
      <c r="H1662" s="5" t="str">
        <f>IFERROR(VLOOKUP(E1662,Sheet2!$G$3:$H$8,2,0),"unkwon")</f>
        <v>online</v>
      </c>
      <c r="I1662" s="5">
        <f>VLOOKUP(B1662,Sheet2!$J$4:$K$15,2,0)</f>
        <v>4</v>
      </c>
      <c r="J1662" s="5">
        <f>IFERROR(VLOOKUP(C1662,Sheet2!$M$4:$N$12,2,0),0)</f>
        <v>5500</v>
      </c>
      <c r="K1662" s="5" t="str">
        <f t="shared" si="25"/>
        <v>within budget</v>
      </c>
    </row>
    <row r="1663" spans="1:11" x14ac:dyDescent="0.3">
      <c r="A1663" s="6">
        <v>45625</v>
      </c>
      <c r="B1663" s="5" t="s">
        <v>40</v>
      </c>
      <c r="C1663" s="5" t="s">
        <v>22</v>
      </c>
      <c r="D1663" s="5" t="s">
        <v>24</v>
      </c>
      <c r="E1663" s="5" t="s">
        <v>32</v>
      </c>
      <c r="F1663" s="5">
        <v>2284</v>
      </c>
      <c r="G1663" s="5" t="str">
        <f>VLOOKUP(C1663,Sheet2!$C$3:$D$12,2,0)</f>
        <v>Variable</v>
      </c>
      <c r="H1663" s="5" t="str">
        <f>IFERROR(VLOOKUP(E1663,Sheet2!$G$3:$H$8,2,0),"unkwon")</f>
        <v>offline</v>
      </c>
      <c r="I1663" s="5">
        <f>VLOOKUP(B1663,Sheet2!$J$4:$K$15,2,0)</f>
        <v>11</v>
      </c>
      <c r="J1663" s="5">
        <f>IFERROR(VLOOKUP(C1663,Sheet2!$M$4:$N$12,2,0),0)</f>
        <v>1000</v>
      </c>
      <c r="K1663" s="5" t="str">
        <f t="shared" si="25"/>
        <v>over budget</v>
      </c>
    </row>
    <row r="1664" spans="1:11" x14ac:dyDescent="0.3">
      <c r="A1664" s="6">
        <v>45288</v>
      </c>
      <c r="B1664" s="5" t="s">
        <v>16</v>
      </c>
      <c r="C1664" s="5" t="s">
        <v>30</v>
      </c>
      <c r="D1664" s="5" t="s">
        <v>31</v>
      </c>
      <c r="E1664" s="5" t="s">
        <v>17</v>
      </c>
      <c r="F1664" s="5">
        <v>1888</v>
      </c>
      <c r="G1664" s="5" t="str">
        <f>VLOOKUP(C1664,Sheet2!$C$3:$D$12,2,0)</f>
        <v>Fixed</v>
      </c>
      <c r="H1664" s="5" t="str">
        <f>IFERROR(VLOOKUP(E1664,Sheet2!$G$3:$H$8,2,0),"unkwon")</f>
        <v>online</v>
      </c>
      <c r="I1664" s="5">
        <f>VLOOKUP(B1664,Sheet2!$J$4:$K$15,2,0)</f>
        <v>12</v>
      </c>
      <c r="J1664" s="5">
        <f>IFERROR(VLOOKUP(C1664,Sheet2!$M$4:$N$12,2,0),0)</f>
        <v>3000</v>
      </c>
      <c r="K1664" s="5" t="str">
        <f t="shared" si="25"/>
        <v>within budget</v>
      </c>
    </row>
    <row r="1665" spans="1:11" x14ac:dyDescent="0.3">
      <c r="A1665" s="6">
        <v>45433</v>
      </c>
      <c r="B1665" s="5" t="s">
        <v>28</v>
      </c>
      <c r="C1665" s="5" t="s">
        <v>35</v>
      </c>
      <c r="D1665" s="5" t="s">
        <v>8</v>
      </c>
      <c r="E1665" s="5" t="s">
        <v>17</v>
      </c>
      <c r="F1665" s="5">
        <v>2017</v>
      </c>
      <c r="G1665" s="5" t="str">
        <f>VLOOKUP(C1665,Sheet2!$C$3:$D$12,2,0)</f>
        <v>Fixed</v>
      </c>
      <c r="H1665" s="5" t="str">
        <f>IFERROR(VLOOKUP(E1665,Sheet2!$G$3:$H$8,2,0),"unkwon")</f>
        <v>online</v>
      </c>
      <c r="I1665" s="5">
        <f>VLOOKUP(B1665,Sheet2!$J$4:$K$15,2,0)</f>
        <v>5</v>
      </c>
      <c r="J1665" s="5">
        <f>IFERROR(VLOOKUP(C1665,Sheet2!$M$4:$N$12,2,0),0)</f>
        <v>5500</v>
      </c>
      <c r="K1665" s="5" t="str">
        <f t="shared" si="25"/>
        <v>within budget</v>
      </c>
    </row>
    <row r="1666" spans="1:11" x14ac:dyDescent="0.3">
      <c r="A1666" s="6">
        <v>45420</v>
      </c>
      <c r="B1666" s="5" t="s">
        <v>28</v>
      </c>
      <c r="C1666" s="5" t="s">
        <v>22</v>
      </c>
      <c r="D1666" s="5" t="s">
        <v>18</v>
      </c>
      <c r="E1666" s="5" t="s">
        <v>12</v>
      </c>
      <c r="F1666" s="5">
        <v>936</v>
      </c>
      <c r="G1666" s="5" t="str">
        <f>VLOOKUP(C1666,Sheet2!$C$3:$D$12,2,0)</f>
        <v>Variable</v>
      </c>
      <c r="H1666" s="5" t="str">
        <f>IFERROR(VLOOKUP(E1666,Sheet2!$G$3:$H$8,2,0),"unkwon")</f>
        <v>online</v>
      </c>
      <c r="I1666" s="5">
        <f>VLOOKUP(B1666,Sheet2!$J$4:$K$15,2,0)</f>
        <v>5</v>
      </c>
      <c r="J1666" s="5">
        <f>IFERROR(VLOOKUP(C1666,Sheet2!$M$4:$N$12,2,0),0)</f>
        <v>1000</v>
      </c>
      <c r="K1666" s="5" t="str">
        <f t="shared" si="25"/>
        <v>within budget</v>
      </c>
    </row>
    <row r="1667" spans="1:11" x14ac:dyDescent="0.3">
      <c r="A1667" s="6">
        <v>45148</v>
      </c>
      <c r="B1667" s="5" t="s">
        <v>25</v>
      </c>
      <c r="C1667" s="5" t="s">
        <v>13</v>
      </c>
      <c r="D1667" s="5" t="s">
        <v>34</v>
      </c>
      <c r="E1667" s="5" t="s">
        <v>17</v>
      </c>
      <c r="F1667" s="5">
        <v>521</v>
      </c>
      <c r="G1667" s="5" t="str">
        <f>VLOOKUP(C1667,Sheet2!$C$3:$D$12,2,0)</f>
        <v>Variable</v>
      </c>
      <c r="H1667" s="5" t="str">
        <f>IFERROR(VLOOKUP(E1667,Sheet2!$G$3:$H$8,2,0),"unkwon")</f>
        <v>online</v>
      </c>
      <c r="I1667" s="5">
        <f>VLOOKUP(B1667,Sheet2!$J$4:$K$15,2,0)</f>
        <v>8</v>
      </c>
      <c r="J1667" s="5">
        <f>IFERROR(VLOOKUP(C1667,Sheet2!$M$4:$N$12,2,0),0)</f>
        <v>5000</v>
      </c>
      <c r="K1667" s="5" t="str">
        <f t="shared" ref="K1667:K1730" si="26">IF(F1667&gt;J1667,"over budget","within budget")</f>
        <v>within budget</v>
      </c>
    </row>
    <row r="1668" spans="1:11" x14ac:dyDescent="0.3">
      <c r="A1668" s="6">
        <v>45044</v>
      </c>
      <c r="B1668" s="5" t="s">
        <v>29</v>
      </c>
      <c r="C1668" s="5" t="s">
        <v>22</v>
      </c>
      <c r="D1668" s="5" t="s">
        <v>34</v>
      </c>
      <c r="E1668" s="5" t="s">
        <v>12</v>
      </c>
      <c r="F1668" s="5">
        <v>1592</v>
      </c>
      <c r="G1668" s="5" t="str">
        <f>VLOOKUP(C1668,Sheet2!$C$3:$D$12,2,0)</f>
        <v>Variable</v>
      </c>
      <c r="H1668" s="5" t="str">
        <f>IFERROR(VLOOKUP(E1668,Sheet2!$G$3:$H$8,2,0),"unkwon")</f>
        <v>online</v>
      </c>
      <c r="I1668" s="5">
        <f>VLOOKUP(B1668,Sheet2!$J$4:$K$15,2,0)</f>
        <v>4</v>
      </c>
      <c r="J1668" s="5">
        <f>IFERROR(VLOOKUP(C1668,Sheet2!$M$4:$N$12,2,0),0)</f>
        <v>1000</v>
      </c>
      <c r="K1668" s="5" t="str">
        <f t="shared" si="26"/>
        <v>over budget</v>
      </c>
    </row>
    <row r="1669" spans="1:11" x14ac:dyDescent="0.3">
      <c r="A1669" s="6">
        <v>45353</v>
      </c>
      <c r="B1669" s="5" t="s">
        <v>19</v>
      </c>
      <c r="C1669" s="5" t="s">
        <v>13</v>
      </c>
      <c r="D1669" s="5" t="s">
        <v>14</v>
      </c>
      <c r="E1669" s="5" t="s">
        <v>17</v>
      </c>
      <c r="F1669" s="5">
        <v>3153</v>
      </c>
      <c r="G1669" s="5" t="str">
        <f>VLOOKUP(C1669,Sheet2!$C$3:$D$12,2,0)</f>
        <v>Variable</v>
      </c>
      <c r="H1669" s="5" t="str">
        <f>IFERROR(VLOOKUP(E1669,Sheet2!$G$3:$H$8,2,0),"unkwon")</f>
        <v>online</v>
      </c>
      <c r="I1669" s="5">
        <f>VLOOKUP(B1669,Sheet2!$J$4:$K$15,2,0)</f>
        <v>3</v>
      </c>
      <c r="J1669" s="5">
        <f>IFERROR(VLOOKUP(C1669,Sheet2!$M$4:$N$12,2,0),0)</f>
        <v>5000</v>
      </c>
      <c r="K1669" s="5" t="str">
        <f t="shared" si="26"/>
        <v>within budget</v>
      </c>
    </row>
    <row r="1670" spans="1:11" x14ac:dyDescent="0.3">
      <c r="A1670" s="6">
        <v>45171</v>
      </c>
      <c r="B1670" s="5" t="s">
        <v>38</v>
      </c>
      <c r="C1670" s="5" t="s">
        <v>30</v>
      </c>
      <c r="D1670" s="5" t="s">
        <v>18</v>
      </c>
      <c r="E1670" s="5" t="s">
        <v>9</v>
      </c>
      <c r="F1670" s="5">
        <v>1302</v>
      </c>
      <c r="G1670" s="5" t="str">
        <f>VLOOKUP(C1670,Sheet2!$C$3:$D$12,2,0)</f>
        <v>Fixed</v>
      </c>
      <c r="H1670" s="5" t="str">
        <f>IFERROR(VLOOKUP(E1670,Sheet2!$G$3:$H$8,2,0),"unkwon")</f>
        <v>online</v>
      </c>
      <c r="I1670" s="5">
        <f>VLOOKUP(B1670,Sheet2!$J$4:$K$15,2,0)</f>
        <v>9</v>
      </c>
      <c r="J1670" s="5">
        <f>IFERROR(VLOOKUP(C1670,Sheet2!$M$4:$N$12,2,0),0)</f>
        <v>3000</v>
      </c>
      <c r="K1670" s="5" t="str">
        <f t="shared" si="26"/>
        <v>within budget</v>
      </c>
    </row>
    <row r="1671" spans="1:11" x14ac:dyDescent="0.3">
      <c r="A1671" s="6">
        <v>45408</v>
      </c>
      <c r="B1671" s="5" t="s">
        <v>29</v>
      </c>
      <c r="C1671" s="5" t="s">
        <v>35</v>
      </c>
      <c r="D1671" s="5" t="s">
        <v>26</v>
      </c>
      <c r="E1671" s="5" t="s">
        <v>15</v>
      </c>
      <c r="F1671" s="5">
        <v>3547</v>
      </c>
      <c r="G1671" s="5" t="str">
        <f>VLOOKUP(C1671,Sheet2!$C$3:$D$12,2,0)</f>
        <v>Fixed</v>
      </c>
      <c r="H1671" s="5" t="str">
        <f>IFERROR(VLOOKUP(E1671,Sheet2!$G$3:$H$8,2,0),"unkwon")</f>
        <v>online</v>
      </c>
      <c r="I1671" s="5">
        <f>VLOOKUP(B1671,Sheet2!$J$4:$K$15,2,0)</f>
        <v>4</v>
      </c>
      <c r="J1671" s="5">
        <f>IFERROR(VLOOKUP(C1671,Sheet2!$M$4:$N$12,2,0),0)</f>
        <v>5500</v>
      </c>
      <c r="K1671" s="5" t="str">
        <f t="shared" si="26"/>
        <v>within budget</v>
      </c>
    </row>
    <row r="1672" spans="1:11" x14ac:dyDescent="0.3">
      <c r="A1672" s="6">
        <v>45406</v>
      </c>
      <c r="B1672" s="5" t="s">
        <v>29</v>
      </c>
      <c r="C1672" s="5" t="s">
        <v>41</v>
      </c>
      <c r="D1672" s="5" t="s">
        <v>31</v>
      </c>
      <c r="E1672" s="5" t="s">
        <v>17</v>
      </c>
      <c r="F1672" s="5">
        <v>2486</v>
      </c>
      <c r="G1672" s="5" t="str">
        <f>VLOOKUP(C1672,Sheet2!$C$3:$D$12,2,0)</f>
        <v>Variable</v>
      </c>
      <c r="H1672" s="5" t="str">
        <f>IFERROR(VLOOKUP(E1672,Sheet2!$G$3:$H$8,2,0),"unkwon")</f>
        <v>online</v>
      </c>
      <c r="I1672" s="5">
        <f>VLOOKUP(B1672,Sheet2!$J$4:$K$15,2,0)</f>
        <v>4</v>
      </c>
      <c r="J1672" s="5">
        <f>IFERROR(VLOOKUP(C1672,Sheet2!$M$4:$N$12,2,0),0)</f>
        <v>7000</v>
      </c>
      <c r="K1672" s="5" t="str">
        <f t="shared" si="26"/>
        <v>within budget</v>
      </c>
    </row>
    <row r="1673" spans="1:11" x14ac:dyDescent="0.3">
      <c r="A1673" s="6">
        <v>44994</v>
      </c>
      <c r="B1673" s="5" t="s">
        <v>19</v>
      </c>
      <c r="C1673" s="5" t="s">
        <v>7</v>
      </c>
      <c r="D1673" s="5" t="s">
        <v>11</v>
      </c>
      <c r="E1673" s="5" t="s">
        <v>32</v>
      </c>
      <c r="F1673" s="5">
        <v>1960</v>
      </c>
      <c r="G1673" s="5" t="str">
        <f>VLOOKUP(C1673,Sheet2!$C$3:$D$12,2,0)</f>
        <v>Fixed</v>
      </c>
      <c r="H1673" s="5" t="str">
        <f>IFERROR(VLOOKUP(E1673,Sheet2!$G$3:$H$8,2,0),"unkwon")</f>
        <v>offline</v>
      </c>
      <c r="I1673" s="5">
        <f>VLOOKUP(B1673,Sheet2!$J$4:$K$15,2,0)</f>
        <v>3</v>
      </c>
      <c r="J1673" s="5">
        <f>IFERROR(VLOOKUP(C1673,Sheet2!$M$4:$N$12,2,0),0)</f>
        <v>2000</v>
      </c>
      <c r="K1673" s="5" t="str">
        <f t="shared" si="26"/>
        <v>within budget</v>
      </c>
    </row>
    <row r="1674" spans="1:11" x14ac:dyDescent="0.3">
      <c r="A1674" s="6">
        <v>45304</v>
      </c>
      <c r="B1674" s="5" t="s">
        <v>37</v>
      </c>
      <c r="C1674" s="5" t="s">
        <v>7</v>
      </c>
      <c r="D1674" s="5" t="s">
        <v>14</v>
      </c>
      <c r="E1674" s="5" t="s">
        <v>9</v>
      </c>
      <c r="F1674" s="5">
        <v>1245</v>
      </c>
      <c r="G1674" s="5" t="str">
        <f>VLOOKUP(C1674,Sheet2!$C$3:$D$12,2,0)</f>
        <v>Fixed</v>
      </c>
      <c r="H1674" s="5" t="str">
        <f>IFERROR(VLOOKUP(E1674,Sheet2!$G$3:$H$8,2,0),"unkwon")</f>
        <v>online</v>
      </c>
      <c r="I1674" s="5">
        <f>VLOOKUP(B1674,Sheet2!$J$4:$K$15,2,0)</f>
        <v>1</v>
      </c>
      <c r="J1674" s="5">
        <f>IFERROR(VLOOKUP(C1674,Sheet2!$M$4:$N$12,2,0),0)</f>
        <v>2000</v>
      </c>
      <c r="K1674" s="5" t="str">
        <f t="shared" si="26"/>
        <v>within budget</v>
      </c>
    </row>
    <row r="1675" spans="1:11" x14ac:dyDescent="0.3">
      <c r="A1675" s="6">
        <v>45651</v>
      </c>
      <c r="B1675" s="5" t="s">
        <v>16</v>
      </c>
      <c r="C1675" s="5" t="s">
        <v>41</v>
      </c>
      <c r="D1675" s="5" t="s">
        <v>26</v>
      </c>
      <c r="E1675" s="5" t="s">
        <v>12</v>
      </c>
      <c r="F1675" s="5">
        <v>2727</v>
      </c>
      <c r="G1675" s="5" t="str">
        <f>VLOOKUP(C1675,Sheet2!$C$3:$D$12,2,0)</f>
        <v>Variable</v>
      </c>
      <c r="H1675" s="5" t="str">
        <f>IFERROR(VLOOKUP(E1675,Sheet2!$G$3:$H$8,2,0),"unkwon")</f>
        <v>online</v>
      </c>
      <c r="I1675" s="5">
        <f>VLOOKUP(B1675,Sheet2!$J$4:$K$15,2,0)</f>
        <v>12</v>
      </c>
      <c r="J1675" s="5">
        <f>IFERROR(VLOOKUP(C1675,Sheet2!$M$4:$N$12,2,0),0)</f>
        <v>7000</v>
      </c>
      <c r="K1675" s="5" t="str">
        <f t="shared" si="26"/>
        <v>within budget</v>
      </c>
    </row>
    <row r="1676" spans="1:11" x14ac:dyDescent="0.3">
      <c r="A1676" s="6">
        <v>45168</v>
      </c>
      <c r="B1676" s="5" t="s">
        <v>25</v>
      </c>
      <c r="C1676" s="5" t="s">
        <v>41</v>
      </c>
      <c r="D1676" s="5" t="s">
        <v>8</v>
      </c>
      <c r="E1676" s="5" t="s">
        <v>32</v>
      </c>
      <c r="F1676" s="5">
        <v>3911</v>
      </c>
      <c r="G1676" s="5" t="str">
        <f>VLOOKUP(C1676,Sheet2!$C$3:$D$12,2,0)</f>
        <v>Variable</v>
      </c>
      <c r="H1676" s="5" t="str">
        <f>IFERROR(VLOOKUP(E1676,Sheet2!$G$3:$H$8,2,0),"unkwon")</f>
        <v>offline</v>
      </c>
      <c r="I1676" s="5">
        <f>VLOOKUP(B1676,Sheet2!$J$4:$K$15,2,0)</f>
        <v>8</v>
      </c>
      <c r="J1676" s="5">
        <f>IFERROR(VLOOKUP(C1676,Sheet2!$M$4:$N$12,2,0),0)</f>
        <v>7000</v>
      </c>
      <c r="K1676" s="5" t="str">
        <f t="shared" si="26"/>
        <v>within budget</v>
      </c>
    </row>
    <row r="1677" spans="1:11" x14ac:dyDescent="0.3">
      <c r="A1677" s="6">
        <v>44970</v>
      </c>
      <c r="B1677" s="5" t="s">
        <v>33</v>
      </c>
      <c r="C1677" s="5" t="s">
        <v>35</v>
      </c>
      <c r="D1677" s="5" t="s">
        <v>11</v>
      </c>
      <c r="E1677" s="5" t="s">
        <v>32</v>
      </c>
      <c r="F1677" s="5">
        <v>4848</v>
      </c>
      <c r="G1677" s="5" t="str">
        <f>VLOOKUP(C1677,Sheet2!$C$3:$D$12,2,0)</f>
        <v>Fixed</v>
      </c>
      <c r="H1677" s="5" t="str">
        <f>IFERROR(VLOOKUP(E1677,Sheet2!$G$3:$H$8,2,0),"unkwon")</f>
        <v>offline</v>
      </c>
      <c r="I1677" s="5">
        <f>VLOOKUP(B1677,Sheet2!$J$4:$K$15,2,0)</f>
        <v>2</v>
      </c>
      <c r="J1677" s="5">
        <f>IFERROR(VLOOKUP(C1677,Sheet2!$M$4:$N$12,2,0),0)</f>
        <v>5500</v>
      </c>
      <c r="K1677" s="5" t="str">
        <f t="shared" si="26"/>
        <v>within budget</v>
      </c>
    </row>
    <row r="1678" spans="1:11" x14ac:dyDescent="0.3">
      <c r="A1678" s="6">
        <v>45585</v>
      </c>
      <c r="B1678" s="5" t="s">
        <v>6</v>
      </c>
      <c r="C1678" s="5" t="s">
        <v>13</v>
      </c>
      <c r="D1678" s="5" t="s">
        <v>26</v>
      </c>
      <c r="E1678" s="5" t="s">
        <v>17</v>
      </c>
      <c r="F1678" s="5">
        <v>2462</v>
      </c>
      <c r="G1678" s="5" t="str">
        <f>VLOOKUP(C1678,Sheet2!$C$3:$D$12,2,0)</f>
        <v>Variable</v>
      </c>
      <c r="H1678" s="5" t="str">
        <f>IFERROR(VLOOKUP(E1678,Sheet2!$G$3:$H$8,2,0),"unkwon")</f>
        <v>online</v>
      </c>
      <c r="I1678" s="5">
        <f>VLOOKUP(B1678,Sheet2!$J$4:$K$15,2,0)</f>
        <v>10</v>
      </c>
      <c r="J1678" s="5">
        <f>IFERROR(VLOOKUP(C1678,Sheet2!$M$4:$N$12,2,0),0)</f>
        <v>5000</v>
      </c>
      <c r="K1678" s="5" t="str">
        <f t="shared" si="26"/>
        <v>within budget</v>
      </c>
    </row>
    <row r="1679" spans="1:11" x14ac:dyDescent="0.3">
      <c r="A1679" s="6">
        <v>45254</v>
      </c>
      <c r="B1679" s="5" t="s">
        <v>40</v>
      </c>
      <c r="C1679" s="5" t="s">
        <v>36</v>
      </c>
      <c r="D1679" s="5" t="s">
        <v>31</v>
      </c>
      <c r="E1679" s="5" t="s">
        <v>15</v>
      </c>
      <c r="F1679" s="5">
        <v>4775</v>
      </c>
      <c r="G1679" s="5" t="str">
        <f>VLOOKUP(C1679,Sheet2!$C$3:$D$12,2,0)</f>
        <v>Variable</v>
      </c>
      <c r="H1679" s="5" t="str">
        <f>IFERROR(VLOOKUP(E1679,Sheet2!$G$3:$H$8,2,0),"unkwon")</f>
        <v>online</v>
      </c>
      <c r="I1679" s="5">
        <f>VLOOKUP(B1679,Sheet2!$J$4:$K$15,2,0)</f>
        <v>11</v>
      </c>
      <c r="J1679" s="5">
        <f>IFERROR(VLOOKUP(C1679,Sheet2!$M$4:$N$12,2,0),0)</f>
        <v>10000</v>
      </c>
      <c r="K1679" s="5" t="str">
        <f t="shared" si="26"/>
        <v>within budget</v>
      </c>
    </row>
    <row r="1680" spans="1:11" x14ac:dyDescent="0.3">
      <c r="A1680" s="6">
        <v>45608</v>
      </c>
      <c r="B1680" s="5" t="s">
        <v>40</v>
      </c>
      <c r="C1680" s="5" t="s">
        <v>35</v>
      </c>
      <c r="D1680" s="5" t="s">
        <v>34</v>
      </c>
      <c r="E1680" s="5" t="s">
        <v>12</v>
      </c>
      <c r="F1680" s="5">
        <v>4146</v>
      </c>
      <c r="G1680" s="5" t="str">
        <f>VLOOKUP(C1680,Sheet2!$C$3:$D$12,2,0)</f>
        <v>Fixed</v>
      </c>
      <c r="H1680" s="5" t="str">
        <f>IFERROR(VLOOKUP(E1680,Sheet2!$G$3:$H$8,2,0),"unkwon")</f>
        <v>online</v>
      </c>
      <c r="I1680" s="5">
        <f>VLOOKUP(B1680,Sheet2!$J$4:$K$15,2,0)</f>
        <v>11</v>
      </c>
      <c r="J1680" s="5">
        <f>IFERROR(VLOOKUP(C1680,Sheet2!$M$4:$N$12,2,0),0)</f>
        <v>5500</v>
      </c>
      <c r="K1680" s="5" t="str">
        <f t="shared" si="26"/>
        <v>within budget</v>
      </c>
    </row>
    <row r="1681" spans="1:11" x14ac:dyDescent="0.3">
      <c r="A1681" s="6">
        <v>45411</v>
      </c>
      <c r="B1681" s="5" t="s">
        <v>29</v>
      </c>
      <c r="C1681" s="5" t="s">
        <v>7</v>
      </c>
      <c r="D1681" s="5" t="s">
        <v>34</v>
      </c>
      <c r="E1681" s="5" t="s">
        <v>12</v>
      </c>
      <c r="F1681" s="5">
        <v>2077</v>
      </c>
      <c r="G1681" s="5" t="str">
        <f>VLOOKUP(C1681,Sheet2!$C$3:$D$12,2,0)</f>
        <v>Fixed</v>
      </c>
      <c r="H1681" s="5" t="str">
        <f>IFERROR(VLOOKUP(E1681,Sheet2!$G$3:$H$8,2,0),"unkwon")</f>
        <v>online</v>
      </c>
      <c r="I1681" s="5">
        <f>VLOOKUP(B1681,Sheet2!$J$4:$K$15,2,0)</f>
        <v>4</v>
      </c>
      <c r="J1681" s="5">
        <f>IFERROR(VLOOKUP(C1681,Sheet2!$M$4:$N$12,2,0),0)</f>
        <v>2000</v>
      </c>
      <c r="K1681" s="5" t="str">
        <f t="shared" si="26"/>
        <v>over budget</v>
      </c>
    </row>
    <row r="1682" spans="1:11" x14ac:dyDescent="0.3">
      <c r="A1682" s="6">
        <v>45393</v>
      </c>
      <c r="B1682" s="5" t="s">
        <v>29</v>
      </c>
      <c r="C1682" s="5" t="s">
        <v>41</v>
      </c>
      <c r="D1682" s="5" t="s">
        <v>11</v>
      </c>
      <c r="E1682" s="5" t="s">
        <v>12</v>
      </c>
      <c r="F1682" s="5">
        <v>2469</v>
      </c>
      <c r="G1682" s="5" t="str">
        <f>VLOOKUP(C1682,Sheet2!$C$3:$D$12,2,0)</f>
        <v>Variable</v>
      </c>
      <c r="H1682" s="5" t="str">
        <f>IFERROR(VLOOKUP(E1682,Sheet2!$G$3:$H$8,2,0),"unkwon")</f>
        <v>online</v>
      </c>
      <c r="I1682" s="5">
        <f>VLOOKUP(B1682,Sheet2!$J$4:$K$15,2,0)</f>
        <v>4</v>
      </c>
      <c r="J1682" s="5">
        <f>IFERROR(VLOOKUP(C1682,Sheet2!$M$4:$N$12,2,0),0)</f>
        <v>7000</v>
      </c>
      <c r="K1682" s="5" t="str">
        <f t="shared" si="26"/>
        <v>within budget</v>
      </c>
    </row>
    <row r="1683" spans="1:11" x14ac:dyDescent="0.3">
      <c r="A1683" s="6">
        <v>45139</v>
      </c>
      <c r="B1683" s="5" t="s">
        <v>25</v>
      </c>
      <c r="C1683" s="5" t="s">
        <v>13</v>
      </c>
      <c r="D1683" s="5" t="s">
        <v>31</v>
      </c>
      <c r="E1683" s="5" t="s">
        <v>15</v>
      </c>
      <c r="F1683" s="5">
        <v>2202</v>
      </c>
      <c r="G1683" s="5" t="str">
        <f>VLOOKUP(C1683,Sheet2!$C$3:$D$12,2,0)</f>
        <v>Variable</v>
      </c>
      <c r="H1683" s="5" t="str">
        <f>IFERROR(VLOOKUP(E1683,Sheet2!$G$3:$H$8,2,0),"unkwon")</f>
        <v>online</v>
      </c>
      <c r="I1683" s="5">
        <f>VLOOKUP(B1683,Sheet2!$J$4:$K$15,2,0)</f>
        <v>8</v>
      </c>
      <c r="J1683" s="5">
        <f>IFERROR(VLOOKUP(C1683,Sheet2!$M$4:$N$12,2,0),0)</f>
        <v>5000</v>
      </c>
      <c r="K1683" s="5" t="str">
        <f t="shared" si="26"/>
        <v>within budget</v>
      </c>
    </row>
    <row r="1684" spans="1:11" x14ac:dyDescent="0.3">
      <c r="A1684" s="6">
        <v>45622</v>
      </c>
      <c r="B1684" s="5" t="s">
        <v>40</v>
      </c>
      <c r="C1684" s="5" t="s">
        <v>35</v>
      </c>
      <c r="D1684" s="5" t="s">
        <v>11</v>
      </c>
      <c r="E1684" s="5" t="s">
        <v>32</v>
      </c>
      <c r="F1684" s="5">
        <v>2735</v>
      </c>
      <c r="G1684" s="5" t="str">
        <f>VLOOKUP(C1684,Sheet2!$C$3:$D$12,2,0)</f>
        <v>Fixed</v>
      </c>
      <c r="H1684" s="5" t="str">
        <f>IFERROR(VLOOKUP(E1684,Sheet2!$G$3:$H$8,2,0),"unkwon")</f>
        <v>offline</v>
      </c>
      <c r="I1684" s="5">
        <f>VLOOKUP(B1684,Sheet2!$J$4:$K$15,2,0)</f>
        <v>11</v>
      </c>
      <c r="J1684" s="5">
        <f>IFERROR(VLOOKUP(C1684,Sheet2!$M$4:$N$12,2,0),0)</f>
        <v>5500</v>
      </c>
      <c r="K1684" s="5" t="str">
        <f t="shared" si="26"/>
        <v>within budget</v>
      </c>
    </row>
    <row r="1685" spans="1:11" x14ac:dyDescent="0.3">
      <c r="A1685" s="6">
        <v>45308</v>
      </c>
      <c r="B1685" s="5" t="s">
        <v>37</v>
      </c>
      <c r="C1685" s="5" t="s">
        <v>13</v>
      </c>
      <c r="D1685" s="5" t="s">
        <v>18</v>
      </c>
      <c r="E1685" s="5" t="s">
        <v>32</v>
      </c>
      <c r="F1685" s="5">
        <v>4278</v>
      </c>
      <c r="G1685" s="5" t="str">
        <f>VLOOKUP(C1685,Sheet2!$C$3:$D$12,2,0)</f>
        <v>Variable</v>
      </c>
      <c r="H1685" s="5" t="str">
        <f>IFERROR(VLOOKUP(E1685,Sheet2!$G$3:$H$8,2,0),"unkwon")</f>
        <v>offline</v>
      </c>
      <c r="I1685" s="5">
        <f>VLOOKUP(B1685,Sheet2!$J$4:$K$15,2,0)</f>
        <v>1</v>
      </c>
      <c r="J1685" s="5">
        <f>IFERROR(VLOOKUP(C1685,Sheet2!$M$4:$N$12,2,0),0)</f>
        <v>5000</v>
      </c>
      <c r="K1685" s="5" t="str">
        <f t="shared" si="26"/>
        <v>within budget</v>
      </c>
    </row>
    <row r="1686" spans="1:11" x14ac:dyDescent="0.3">
      <c r="A1686" s="6">
        <v>45038</v>
      </c>
      <c r="B1686" s="5" t="s">
        <v>29</v>
      </c>
      <c r="C1686" s="5" t="s">
        <v>41</v>
      </c>
      <c r="D1686" s="5" t="s">
        <v>14</v>
      </c>
      <c r="E1686" s="5" t="s">
        <v>12</v>
      </c>
      <c r="F1686" s="5">
        <v>3393</v>
      </c>
      <c r="G1686" s="5" t="str">
        <f>VLOOKUP(C1686,Sheet2!$C$3:$D$12,2,0)</f>
        <v>Variable</v>
      </c>
      <c r="H1686" s="5" t="str">
        <f>IFERROR(VLOOKUP(E1686,Sheet2!$G$3:$H$8,2,0),"unkwon")</f>
        <v>online</v>
      </c>
      <c r="I1686" s="5">
        <f>VLOOKUP(B1686,Sheet2!$J$4:$K$15,2,0)</f>
        <v>4</v>
      </c>
      <c r="J1686" s="5">
        <f>IFERROR(VLOOKUP(C1686,Sheet2!$M$4:$N$12,2,0),0)</f>
        <v>7000</v>
      </c>
      <c r="K1686" s="5" t="str">
        <f t="shared" si="26"/>
        <v>within budget</v>
      </c>
    </row>
    <row r="1687" spans="1:11" x14ac:dyDescent="0.3">
      <c r="A1687" s="6">
        <v>45649</v>
      </c>
      <c r="B1687" s="5" t="s">
        <v>16</v>
      </c>
      <c r="C1687" s="5" t="s">
        <v>10</v>
      </c>
      <c r="D1687" s="5" t="s">
        <v>8</v>
      </c>
      <c r="E1687" s="5" t="s">
        <v>15</v>
      </c>
      <c r="F1687" s="5">
        <v>699</v>
      </c>
      <c r="G1687" s="5" t="str">
        <f>VLOOKUP(C1687,Sheet2!$C$3:$D$12,2,0)</f>
        <v>Variable</v>
      </c>
      <c r="H1687" s="5" t="str">
        <f>IFERROR(VLOOKUP(E1687,Sheet2!$G$3:$H$8,2,0),"unkwon")</f>
        <v>online</v>
      </c>
      <c r="I1687" s="5">
        <f>VLOOKUP(B1687,Sheet2!$J$4:$K$15,2,0)</f>
        <v>12</v>
      </c>
      <c r="J1687" s="5">
        <f>IFERROR(VLOOKUP(C1687,Sheet2!$M$4:$N$12,2,0),0)</f>
        <v>5000</v>
      </c>
      <c r="K1687" s="5" t="str">
        <f t="shared" si="26"/>
        <v>within budget</v>
      </c>
    </row>
    <row r="1688" spans="1:11" x14ac:dyDescent="0.3">
      <c r="A1688" s="6">
        <v>45008</v>
      </c>
      <c r="B1688" s="5" t="s">
        <v>19</v>
      </c>
      <c r="C1688" s="5" t="s">
        <v>36</v>
      </c>
      <c r="D1688" s="5" t="s">
        <v>11</v>
      </c>
      <c r="E1688" s="5" t="s">
        <v>32</v>
      </c>
      <c r="F1688" s="5">
        <v>450</v>
      </c>
      <c r="G1688" s="5" t="str">
        <f>VLOOKUP(C1688,Sheet2!$C$3:$D$12,2,0)</f>
        <v>Variable</v>
      </c>
      <c r="H1688" s="5" t="str">
        <f>IFERROR(VLOOKUP(E1688,Sheet2!$G$3:$H$8,2,0),"unkwon")</f>
        <v>offline</v>
      </c>
      <c r="I1688" s="5">
        <f>VLOOKUP(B1688,Sheet2!$J$4:$K$15,2,0)</f>
        <v>3</v>
      </c>
      <c r="J1688" s="5">
        <f>IFERROR(VLOOKUP(C1688,Sheet2!$M$4:$N$12,2,0),0)</f>
        <v>10000</v>
      </c>
      <c r="K1688" s="5" t="str">
        <f t="shared" si="26"/>
        <v>within budget</v>
      </c>
    </row>
    <row r="1689" spans="1:11" x14ac:dyDescent="0.3">
      <c r="A1689" s="6">
        <v>45336</v>
      </c>
      <c r="B1689" s="5" t="s">
        <v>33</v>
      </c>
      <c r="C1689" s="5" t="s">
        <v>35</v>
      </c>
      <c r="D1689" s="5" t="s">
        <v>14</v>
      </c>
      <c r="E1689" s="5" t="s">
        <v>32</v>
      </c>
      <c r="F1689" s="5">
        <v>3531</v>
      </c>
      <c r="G1689" s="5" t="str">
        <f>VLOOKUP(C1689,Sheet2!$C$3:$D$12,2,0)</f>
        <v>Fixed</v>
      </c>
      <c r="H1689" s="5" t="str">
        <f>IFERROR(VLOOKUP(E1689,Sheet2!$G$3:$H$8,2,0),"unkwon")</f>
        <v>offline</v>
      </c>
      <c r="I1689" s="5">
        <f>VLOOKUP(B1689,Sheet2!$J$4:$K$15,2,0)</f>
        <v>2</v>
      </c>
      <c r="J1689" s="5">
        <f>IFERROR(VLOOKUP(C1689,Sheet2!$M$4:$N$12,2,0),0)</f>
        <v>5500</v>
      </c>
      <c r="K1689" s="5" t="str">
        <f t="shared" si="26"/>
        <v>within budget</v>
      </c>
    </row>
    <row r="1690" spans="1:11" x14ac:dyDescent="0.3">
      <c r="A1690" s="6">
        <v>45142</v>
      </c>
      <c r="B1690" s="5" t="s">
        <v>25</v>
      </c>
      <c r="C1690" s="5" t="s">
        <v>13</v>
      </c>
      <c r="D1690" s="5" t="s">
        <v>24</v>
      </c>
      <c r="E1690" s="5" t="s">
        <v>17</v>
      </c>
      <c r="F1690" s="5">
        <v>1334</v>
      </c>
      <c r="G1690" s="5" t="str">
        <f>VLOOKUP(C1690,Sheet2!$C$3:$D$12,2,0)</f>
        <v>Variable</v>
      </c>
      <c r="H1690" s="5" t="str">
        <f>IFERROR(VLOOKUP(E1690,Sheet2!$G$3:$H$8,2,0),"unkwon")</f>
        <v>online</v>
      </c>
      <c r="I1690" s="5">
        <f>VLOOKUP(B1690,Sheet2!$J$4:$K$15,2,0)</f>
        <v>8</v>
      </c>
      <c r="J1690" s="5">
        <f>IFERROR(VLOOKUP(C1690,Sheet2!$M$4:$N$12,2,0),0)</f>
        <v>5000</v>
      </c>
      <c r="K1690" s="5" t="str">
        <f t="shared" si="26"/>
        <v>within budget</v>
      </c>
    </row>
    <row r="1691" spans="1:11" x14ac:dyDescent="0.3">
      <c r="A1691" s="6">
        <v>45470</v>
      </c>
      <c r="B1691" s="5" t="s">
        <v>39</v>
      </c>
      <c r="C1691" s="5" t="s">
        <v>10</v>
      </c>
      <c r="D1691" s="5" t="s">
        <v>31</v>
      </c>
      <c r="E1691" s="5" t="s">
        <v>15</v>
      </c>
      <c r="F1691" s="5">
        <v>4538</v>
      </c>
      <c r="G1691" s="5" t="str">
        <f>VLOOKUP(C1691,Sheet2!$C$3:$D$12,2,0)</f>
        <v>Variable</v>
      </c>
      <c r="H1691" s="5" t="str">
        <f>IFERROR(VLOOKUP(E1691,Sheet2!$G$3:$H$8,2,0),"unkwon")</f>
        <v>online</v>
      </c>
      <c r="I1691" s="5">
        <f>VLOOKUP(B1691,Sheet2!$J$4:$K$15,2,0)</f>
        <v>6</v>
      </c>
      <c r="J1691" s="5">
        <f>IFERROR(VLOOKUP(C1691,Sheet2!$M$4:$N$12,2,0),0)</f>
        <v>5000</v>
      </c>
      <c r="K1691" s="5" t="str">
        <f t="shared" si="26"/>
        <v>within budget</v>
      </c>
    </row>
    <row r="1692" spans="1:11" x14ac:dyDescent="0.3">
      <c r="A1692" s="6">
        <v>45243</v>
      </c>
      <c r="B1692" s="5" t="s">
        <v>40</v>
      </c>
      <c r="C1692" s="5" t="s">
        <v>36</v>
      </c>
      <c r="D1692" s="5" t="s">
        <v>31</v>
      </c>
      <c r="E1692" s="5" t="s">
        <v>32</v>
      </c>
      <c r="F1692" s="5">
        <v>2361</v>
      </c>
      <c r="G1692" s="5" t="str">
        <f>VLOOKUP(C1692,Sheet2!$C$3:$D$12,2,0)</f>
        <v>Variable</v>
      </c>
      <c r="H1692" s="5" t="str">
        <f>IFERROR(VLOOKUP(E1692,Sheet2!$G$3:$H$8,2,0),"unkwon")</f>
        <v>offline</v>
      </c>
      <c r="I1692" s="5">
        <f>VLOOKUP(B1692,Sheet2!$J$4:$K$15,2,0)</f>
        <v>11</v>
      </c>
      <c r="J1692" s="5">
        <f>IFERROR(VLOOKUP(C1692,Sheet2!$M$4:$N$12,2,0),0)</f>
        <v>10000</v>
      </c>
      <c r="K1692" s="5" t="str">
        <f t="shared" si="26"/>
        <v>within budget</v>
      </c>
    </row>
    <row r="1693" spans="1:11" x14ac:dyDescent="0.3">
      <c r="A1693" s="6">
        <v>45025</v>
      </c>
      <c r="B1693" s="5" t="s">
        <v>29</v>
      </c>
      <c r="C1693" s="5" t="s">
        <v>35</v>
      </c>
      <c r="D1693" s="5" t="s">
        <v>14</v>
      </c>
      <c r="E1693" s="5" t="s">
        <v>32</v>
      </c>
      <c r="F1693" s="5">
        <v>3355</v>
      </c>
      <c r="G1693" s="5" t="str">
        <f>VLOOKUP(C1693,Sheet2!$C$3:$D$12,2,0)</f>
        <v>Fixed</v>
      </c>
      <c r="H1693" s="5" t="str">
        <f>IFERROR(VLOOKUP(E1693,Sheet2!$G$3:$H$8,2,0),"unkwon")</f>
        <v>offline</v>
      </c>
      <c r="I1693" s="5">
        <f>VLOOKUP(B1693,Sheet2!$J$4:$K$15,2,0)</f>
        <v>4</v>
      </c>
      <c r="J1693" s="5">
        <f>IFERROR(VLOOKUP(C1693,Sheet2!$M$4:$N$12,2,0),0)</f>
        <v>5500</v>
      </c>
      <c r="K1693" s="5" t="str">
        <f t="shared" si="26"/>
        <v>within budget</v>
      </c>
    </row>
    <row r="1694" spans="1:11" x14ac:dyDescent="0.3">
      <c r="A1694" s="6">
        <v>45372</v>
      </c>
      <c r="B1694" s="5" t="s">
        <v>19</v>
      </c>
      <c r="C1694" s="5" t="s">
        <v>10</v>
      </c>
      <c r="D1694" s="5" t="s">
        <v>23</v>
      </c>
      <c r="E1694" s="5" t="s">
        <v>15</v>
      </c>
      <c r="F1694" s="5">
        <v>2677</v>
      </c>
      <c r="G1694" s="5" t="str">
        <f>VLOOKUP(C1694,Sheet2!$C$3:$D$12,2,0)</f>
        <v>Variable</v>
      </c>
      <c r="H1694" s="5" t="str">
        <f>IFERROR(VLOOKUP(E1694,Sheet2!$G$3:$H$8,2,0),"unkwon")</f>
        <v>online</v>
      </c>
      <c r="I1694" s="5">
        <f>VLOOKUP(B1694,Sheet2!$J$4:$K$15,2,0)</f>
        <v>3</v>
      </c>
      <c r="J1694" s="5">
        <f>IFERROR(VLOOKUP(C1694,Sheet2!$M$4:$N$12,2,0),0)</f>
        <v>5000</v>
      </c>
      <c r="K1694" s="5" t="str">
        <f t="shared" si="26"/>
        <v>within budget</v>
      </c>
    </row>
    <row r="1695" spans="1:11" x14ac:dyDescent="0.3">
      <c r="A1695" s="6">
        <v>45605</v>
      </c>
      <c r="B1695" s="5" t="s">
        <v>40</v>
      </c>
      <c r="C1695" s="5" t="s">
        <v>36</v>
      </c>
      <c r="D1695" s="5" t="s">
        <v>34</v>
      </c>
      <c r="E1695" s="5" t="s">
        <v>9</v>
      </c>
      <c r="F1695" s="5">
        <v>536</v>
      </c>
      <c r="G1695" s="5" t="str">
        <f>VLOOKUP(C1695,Sheet2!$C$3:$D$12,2,0)</f>
        <v>Variable</v>
      </c>
      <c r="H1695" s="5" t="str">
        <f>IFERROR(VLOOKUP(E1695,Sheet2!$G$3:$H$8,2,0),"unkwon")</f>
        <v>online</v>
      </c>
      <c r="I1695" s="5">
        <f>VLOOKUP(B1695,Sheet2!$J$4:$K$15,2,0)</f>
        <v>11</v>
      </c>
      <c r="J1695" s="5">
        <f>IFERROR(VLOOKUP(C1695,Sheet2!$M$4:$N$12,2,0),0)</f>
        <v>10000</v>
      </c>
      <c r="K1695" s="5" t="str">
        <f t="shared" si="26"/>
        <v>within budget</v>
      </c>
    </row>
    <row r="1696" spans="1:11" x14ac:dyDescent="0.3">
      <c r="A1696" s="6">
        <v>45609</v>
      </c>
      <c r="B1696" s="5" t="s">
        <v>40</v>
      </c>
      <c r="C1696" s="5" t="s">
        <v>30</v>
      </c>
      <c r="D1696" s="5" t="s">
        <v>8</v>
      </c>
      <c r="E1696" s="5" t="s">
        <v>9</v>
      </c>
      <c r="F1696" s="5">
        <v>554</v>
      </c>
      <c r="G1696" s="5" t="str">
        <f>VLOOKUP(C1696,Sheet2!$C$3:$D$12,2,0)</f>
        <v>Fixed</v>
      </c>
      <c r="H1696" s="5" t="str">
        <f>IFERROR(VLOOKUP(E1696,Sheet2!$G$3:$H$8,2,0),"unkwon")</f>
        <v>online</v>
      </c>
      <c r="I1696" s="5">
        <f>VLOOKUP(B1696,Sheet2!$J$4:$K$15,2,0)</f>
        <v>11</v>
      </c>
      <c r="J1696" s="5">
        <f>IFERROR(VLOOKUP(C1696,Sheet2!$M$4:$N$12,2,0),0)</f>
        <v>3000</v>
      </c>
      <c r="K1696" s="5" t="str">
        <f t="shared" si="26"/>
        <v>within budget</v>
      </c>
    </row>
    <row r="1697" spans="1:11" x14ac:dyDescent="0.3">
      <c r="A1697" s="6">
        <v>45458</v>
      </c>
      <c r="B1697" s="5" t="s">
        <v>39</v>
      </c>
      <c r="C1697" s="5" t="s">
        <v>22</v>
      </c>
      <c r="D1697" s="5" t="s">
        <v>11</v>
      </c>
      <c r="E1697" s="5" t="s">
        <v>12</v>
      </c>
      <c r="F1697" s="5">
        <v>4436</v>
      </c>
      <c r="G1697" s="5" t="str">
        <f>VLOOKUP(C1697,Sheet2!$C$3:$D$12,2,0)</f>
        <v>Variable</v>
      </c>
      <c r="H1697" s="5" t="str">
        <f>IFERROR(VLOOKUP(E1697,Sheet2!$G$3:$H$8,2,0),"unkwon")</f>
        <v>online</v>
      </c>
      <c r="I1697" s="5">
        <f>VLOOKUP(B1697,Sheet2!$J$4:$K$15,2,0)</f>
        <v>6</v>
      </c>
      <c r="J1697" s="5">
        <f>IFERROR(VLOOKUP(C1697,Sheet2!$M$4:$N$12,2,0),0)</f>
        <v>1000</v>
      </c>
      <c r="K1697" s="5" t="str">
        <f t="shared" si="26"/>
        <v>over budget</v>
      </c>
    </row>
    <row r="1698" spans="1:11" x14ac:dyDescent="0.3">
      <c r="A1698" s="6">
        <v>45307</v>
      </c>
      <c r="B1698" s="5" t="s">
        <v>37</v>
      </c>
      <c r="C1698" s="5" t="s">
        <v>22</v>
      </c>
      <c r="D1698" s="5" t="s">
        <v>8</v>
      </c>
      <c r="E1698" s="5" t="s">
        <v>15</v>
      </c>
      <c r="F1698" s="5">
        <v>4135</v>
      </c>
      <c r="G1698" s="5" t="str">
        <f>VLOOKUP(C1698,Sheet2!$C$3:$D$12,2,0)</f>
        <v>Variable</v>
      </c>
      <c r="H1698" s="5" t="str">
        <f>IFERROR(VLOOKUP(E1698,Sheet2!$G$3:$H$8,2,0),"unkwon")</f>
        <v>online</v>
      </c>
      <c r="I1698" s="5">
        <f>VLOOKUP(B1698,Sheet2!$J$4:$K$15,2,0)</f>
        <v>1</v>
      </c>
      <c r="J1698" s="5">
        <f>IFERROR(VLOOKUP(C1698,Sheet2!$M$4:$N$12,2,0),0)</f>
        <v>1000</v>
      </c>
      <c r="K1698" s="5" t="str">
        <f t="shared" si="26"/>
        <v>over budget</v>
      </c>
    </row>
    <row r="1699" spans="1:11" x14ac:dyDescent="0.3">
      <c r="A1699" s="6">
        <v>45198</v>
      </c>
      <c r="B1699" s="5" t="s">
        <v>38</v>
      </c>
      <c r="C1699" s="5" t="s">
        <v>36</v>
      </c>
      <c r="D1699" s="5" t="s">
        <v>23</v>
      </c>
      <c r="E1699" s="5" t="s">
        <v>9</v>
      </c>
      <c r="F1699" s="5">
        <v>4225</v>
      </c>
      <c r="G1699" s="5" t="str">
        <f>VLOOKUP(C1699,Sheet2!$C$3:$D$12,2,0)</f>
        <v>Variable</v>
      </c>
      <c r="H1699" s="5" t="str">
        <f>IFERROR(VLOOKUP(E1699,Sheet2!$G$3:$H$8,2,0),"unkwon")</f>
        <v>online</v>
      </c>
      <c r="I1699" s="5">
        <f>VLOOKUP(B1699,Sheet2!$J$4:$K$15,2,0)</f>
        <v>9</v>
      </c>
      <c r="J1699" s="5">
        <f>IFERROR(VLOOKUP(C1699,Sheet2!$M$4:$N$12,2,0),0)</f>
        <v>10000</v>
      </c>
      <c r="K1699" s="5" t="str">
        <f t="shared" si="26"/>
        <v>within budget</v>
      </c>
    </row>
    <row r="1700" spans="1:11" x14ac:dyDescent="0.3">
      <c r="A1700" s="6">
        <v>45112</v>
      </c>
      <c r="B1700" s="5" t="s">
        <v>21</v>
      </c>
      <c r="C1700" s="5" t="s">
        <v>22</v>
      </c>
      <c r="D1700" s="5" t="s">
        <v>31</v>
      </c>
      <c r="E1700" s="5" t="s">
        <v>32</v>
      </c>
      <c r="F1700" s="5">
        <v>370</v>
      </c>
      <c r="G1700" s="5" t="str">
        <f>VLOOKUP(C1700,Sheet2!$C$3:$D$12,2,0)</f>
        <v>Variable</v>
      </c>
      <c r="H1700" s="5" t="str">
        <f>IFERROR(VLOOKUP(E1700,Sheet2!$G$3:$H$8,2,0),"unkwon")</f>
        <v>offline</v>
      </c>
      <c r="I1700" s="5">
        <f>VLOOKUP(B1700,Sheet2!$J$4:$K$15,2,0)</f>
        <v>7</v>
      </c>
      <c r="J1700" s="5">
        <f>IFERROR(VLOOKUP(C1700,Sheet2!$M$4:$N$12,2,0),0)</f>
        <v>1000</v>
      </c>
      <c r="K1700" s="5" t="str">
        <f t="shared" si="26"/>
        <v>within budget</v>
      </c>
    </row>
    <row r="1701" spans="1:11" x14ac:dyDescent="0.3">
      <c r="A1701" s="6">
        <v>45333</v>
      </c>
      <c r="B1701" s="5" t="s">
        <v>33</v>
      </c>
      <c r="C1701" s="5" t="s">
        <v>10</v>
      </c>
      <c r="D1701" s="5" t="s">
        <v>26</v>
      </c>
      <c r="E1701" s="5" t="s">
        <v>32</v>
      </c>
      <c r="F1701" s="5">
        <v>649</v>
      </c>
      <c r="G1701" s="5" t="str">
        <f>VLOOKUP(C1701,Sheet2!$C$3:$D$12,2,0)</f>
        <v>Variable</v>
      </c>
      <c r="H1701" s="5" t="str">
        <f>IFERROR(VLOOKUP(E1701,Sheet2!$G$3:$H$8,2,0),"unkwon")</f>
        <v>offline</v>
      </c>
      <c r="I1701" s="5">
        <f>VLOOKUP(B1701,Sheet2!$J$4:$K$15,2,0)</f>
        <v>2</v>
      </c>
      <c r="J1701" s="5">
        <f>IFERROR(VLOOKUP(C1701,Sheet2!$M$4:$N$12,2,0),0)</f>
        <v>5000</v>
      </c>
      <c r="K1701" s="5" t="str">
        <f t="shared" si="26"/>
        <v>within budget</v>
      </c>
    </row>
    <row r="1702" spans="1:11" x14ac:dyDescent="0.3">
      <c r="A1702" s="6">
        <v>45292</v>
      </c>
      <c r="B1702" s="5" t="s">
        <v>37</v>
      </c>
      <c r="C1702" s="5" t="s">
        <v>36</v>
      </c>
      <c r="D1702" s="5" t="s">
        <v>24</v>
      </c>
      <c r="E1702" s="5" t="s">
        <v>12</v>
      </c>
      <c r="F1702" s="5">
        <v>771</v>
      </c>
      <c r="G1702" s="5" t="str">
        <f>VLOOKUP(C1702,Sheet2!$C$3:$D$12,2,0)</f>
        <v>Variable</v>
      </c>
      <c r="H1702" s="5" t="str">
        <f>IFERROR(VLOOKUP(E1702,Sheet2!$G$3:$H$8,2,0),"unkwon")</f>
        <v>online</v>
      </c>
      <c r="I1702" s="5">
        <f>VLOOKUP(B1702,Sheet2!$J$4:$K$15,2,0)</f>
        <v>1</v>
      </c>
      <c r="J1702" s="5">
        <f>IFERROR(VLOOKUP(C1702,Sheet2!$M$4:$N$12,2,0),0)</f>
        <v>10000</v>
      </c>
      <c r="K1702" s="5" t="str">
        <f t="shared" si="26"/>
        <v>within budget</v>
      </c>
    </row>
    <row r="1703" spans="1:11" x14ac:dyDescent="0.3">
      <c r="A1703" s="6">
        <v>45187</v>
      </c>
      <c r="B1703" s="5" t="s">
        <v>38</v>
      </c>
      <c r="C1703" s="5" t="s">
        <v>7</v>
      </c>
      <c r="D1703" s="5" t="s">
        <v>20</v>
      </c>
      <c r="E1703" s="5" t="s">
        <v>17</v>
      </c>
      <c r="F1703" s="5">
        <v>3348</v>
      </c>
      <c r="G1703" s="5" t="str">
        <f>VLOOKUP(C1703,Sheet2!$C$3:$D$12,2,0)</f>
        <v>Fixed</v>
      </c>
      <c r="H1703" s="5" t="str">
        <f>IFERROR(VLOOKUP(E1703,Sheet2!$G$3:$H$8,2,0),"unkwon")</f>
        <v>online</v>
      </c>
      <c r="I1703" s="5">
        <f>VLOOKUP(B1703,Sheet2!$J$4:$K$15,2,0)</f>
        <v>9</v>
      </c>
      <c r="J1703" s="5">
        <f>IFERROR(VLOOKUP(C1703,Sheet2!$M$4:$N$12,2,0),0)</f>
        <v>2000</v>
      </c>
      <c r="K1703" s="5" t="str">
        <f t="shared" si="26"/>
        <v>over budget</v>
      </c>
    </row>
    <row r="1704" spans="1:11" x14ac:dyDescent="0.3">
      <c r="A1704" s="6">
        <v>45363</v>
      </c>
      <c r="B1704" s="5" t="s">
        <v>19</v>
      </c>
      <c r="C1704" s="5" t="s">
        <v>13</v>
      </c>
      <c r="D1704" s="5" t="s">
        <v>8</v>
      </c>
      <c r="E1704" s="5" t="s">
        <v>17</v>
      </c>
      <c r="F1704" s="5">
        <v>4979</v>
      </c>
      <c r="G1704" s="5" t="str">
        <f>VLOOKUP(C1704,Sheet2!$C$3:$D$12,2,0)</f>
        <v>Variable</v>
      </c>
      <c r="H1704" s="5" t="str">
        <f>IFERROR(VLOOKUP(E1704,Sheet2!$G$3:$H$8,2,0),"unkwon")</f>
        <v>online</v>
      </c>
      <c r="I1704" s="5">
        <f>VLOOKUP(B1704,Sheet2!$J$4:$K$15,2,0)</f>
        <v>3</v>
      </c>
      <c r="J1704" s="5">
        <f>IFERROR(VLOOKUP(C1704,Sheet2!$M$4:$N$12,2,0),0)</f>
        <v>5000</v>
      </c>
      <c r="K1704" s="5" t="str">
        <f t="shared" si="26"/>
        <v>within budget</v>
      </c>
    </row>
    <row r="1705" spans="1:11" x14ac:dyDescent="0.3">
      <c r="A1705" s="6">
        <v>44989</v>
      </c>
      <c r="B1705" s="5" t="s">
        <v>19</v>
      </c>
      <c r="C1705" s="5" t="s">
        <v>35</v>
      </c>
      <c r="D1705" s="5" t="s">
        <v>24</v>
      </c>
      <c r="E1705" s="5" t="s">
        <v>32</v>
      </c>
      <c r="F1705" s="5">
        <v>612</v>
      </c>
      <c r="G1705" s="5" t="str">
        <f>VLOOKUP(C1705,Sheet2!$C$3:$D$12,2,0)</f>
        <v>Fixed</v>
      </c>
      <c r="H1705" s="5" t="str">
        <f>IFERROR(VLOOKUP(E1705,Sheet2!$G$3:$H$8,2,0),"unkwon")</f>
        <v>offline</v>
      </c>
      <c r="I1705" s="5">
        <f>VLOOKUP(B1705,Sheet2!$J$4:$K$15,2,0)</f>
        <v>3</v>
      </c>
      <c r="J1705" s="5">
        <f>IFERROR(VLOOKUP(C1705,Sheet2!$M$4:$N$12,2,0),0)</f>
        <v>5500</v>
      </c>
      <c r="K1705" s="5" t="str">
        <f t="shared" si="26"/>
        <v>within budget</v>
      </c>
    </row>
    <row r="1706" spans="1:11" x14ac:dyDescent="0.3">
      <c r="A1706" s="6">
        <v>45201</v>
      </c>
      <c r="B1706" s="5" t="s">
        <v>6</v>
      </c>
      <c r="C1706" s="5" t="s">
        <v>35</v>
      </c>
      <c r="D1706" s="5" t="s">
        <v>34</v>
      </c>
      <c r="E1706" s="5" t="s">
        <v>12</v>
      </c>
      <c r="F1706" s="5">
        <v>697</v>
      </c>
      <c r="G1706" s="5" t="str">
        <f>VLOOKUP(C1706,Sheet2!$C$3:$D$12,2,0)</f>
        <v>Fixed</v>
      </c>
      <c r="H1706" s="5" t="str">
        <f>IFERROR(VLOOKUP(E1706,Sheet2!$G$3:$H$8,2,0),"unkwon")</f>
        <v>online</v>
      </c>
      <c r="I1706" s="5">
        <f>VLOOKUP(B1706,Sheet2!$J$4:$K$15,2,0)</f>
        <v>10</v>
      </c>
      <c r="J1706" s="5">
        <f>IFERROR(VLOOKUP(C1706,Sheet2!$M$4:$N$12,2,0),0)</f>
        <v>5500</v>
      </c>
      <c r="K1706" s="5" t="str">
        <f t="shared" si="26"/>
        <v>within budget</v>
      </c>
    </row>
    <row r="1707" spans="1:11" x14ac:dyDescent="0.3">
      <c r="A1707" s="6">
        <v>45621</v>
      </c>
      <c r="B1707" s="5" t="s">
        <v>40</v>
      </c>
      <c r="C1707" s="5" t="s">
        <v>27</v>
      </c>
      <c r="D1707" s="5" t="s">
        <v>11</v>
      </c>
      <c r="E1707" s="5" t="s">
        <v>15</v>
      </c>
      <c r="F1707" s="5">
        <v>92</v>
      </c>
      <c r="G1707" s="5" t="str">
        <f>VLOOKUP(C1707,Sheet2!$C$3:$D$12,2,0)</f>
        <v>Variable</v>
      </c>
      <c r="H1707" s="5" t="str">
        <f>IFERROR(VLOOKUP(E1707,Sheet2!$G$3:$H$8,2,0),"unkwon")</f>
        <v>online</v>
      </c>
      <c r="I1707" s="5">
        <f>VLOOKUP(B1707,Sheet2!$J$4:$K$15,2,0)</f>
        <v>11</v>
      </c>
      <c r="J1707" s="5">
        <f>IFERROR(VLOOKUP(C1707,Sheet2!$M$4:$N$12,2,0),0)</f>
        <v>4000</v>
      </c>
      <c r="K1707" s="5" t="str">
        <f t="shared" si="26"/>
        <v>within budget</v>
      </c>
    </row>
    <row r="1708" spans="1:11" x14ac:dyDescent="0.3">
      <c r="A1708" s="6">
        <v>45387</v>
      </c>
      <c r="B1708" s="5" t="s">
        <v>29</v>
      </c>
      <c r="C1708" s="5" t="s">
        <v>41</v>
      </c>
      <c r="D1708" s="5" t="s">
        <v>34</v>
      </c>
      <c r="E1708" s="5" t="s">
        <v>12</v>
      </c>
      <c r="F1708" s="5">
        <v>1359</v>
      </c>
      <c r="G1708" s="5" t="str">
        <f>VLOOKUP(C1708,Sheet2!$C$3:$D$12,2,0)</f>
        <v>Variable</v>
      </c>
      <c r="H1708" s="5" t="str">
        <f>IFERROR(VLOOKUP(E1708,Sheet2!$G$3:$H$8,2,0),"unkwon")</f>
        <v>online</v>
      </c>
      <c r="I1708" s="5">
        <f>VLOOKUP(B1708,Sheet2!$J$4:$K$15,2,0)</f>
        <v>4</v>
      </c>
      <c r="J1708" s="5">
        <f>IFERROR(VLOOKUP(C1708,Sheet2!$M$4:$N$12,2,0),0)</f>
        <v>7000</v>
      </c>
      <c r="K1708" s="5" t="str">
        <f t="shared" si="26"/>
        <v>within budget</v>
      </c>
    </row>
    <row r="1709" spans="1:11" x14ac:dyDescent="0.3">
      <c r="A1709" s="6">
        <v>45234</v>
      </c>
      <c r="B1709" s="5" t="s">
        <v>40</v>
      </c>
      <c r="C1709" s="5" t="s">
        <v>7</v>
      </c>
      <c r="D1709" s="5" t="s">
        <v>8</v>
      </c>
      <c r="E1709" s="5" t="s">
        <v>32</v>
      </c>
      <c r="F1709" s="5">
        <v>3558</v>
      </c>
      <c r="G1709" s="5" t="str">
        <f>VLOOKUP(C1709,Sheet2!$C$3:$D$12,2,0)</f>
        <v>Fixed</v>
      </c>
      <c r="H1709" s="5" t="str">
        <f>IFERROR(VLOOKUP(E1709,Sheet2!$G$3:$H$8,2,0),"unkwon")</f>
        <v>offline</v>
      </c>
      <c r="I1709" s="5">
        <f>VLOOKUP(B1709,Sheet2!$J$4:$K$15,2,0)</f>
        <v>11</v>
      </c>
      <c r="J1709" s="5">
        <f>IFERROR(VLOOKUP(C1709,Sheet2!$M$4:$N$12,2,0),0)</f>
        <v>2000</v>
      </c>
      <c r="K1709" s="5" t="str">
        <f t="shared" si="26"/>
        <v>over budget</v>
      </c>
    </row>
    <row r="1710" spans="1:11" x14ac:dyDescent="0.3">
      <c r="A1710" s="6">
        <v>44961</v>
      </c>
      <c r="B1710" s="5" t="s">
        <v>33</v>
      </c>
      <c r="C1710" s="5" t="s">
        <v>27</v>
      </c>
      <c r="D1710" s="5" t="s">
        <v>23</v>
      </c>
      <c r="E1710" s="5" t="s">
        <v>32</v>
      </c>
      <c r="F1710" s="5">
        <v>3756</v>
      </c>
      <c r="G1710" s="5" t="str">
        <f>VLOOKUP(C1710,Sheet2!$C$3:$D$12,2,0)</f>
        <v>Variable</v>
      </c>
      <c r="H1710" s="5" t="str">
        <f>IFERROR(VLOOKUP(E1710,Sheet2!$G$3:$H$8,2,0),"unkwon")</f>
        <v>offline</v>
      </c>
      <c r="I1710" s="5">
        <f>VLOOKUP(B1710,Sheet2!$J$4:$K$15,2,0)</f>
        <v>2</v>
      </c>
      <c r="J1710" s="5">
        <f>IFERROR(VLOOKUP(C1710,Sheet2!$M$4:$N$12,2,0),0)</f>
        <v>4000</v>
      </c>
      <c r="K1710" s="5" t="str">
        <f t="shared" si="26"/>
        <v>within budget</v>
      </c>
    </row>
    <row r="1711" spans="1:11" x14ac:dyDescent="0.3">
      <c r="A1711" s="6">
        <v>45278</v>
      </c>
      <c r="B1711" s="5" t="s">
        <v>16</v>
      </c>
      <c r="C1711" s="5" t="s">
        <v>27</v>
      </c>
      <c r="D1711" s="5" t="s">
        <v>14</v>
      </c>
      <c r="E1711" s="5" t="s">
        <v>15</v>
      </c>
      <c r="F1711" s="5">
        <v>938</v>
      </c>
      <c r="G1711" s="5" t="str">
        <f>VLOOKUP(C1711,Sheet2!$C$3:$D$12,2,0)</f>
        <v>Variable</v>
      </c>
      <c r="H1711" s="5" t="str">
        <f>IFERROR(VLOOKUP(E1711,Sheet2!$G$3:$H$8,2,0),"unkwon")</f>
        <v>online</v>
      </c>
      <c r="I1711" s="5">
        <f>VLOOKUP(B1711,Sheet2!$J$4:$K$15,2,0)</f>
        <v>12</v>
      </c>
      <c r="J1711" s="5">
        <f>IFERROR(VLOOKUP(C1711,Sheet2!$M$4:$N$12,2,0),0)</f>
        <v>4000</v>
      </c>
      <c r="K1711" s="5" t="str">
        <f t="shared" si="26"/>
        <v>within budget</v>
      </c>
    </row>
    <row r="1712" spans="1:11" x14ac:dyDescent="0.3">
      <c r="A1712" s="6">
        <v>45139</v>
      </c>
      <c r="B1712" s="5" t="s">
        <v>25</v>
      </c>
      <c r="C1712" s="5" t="s">
        <v>35</v>
      </c>
      <c r="D1712" s="5" t="s">
        <v>23</v>
      </c>
      <c r="E1712" s="5" t="s">
        <v>15</v>
      </c>
      <c r="F1712" s="5">
        <v>4925</v>
      </c>
      <c r="G1712" s="5" t="str">
        <f>VLOOKUP(C1712,Sheet2!$C$3:$D$12,2,0)</f>
        <v>Fixed</v>
      </c>
      <c r="H1712" s="5" t="str">
        <f>IFERROR(VLOOKUP(E1712,Sheet2!$G$3:$H$8,2,0),"unkwon")</f>
        <v>online</v>
      </c>
      <c r="I1712" s="5">
        <f>VLOOKUP(B1712,Sheet2!$J$4:$K$15,2,0)</f>
        <v>8</v>
      </c>
      <c r="J1712" s="5">
        <f>IFERROR(VLOOKUP(C1712,Sheet2!$M$4:$N$12,2,0),0)</f>
        <v>5500</v>
      </c>
      <c r="K1712" s="5" t="str">
        <f t="shared" si="26"/>
        <v>within budget</v>
      </c>
    </row>
    <row r="1713" spans="1:11" x14ac:dyDescent="0.3">
      <c r="A1713" s="6">
        <v>45330</v>
      </c>
      <c r="B1713" s="5" t="s">
        <v>33</v>
      </c>
      <c r="C1713" s="5" t="s">
        <v>27</v>
      </c>
      <c r="D1713" s="5" t="s">
        <v>31</v>
      </c>
      <c r="E1713" s="5" t="s">
        <v>9</v>
      </c>
      <c r="F1713" s="5">
        <v>976</v>
      </c>
      <c r="G1713" s="5" t="str">
        <f>VLOOKUP(C1713,Sheet2!$C$3:$D$12,2,0)</f>
        <v>Variable</v>
      </c>
      <c r="H1713" s="5" t="str">
        <f>IFERROR(VLOOKUP(E1713,Sheet2!$G$3:$H$8,2,0),"unkwon")</f>
        <v>online</v>
      </c>
      <c r="I1713" s="5">
        <f>VLOOKUP(B1713,Sheet2!$J$4:$K$15,2,0)</f>
        <v>2</v>
      </c>
      <c r="J1713" s="5">
        <f>IFERROR(VLOOKUP(C1713,Sheet2!$M$4:$N$12,2,0),0)</f>
        <v>4000</v>
      </c>
      <c r="K1713" s="5" t="str">
        <f t="shared" si="26"/>
        <v>within budget</v>
      </c>
    </row>
    <row r="1714" spans="1:11" x14ac:dyDescent="0.3">
      <c r="A1714" s="6">
        <v>45536</v>
      </c>
      <c r="B1714" s="5" t="s">
        <v>38</v>
      </c>
      <c r="C1714" s="5" t="s">
        <v>30</v>
      </c>
      <c r="D1714" s="5" t="s">
        <v>8</v>
      </c>
      <c r="E1714" s="5" t="s">
        <v>12</v>
      </c>
      <c r="F1714" s="5">
        <v>627</v>
      </c>
      <c r="G1714" s="5" t="str">
        <f>VLOOKUP(C1714,Sheet2!$C$3:$D$12,2,0)</f>
        <v>Fixed</v>
      </c>
      <c r="H1714" s="5" t="str">
        <f>IFERROR(VLOOKUP(E1714,Sheet2!$G$3:$H$8,2,0),"unkwon")</f>
        <v>online</v>
      </c>
      <c r="I1714" s="5">
        <f>VLOOKUP(B1714,Sheet2!$J$4:$K$15,2,0)</f>
        <v>9</v>
      </c>
      <c r="J1714" s="5">
        <f>IFERROR(VLOOKUP(C1714,Sheet2!$M$4:$N$12,2,0),0)</f>
        <v>3000</v>
      </c>
      <c r="K1714" s="5" t="str">
        <f t="shared" si="26"/>
        <v>within budget</v>
      </c>
    </row>
    <row r="1715" spans="1:11" x14ac:dyDescent="0.3">
      <c r="A1715" s="6">
        <v>45314</v>
      </c>
      <c r="B1715" s="5" t="s">
        <v>37</v>
      </c>
      <c r="C1715" s="5" t="s">
        <v>22</v>
      </c>
      <c r="D1715" s="5" t="s">
        <v>23</v>
      </c>
      <c r="E1715" s="5" t="s">
        <v>32</v>
      </c>
      <c r="F1715" s="5">
        <v>3346</v>
      </c>
      <c r="G1715" s="5" t="str">
        <f>VLOOKUP(C1715,Sheet2!$C$3:$D$12,2,0)</f>
        <v>Variable</v>
      </c>
      <c r="H1715" s="5" t="str">
        <f>IFERROR(VLOOKUP(E1715,Sheet2!$G$3:$H$8,2,0),"unkwon")</f>
        <v>offline</v>
      </c>
      <c r="I1715" s="5">
        <f>VLOOKUP(B1715,Sheet2!$J$4:$K$15,2,0)</f>
        <v>1</v>
      </c>
      <c r="J1715" s="5">
        <f>IFERROR(VLOOKUP(C1715,Sheet2!$M$4:$N$12,2,0),0)</f>
        <v>1000</v>
      </c>
      <c r="K1715" s="5" t="str">
        <f t="shared" si="26"/>
        <v>over budget</v>
      </c>
    </row>
    <row r="1716" spans="1:11" x14ac:dyDescent="0.3">
      <c r="A1716" s="6">
        <v>45271</v>
      </c>
      <c r="B1716" s="5" t="s">
        <v>16</v>
      </c>
      <c r="C1716" s="5" t="s">
        <v>36</v>
      </c>
      <c r="D1716" s="5" t="s">
        <v>23</v>
      </c>
      <c r="E1716" s="5" t="s">
        <v>12</v>
      </c>
      <c r="F1716" s="5">
        <v>281</v>
      </c>
      <c r="G1716" s="5" t="str">
        <f>VLOOKUP(C1716,Sheet2!$C$3:$D$12,2,0)</f>
        <v>Variable</v>
      </c>
      <c r="H1716" s="5" t="str">
        <f>IFERROR(VLOOKUP(E1716,Sheet2!$G$3:$H$8,2,0),"unkwon")</f>
        <v>online</v>
      </c>
      <c r="I1716" s="5">
        <f>VLOOKUP(B1716,Sheet2!$J$4:$K$15,2,0)</f>
        <v>12</v>
      </c>
      <c r="J1716" s="5">
        <f>IFERROR(VLOOKUP(C1716,Sheet2!$M$4:$N$12,2,0),0)</f>
        <v>10000</v>
      </c>
      <c r="K1716" s="5" t="str">
        <f t="shared" si="26"/>
        <v>within budget</v>
      </c>
    </row>
    <row r="1717" spans="1:11" x14ac:dyDescent="0.3">
      <c r="A1717" s="6">
        <v>45486</v>
      </c>
      <c r="B1717" s="5" t="s">
        <v>21</v>
      </c>
      <c r="C1717" s="5" t="s">
        <v>30</v>
      </c>
      <c r="D1717" s="5" t="s">
        <v>18</v>
      </c>
      <c r="E1717" s="5" t="s">
        <v>12</v>
      </c>
      <c r="F1717" s="5">
        <v>640</v>
      </c>
      <c r="G1717" s="5" t="str">
        <f>VLOOKUP(C1717,Sheet2!$C$3:$D$12,2,0)</f>
        <v>Fixed</v>
      </c>
      <c r="H1717" s="5" t="str">
        <f>IFERROR(VLOOKUP(E1717,Sheet2!$G$3:$H$8,2,0),"unkwon")</f>
        <v>online</v>
      </c>
      <c r="I1717" s="5">
        <f>VLOOKUP(B1717,Sheet2!$J$4:$K$15,2,0)</f>
        <v>7</v>
      </c>
      <c r="J1717" s="5">
        <f>IFERROR(VLOOKUP(C1717,Sheet2!$M$4:$N$12,2,0),0)</f>
        <v>3000</v>
      </c>
      <c r="K1717" s="5" t="str">
        <f t="shared" si="26"/>
        <v>within budget</v>
      </c>
    </row>
    <row r="1718" spans="1:11" x14ac:dyDescent="0.3">
      <c r="A1718" s="6">
        <v>45509</v>
      </c>
      <c r="B1718" s="5" t="s">
        <v>25</v>
      </c>
      <c r="C1718" s="5" t="s">
        <v>13</v>
      </c>
      <c r="D1718" s="5" t="s">
        <v>23</v>
      </c>
      <c r="E1718" s="5" t="s">
        <v>32</v>
      </c>
      <c r="F1718" s="5">
        <v>3989</v>
      </c>
      <c r="G1718" s="5" t="str">
        <f>VLOOKUP(C1718,Sheet2!$C$3:$D$12,2,0)</f>
        <v>Variable</v>
      </c>
      <c r="H1718" s="5" t="str">
        <f>IFERROR(VLOOKUP(E1718,Sheet2!$G$3:$H$8,2,0),"unkwon")</f>
        <v>offline</v>
      </c>
      <c r="I1718" s="5">
        <f>VLOOKUP(B1718,Sheet2!$J$4:$K$15,2,0)</f>
        <v>8</v>
      </c>
      <c r="J1718" s="5">
        <f>IFERROR(VLOOKUP(C1718,Sheet2!$M$4:$N$12,2,0),0)</f>
        <v>5000</v>
      </c>
      <c r="K1718" s="5" t="str">
        <f t="shared" si="26"/>
        <v>within budget</v>
      </c>
    </row>
    <row r="1719" spans="1:11" x14ac:dyDescent="0.3">
      <c r="A1719" s="6">
        <v>45543</v>
      </c>
      <c r="B1719" s="5" t="s">
        <v>38</v>
      </c>
      <c r="C1719" s="5" t="s">
        <v>7</v>
      </c>
      <c r="D1719" s="5" t="s">
        <v>20</v>
      </c>
      <c r="E1719" s="5" t="s">
        <v>17</v>
      </c>
      <c r="F1719" s="5">
        <v>4349</v>
      </c>
      <c r="G1719" s="5" t="str">
        <f>VLOOKUP(C1719,Sheet2!$C$3:$D$12,2,0)</f>
        <v>Fixed</v>
      </c>
      <c r="H1719" s="5" t="str">
        <f>IFERROR(VLOOKUP(E1719,Sheet2!$G$3:$H$8,2,0),"unkwon")</f>
        <v>online</v>
      </c>
      <c r="I1719" s="5">
        <f>VLOOKUP(B1719,Sheet2!$J$4:$K$15,2,0)</f>
        <v>9</v>
      </c>
      <c r="J1719" s="5">
        <f>IFERROR(VLOOKUP(C1719,Sheet2!$M$4:$N$12,2,0),0)</f>
        <v>2000</v>
      </c>
      <c r="K1719" s="5" t="str">
        <f t="shared" si="26"/>
        <v>over budget</v>
      </c>
    </row>
    <row r="1720" spans="1:11" x14ac:dyDescent="0.3">
      <c r="A1720" s="6">
        <v>44976</v>
      </c>
      <c r="B1720" s="5" t="s">
        <v>33</v>
      </c>
      <c r="C1720" s="5" t="s">
        <v>22</v>
      </c>
      <c r="D1720" s="5" t="s">
        <v>18</v>
      </c>
      <c r="E1720" s="5" t="s">
        <v>15</v>
      </c>
      <c r="F1720" s="5">
        <v>2456</v>
      </c>
      <c r="G1720" s="5" t="str">
        <f>VLOOKUP(C1720,Sheet2!$C$3:$D$12,2,0)</f>
        <v>Variable</v>
      </c>
      <c r="H1720" s="5" t="str">
        <f>IFERROR(VLOOKUP(E1720,Sheet2!$G$3:$H$8,2,0),"unkwon")</f>
        <v>online</v>
      </c>
      <c r="I1720" s="5">
        <f>VLOOKUP(B1720,Sheet2!$J$4:$K$15,2,0)</f>
        <v>2</v>
      </c>
      <c r="J1720" s="5">
        <f>IFERROR(VLOOKUP(C1720,Sheet2!$M$4:$N$12,2,0),0)</f>
        <v>1000</v>
      </c>
      <c r="K1720" s="5" t="str">
        <f t="shared" si="26"/>
        <v>over budget</v>
      </c>
    </row>
    <row r="1721" spans="1:11" x14ac:dyDescent="0.3">
      <c r="A1721" s="6">
        <v>44974</v>
      </c>
      <c r="B1721" s="5" t="s">
        <v>33</v>
      </c>
      <c r="C1721" s="5" t="s">
        <v>36</v>
      </c>
      <c r="D1721" s="5" t="s">
        <v>14</v>
      </c>
      <c r="E1721" s="5" t="s">
        <v>32</v>
      </c>
      <c r="F1721" s="5">
        <v>3397</v>
      </c>
      <c r="G1721" s="5" t="str">
        <f>VLOOKUP(C1721,Sheet2!$C$3:$D$12,2,0)</f>
        <v>Variable</v>
      </c>
      <c r="H1721" s="5" t="str">
        <f>IFERROR(VLOOKUP(E1721,Sheet2!$G$3:$H$8,2,0),"unkwon")</f>
        <v>offline</v>
      </c>
      <c r="I1721" s="5">
        <f>VLOOKUP(B1721,Sheet2!$J$4:$K$15,2,0)</f>
        <v>2</v>
      </c>
      <c r="J1721" s="5">
        <f>IFERROR(VLOOKUP(C1721,Sheet2!$M$4:$N$12,2,0),0)</f>
        <v>10000</v>
      </c>
      <c r="K1721" s="5" t="str">
        <f t="shared" si="26"/>
        <v>within budget</v>
      </c>
    </row>
    <row r="1722" spans="1:11" x14ac:dyDescent="0.3">
      <c r="A1722" s="6">
        <v>45584</v>
      </c>
      <c r="B1722" s="5" t="s">
        <v>6</v>
      </c>
      <c r="C1722" s="5" t="s">
        <v>13</v>
      </c>
      <c r="D1722" s="5" t="s">
        <v>34</v>
      </c>
      <c r="E1722" s="5" t="s">
        <v>12</v>
      </c>
      <c r="F1722" s="5">
        <v>4951</v>
      </c>
      <c r="G1722" s="5" t="str">
        <f>VLOOKUP(C1722,Sheet2!$C$3:$D$12,2,0)</f>
        <v>Variable</v>
      </c>
      <c r="H1722" s="5" t="str">
        <f>IFERROR(VLOOKUP(E1722,Sheet2!$G$3:$H$8,2,0),"unkwon")</f>
        <v>online</v>
      </c>
      <c r="I1722" s="5">
        <f>VLOOKUP(B1722,Sheet2!$J$4:$K$15,2,0)</f>
        <v>10</v>
      </c>
      <c r="J1722" s="5">
        <f>IFERROR(VLOOKUP(C1722,Sheet2!$M$4:$N$12,2,0),0)</f>
        <v>5000</v>
      </c>
      <c r="K1722" s="5" t="str">
        <f t="shared" si="26"/>
        <v>within budget</v>
      </c>
    </row>
    <row r="1723" spans="1:11" x14ac:dyDescent="0.3">
      <c r="A1723" s="6">
        <v>45591</v>
      </c>
      <c r="B1723" s="5" t="s">
        <v>6</v>
      </c>
      <c r="C1723" s="5" t="s">
        <v>13</v>
      </c>
      <c r="D1723" s="5" t="s">
        <v>31</v>
      </c>
      <c r="E1723" s="5" t="s">
        <v>9</v>
      </c>
      <c r="F1723" s="5">
        <v>1901</v>
      </c>
      <c r="G1723" s="5" t="str">
        <f>VLOOKUP(C1723,Sheet2!$C$3:$D$12,2,0)</f>
        <v>Variable</v>
      </c>
      <c r="H1723" s="5" t="str">
        <f>IFERROR(VLOOKUP(E1723,Sheet2!$G$3:$H$8,2,0),"unkwon")</f>
        <v>online</v>
      </c>
      <c r="I1723" s="5">
        <f>VLOOKUP(B1723,Sheet2!$J$4:$K$15,2,0)</f>
        <v>10</v>
      </c>
      <c r="J1723" s="5">
        <f>IFERROR(VLOOKUP(C1723,Sheet2!$M$4:$N$12,2,0),0)</f>
        <v>5000</v>
      </c>
      <c r="K1723" s="5" t="str">
        <f t="shared" si="26"/>
        <v>within budget</v>
      </c>
    </row>
    <row r="1724" spans="1:11" x14ac:dyDescent="0.3">
      <c r="A1724" s="6">
        <v>45354</v>
      </c>
      <c r="B1724" s="5" t="s">
        <v>19</v>
      </c>
      <c r="C1724" s="5" t="s">
        <v>41</v>
      </c>
      <c r="D1724" s="5" t="s">
        <v>20</v>
      </c>
      <c r="E1724" s="5" t="s">
        <v>9</v>
      </c>
      <c r="F1724" s="5">
        <v>3330</v>
      </c>
      <c r="G1724" s="5" t="str">
        <f>VLOOKUP(C1724,Sheet2!$C$3:$D$12,2,0)</f>
        <v>Variable</v>
      </c>
      <c r="H1724" s="5" t="str">
        <f>IFERROR(VLOOKUP(E1724,Sheet2!$G$3:$H$8,2,0),"unkwon")</f>
        <v>online</v>
      </c>
      <c r="I1724" s="5">
        <f>VLOOKUP(B1724,Sheet2!$J$4:$K$15,2,0)</f>
        <v>3</v>
      </c>
      <c r="J1724" s="5">
        <f>IFERROR(VLOOKUP(C1724,Sheet2!$M$4:$N$12,2,0),0)</f>
        <v>7000</v>
      </c>
      <c r="K1724" s="5" t="str">
        <f t="shared" si="26"/>
        <v>within budget</v>
      </c>
    </row>
    <row r="1725" spans="1:11" x14ac:dyDescent="0.3">
      <c r="A1725" s="6">
        <v>45485</v>
      </c>
      <c r="B1725" s="5" t="s">
        <v>21</v>
      </c>
      <c r="C1725" s="5" t="s">
        <v>22</v>
      </c>
      <c r="D1725" s="5" t="s">
        <v>26</v>
      </c>
      <c r="E1725" s="5" t="s">
        <v>17</v>
      </c>
      <c r="F1725" s="5">
        <v>934</v>
      </c>
      <c r="G1725" s="5" t="str">
        <f>VLOOKUP(C1725,Sheet2!$C$3:$D$12,2,0)</f>
        <v>Variable</v>
      </c>
      <c r="H1725" s="5" t="str">
        <f>IFERROR(VLOOKUP(E1725,Sheet2!$G$3:$H$8,2,0),"unkwon")</f>
        <v>online</v>
      </c>
      <c r="I1725" s="5">
        <f>VLOOKUP(B1725,Sheet2!$J$4:$K$15,2,0)</f>
        <v>7</v>
      </c>
      <c r="J1725" s="5">
        <f>IFERROR(VLOOKUP(C1725,Sheet2!$M$4:$N$12,2,0),0)</f>
        <v>1000</v>
      </c>
      <c r="K1725" s="5" t="str">
        <f t="shared" si="26"/>
        <v>within budget</v>
      </c>
    </row>
    <row r="1726" spans="1:11" x14ac:dyDescent="0.3">
      <c r="A1726" s="6">
        <v>45020</v>
      </c>
      <c r="B1726" s="5" t="s">
        <v>29</v>
      </c>
      <c r="C1726" s="5" t="s">
        <v>7</v>
      </c>
      <c r="D1726" s="5" t="s">
        <v>8</v>
      </c>
      <c r="E1726" s="5" t="s">
        <v>15</v>
      </c>
      <c r="F1726" s="5">
        <v>990</v>
      </c>
      <c r="G1726" s="5" t="str">
        <f>VLOOKUP(C1726,Sheet2!$C$3:$D$12,2,0)</f>
        <v>Fixed</v>
      </c>
      <c r="H1726" s="5" t="str">
        <f>IFERROR(VLOOKUP(E1726,Sheet2!$G$3:$H$8,2,0),"unkwon")</f>
        <v>online</v>
      </c>
      <c r="I1726" s="5">
        <f>VLOOKUP(B1726,Sheet2!$J$4:$K$15,2,0)</f>
        <v>4</v>
      </c>
      <c r="J1726" s="5">
        <f>IFERROR(VLOOKUP(C1726,Sheet2!$M$4:$N$12,2,0),0)</f>
        <v>2000</v>
      </c>
      <c r="K1726" s="5" t="str">
        <f t="shared" si="26"/>
        <v>within budget</v>
      </c>
    </row>
    <row r="1727" spans="1:11" x14ac:dyDescent="0.3">
      <c r="A1727" s="6">
        <v>45030</v>
      </c>
      <c r="B1727" s="5" t="s">
        <v>29</v>
      </c>
      <c r="C1727" s="5" t="s">
        <v>41</v>
      </c>
      <c r="D1727" s="5" t="s">
        <v>20</v>
      </c>
      <c r="E1727" s="5" t="s">
        <v>17</v>
      </c>
      <c r="F1727" s="5">
        <v>4512</v>
      </c>
      <c r="G1727" s="5" t="str">
        <f>VLOOKUP(C1727,Sheet2!$C$3:$D$12,2,0)</f>
        <v>Variable</v>
      </c>
      <c r="H1727" s="5" t="str">
        <f>IFERROR(VLOOKUP(E1727,Sheet2!$G$3:$H$8,2,0),"unkwon")</f>
        <v>online</v>
      </c>
      <c r="I1727" s="5">
        <f>VLOOKUP(B1727,Sheet2!$J$4:$K$15,2,0)</f>
        <v>4</v>
      </c>
      <c r="J1727" s="5">
        <f>IFERROR(VLOOKUP(C1727,Sheet2!$M$4:$N$12,2,0),0)</f>
        <v>7000</v>
      </c>
      <c r="K1727" s="5" t="str">
        <f t="shared" si="26"/>
        <v>within budget</v>
      </c>
    </row>
    <row r="1728" spans="1:11" x14ac:dyDescent="0.3">
      <c r="A1728" s="6">
        <v>45596</v>
      </c>
      <c r="B1728" s="5" t="s">
        <v>6</v>
      </c>
      <c r="C1728" s="5" t="s">
        <v>36</v>
      </c>
      <c r="D1728" s="5" t="s">
        <v>18</v>
      </c>
      <c r="E1728" s="5" t="s">
        <v>32</v>
      </c>
      <c r="F1728" s="5">
        <v>2701</v>
      </c>
      <c r="G1728" s="5" t="str">
        <f>VLOOKUP(C1728,Sheet2!$C$3:$D$12,2,0)</f>
        <v>Variable</v>
      </c>
      <c r="H1728" s="5" t="str">
        <f>IFERROR(VLOOKUP(E1728,Sheet2!$G$3:$H$8,2,0),"unkwon")</f>
        <v>offline</v>
      </c>
      <c r="I1728" s="5">
        <f>VLOOKUP(B1728,Sheet2!$J$4:$K$15,2,0)</f>
        <v>10</v>
      </c>
      <c r="J1728" s="5">
        <f>IFERROR(VLOOKUP(C1728,Sheet2!$M$4:$N$12,2,0),0)</f>
        <v>10000</v>
      </c>
      <c r="K1728" s="5" t="str">
        <f t="shared" si="26"/>
        <v>within budget</v>
      </c>
    </row>
    <row r="1729" spans="1:11" x14ac:dyDescent="0.3">
      <c r="A1729" s="6">
        <v>45265</v>
      </c>
      <c r="B1729" s="5" t="s">
        <v>16</v>
      </c>
      <c r="C1729" s="5" t="s">
        <v>13</v>
      </c>
      <c r="D1729" s="5" t="s">
        <v>26</v>
      </c>
      <c r="E1729" s="5" t="s">
        <v>9</v>
      </c>
      <c r="F1729" s="5">
        <v>3483</v>
      </c>
      <c r="G1729" s="5" t="str">
        <f>VLOOKUP(C1729,Sheet2!$C$3:$D$12,2,0)</f>
        <v>Variable</v>
      </c>
      <c r="H1729" s="5" t="str">
        <f>IFERROR(VLOOKUP(E1729,Sheet2!$G$3:$H$8,2,0),"unkwon")</f>
        <v>online</v>
      </c>
      <c r="I1729" s="5">
        <f>VLOOKUP(B1729,Sheet2!$J$4:$K$15,2,0)</f>
        <v>12</v>
      </c>
      <c r="J1729" s="5">
        <f>IFERROR(VLOOKUP(C1729,Sheet2!$M$4:$N$12,2,0),0)</f>
        <v>5000</v>
      </c>
      <c r="K1729" s="5" t="str">
        <f t="shared" si="26"/>
        <v>within budget</v>
      </c>
    </row>
    <row r="1730" spans="1:11" x14ac:dyDescent="0.3">
      <c r="A1730" s="6">
        <v>45371</v>
      </c>
      <c r="B1730" s="5" t="s">
        <v>19</v>
      </c>
      <c r="C1730" s="5" t="s">
        <v>7</v>
      </c>
      <c r="D1730" s="5" t="s">
        <v>26</v>
      </c>
      <c r="E1730" s="5" t="s">
        <v>32</v>
      </c>
      <c r="F1730" s="5">
        <v>4908</v>
      </c>
      <c r="G1730" s="5" t="str">
        <f>VLOOKUP(C1730,Sheet2!$C$3:$D$12,2,0)</f>
        <v>Fixed</v>
      </c>
      <c r="H1730" s="5" t="str">
        <f>IFERROR(VLOOKUP(E1730,Sheet2!$G$3:$H$8,2,0),"unkwon")</f>
        <v>offline</v>
      </c>
      <c r="I1730" s="5">
        <f>VLOOKUP(B1730,Sheet2!$J$4:$K$15,2,0)</f>
        <v>3</v>
      </c>
      <c r="J1730" s="5">
        <f>IFERROR(VLOOKUP(C1730,Sheet2!$M$4:$N$12,2,0),0)</f>
        <v>2000</v>
      </c>
      <c r="K1730" s="5" t="str">
        <f t="shared" si="26"/>
        <v>over budget</v>
      </c>
    </row>
    <row r="1731" spans="1:11" x14ac:dyDescent="0.3">
      <c r="A1731" s="6">
        <v>45116</v>
      </c>
      <c r="B1731" s="5" t="s">
        <v>21</v>
      </c>
      <c r="C1731" s="5" t="s">
        <v>7</v>
      </c>
      <c r="D1731" s="5" t="s">
        <v>20</v>
      </c>
      <c r="E1731" s="5" t="s">
        <v>12</v>
      </c>
      <c r="F1731" s="5">
        <v>588</v>
      </c>
      <c r="G1731" s="5" t="str">
        <f>VLOOKUP(C1731,Sheet2!$C$3:$D$12,2,0)</f>
        <v>Fixed</v>
      </c>
      <c r="H1731" s="5" t="str">
        <f>IFERROR(VLOOKUP(E1731,Sheet2!$G$3:$H$8,2,0),"unkwon")</f>
        <v>online</v>
      </c>
      <c r="I1731" s="5">
        <f>VLOOKUP(B1731,Sheet2!$J$4:$K$15,2,0)</f>
        <v>7</v>
      </c>
      <c r="J1731" s="5">
        <f>IFERROR(VLOOKUP(C1731,Sheet2!$M$4:$N$12,2,0),0)</f>
        <v>2000</v>
      </c>
      <c r="K1731" s="5" t="str">
        <f t="shared" ref="K1731:K1794" si="27">IF(F1731&gt;J1731,"over budget","within budget")</f>
        <v>within budget</v>
      </c>
    </row>
    <row r="1732" spans="1:11" x14ac:dyDescent="0.3">
      <c r="A1732" s="6">
        <v>45219</v>
      </c>
      <c r="B1732" s="5" t="s">
        <v>6</v>
      </c>
      <c r="C1732" s="5" t="s">
        <v>36</v>
      </c>
      <c r="D1732" s="5" t="s">
        <v>8</v>
      </c>
      <c r="E1732" s="5" t="s">
        <v>15</v>
      </c>
      <c r="F1732" s="5">
        <v>3934</v>
      </c>
      <c r="G1732" s="5" t="str">
        <f>VLOOKUP(C1732,Sheet2!$C$3:$D$12,2,0)</f>
        <v>Variable</v>
      </c>
      <c r="H1732" s="5" t="str">
        <f>IFERROR(VLOOKUP(E1732,Sheet2!$G$3:$H$8,2,0),"unkwon")</f>
        <v>online</v>
      </c>
      <c r="I1732" s="5">
        <f>VLOOKUP(B1732,Sheet2!$J$4:$K$15,2,0)</f>
        <v>10</v>
      </c>
      <c r="J1732" s="5">
        <f>IFERROR(VLOOKUP(C1732,Sheet2!$M$4:$N$12,2,0),0)</f>
        <v>10000</v>
      </c>
      <c r="K1732" s="5" t="str">
        <f t="shared" si="27"/>
        <v>within budget</v>
      </c>
    </row>
    <row r="1733" spans="1:11" x14ac:dyDescent="0.3">
      <c r="A1733" s="6">
        <v>45397</v>
      </c>
      <c r="B1733" s="5" t="s">
        <v>29</v>
      </c>
      <c r="C1733" s="5" t="s">
        <v>22</v>
      </c>
      <c r="D1733" s="5" t="s">
        <v>14</v>
      </c>
      <c r="E1733" s="5" t="s">
        <v>32</v>
      </c>
      <c r="F1733" s="5">
        <v>3809</v>
      </c>
      <c r="G1733" s="5" t="str">
        <f>VLOOKUP(C1733,Sheet2!$C$3:$D$12,2,0)</f>
        <v>Variable</v>
      </c>
      <c r="H1733" s="5" t="str">
        <f>IFERROR(VLOOKUP(E1733,Sheet2!$G$3:$H$8,2,0),"unkwon")</f>
        <v>offline</v>
      </c>
      <c r="I1733" s="5">
        <f>VLOOKUP(B1733,Sheet2!$J$4:$K$15,2,0)</f>
        <v>4</v>
      </c>
      <c r="J1733" s="5">
        <f>IFERROR(VLOOKUP(C1733,Sheet2!$M$4:$N$12,2,0),0)</f>
        <v>1000</v>
      </c>
      <c r="K1733" s="5" t="str">
        <f t="shared" si="27"/>
        <v>over budget</v>
      </c>
    </row>
    <row r="1734" spans="1:11" x14ac:dyDescent="0.3">
      <c r="A1734" s="6">
        <v>45312</v>
      </c>
      <c r="B1734" s="5" t="s">
        <v>37</v>
      </c>
      <c r="C1734" s="5" t="s">
        <v>35</v>
      </c>
      <c r="D1734" s="5" t="s">
        <v>11</v>
      </c>
      <c r="E1734" s="5" t="s">
        <v>12</v>
      </c>
      <c r="F1734" s="5">
        <v>1224</v>
      </c>
      <c r="G1734" s="5" t="str">
        <f>VLOOKUP(C1734,Sheet2!$C$3:$D$12,2,0)</f>
        <v>Fixed</v>
      </c>
      <c r="H1734" s="5" t="str">
        <f>IFERROR(VLOOKUP(E1734,Sheet2!$G$3:$H$8,2,0),"unkwon")</f>
        <v>online</v>
      </c>
      <c r="I1734" s="5">
        <f>VLOOKUP(B1734,Sheet2!$J$4:$K$15,2,0)</f>
        <v>1</v>
      </c>
      <c r="J1734" s="5">
        <f>IFERROR(VLOOKUP(C1734,Sheet2!$M$4:$N$12,2,0),0)</f>
        <v>5500</v>
      </c>
      <c r="K1734" s="5" t="str">
        <f t="shared" si="27"/>
        <v>within budget</v>
      </c>
    </row>
    <row r="1735" spans="1:11" x14ac:dyDescent="0.3">
      <c r="A1735" s="6">
        <v>45367</v>
      </c>
      <c r="B1735" s="5" t="s">
        <v>19</v>
      </c>
      <c r="C1735" s="5" t="s">
        <v>27</v>
      </c>
      <c r="D1735" s="5" t="s">
        <v>11</v>
      </c>
      <c r="E1735" s="5" t="s">
        <v>12</v>
      </c>
      <c r="F1735" s="5">
        <v>126</v>
      </c>
      <c r="G1735" s="5" t="str">
        <f>VLOOKUP(C1735,Sheet2!$C$3:$D$12,2,0)</f>
        <v>Variable</v>
      </c>
      <c r="H1735" s="5" t="str">
        <f>IFERROR(VLOOKUP(E1735,Sheet2!$G$3:$H$8,2,0),"unkwon")</f>
        <v>online</v>
      </c>
      <c r="I1735" s="5">
        <f>VLOOKUP(B1735,Sheet2!$J$4:$K$15,2,0)</f>
        <v>3</v>
      </c>
      <c r="J1735" s="5">
        <f>IFERROR(VLOOKUP(C1735,Sheet2!$M$4:$N$12,2,0),0)</f>
        <v>4000</v>
      </c>
      <c r="K1735" s="5" t="str">
        <f t="shared" si="27"/>
        <v>within budget</v>
      </c>
    </row>
    <row r="1736" spans="1:11" x14ac:dyDescent="0.3">
      <c r="A1736" s="6">
        <v>45193</v>
      </c>
      <c r="B1736" s="5" t="s">
        <v>38</v>
      </c>
      <c r="C1736" s="5" t="s">
        <v>7</v>
      </c>
      <c r="D1736" s="5" t="s">
        <v>8</v>
      </c>
      <c r="E1736" s="5" t="s">
        <v>12</v>
      </c>
      <c r="F1736" s="5">
        <v>1752</v>
      </c>
      <c r="G1736" s="5" t="str">
        <f>VLOOKUP(C1736,Sheet2!$C$3:$D$12,2,0)</f>
        <v>Fixed</v>
      </c>
      <c r="H1736" s="5" t="str">
        <f>IFERROR(VLOOKUP(E1736,Sheet2!$G$3:$H$8,2,0),"unkwon")</f>
        <v>online</v>
      </c>
      <c r="I1736" s="5">
        <f>VLOOKUP(B1736,Sheet2!$J$4:$K$15,2,0)</f>
        <v>9</v>
      </c>
      <c r="J1736" s="5">
        <f>IFERROR(VLOOKUP(C1736,Sheet2!$M$4:$N$12,2,0),0)</f>
        <v>2000</v>
      </c>
      <c r="K1736" s="5" t="str">
        <f t="shared" si="27"/>
        <v>within budget</v>
      </c>
    </row>
    <row r="1737" spans="1:11" x14ac:dyDescent="0.3">
      <c r="A1737" s="6">
        <v>45539</v>
      </c>
      <c r="B1737" s="5" t="s">
        <v>38</v>
      </c>
      <c r="C1737" s="5" t="s">
        <v>27</v>
      </c>
      <c r="D1737" s="5" t="s">
        <v>18</v>
      </c>
      <c r="E1737" s="5" t="s">
        <v>32</v>
      </c>
      <c r="F1737" s="5">
        <v>4567</v>
      </c>
      <c r="G1737" s="5" t="str">
        <f>VLOOKUP(C1737,Sheet2!$C$3:$D$12,2,0)</f>
        <v>Variable</v>
      </c>
      <c r="H1737" s="5" t="str">
        <f>IFERROR(VLOOKUP(E1737,Sheet2!$G$3:$H$8,2,0),"unkwon")</f>
        <v>offline</v>
      </c>
      <c r="I1737" s="5">
        <f>VLOOKUP(B1737,Sheet2!$J$4:$K$15,2,0)</f>
        <v>9</v>
      </c>
      <c r="J1737" s="5">
        <f>IFERROR(VLOOKUP(C1737,Sheet2!$M$4:$N$12,2,0),0)</f>
        <v>4000</v>
      </c>
      <c r="K1737" s="5" t="str">
        <f t="shared" si="27"/>
        <v>over budget</v>
      </c>
    </row>
    <row r="1738" spans="1:11" x14ac:dyDescent="0.3">
      <c r="A1738" s="6">
        <v>45610</v>
      </c>
      <c r="B1738" s="5" t="s">
        <v>40</v>
      </c>
      <c r="C1738" s="5" t="s">
        <v>41</v>
      </c>
      <c r="D1738" s="5" t="s">
        <v>20</v>
      </c>
      <c r="E1738" s="5" t="s">
        <v>15</v>
      </c>
      <c r="F1738" s="5">
        <v>510</v>
      </c>
      <c r="G1738" s="5" t="str">
        <f>VLOOKUP(C1738,Sheet2!$C$3:$D$12,2,0)</f>
        <v>Variable</v>
      </c>
      <c r="H1738" s="5" t="str">
        <f>IFERROR(VLOOKUP(E1738,Sheet2!$G$3:$H$8,2,0),"unkwon")</f>
        <v>online</v>
      </c>
      <c r="I1738" s="5">
        <f>VLOOKUP(B1738,Sheet2!$J$4:$K$15,2,0)</f>
        <v>11</v>
      </c>
      <c r="J1738" s="5">
        <f>IFERROR(VLOOKUP(C1738,Sheet2!$M$4:$N$12,2,0),0)</f>
        <v>7000</v>
      </c>
      <c r="K1738" s="5" t="str">
        <f t="shared" si="27"/>
        <v>within budget</v>
      </c>
    </row>
    <row r="1739" spans="1:11" x14ac:dyDescent="0.3">
      <c r="A1739" s="6">
        <v>44981</v>
      </c>
      <c r="B1739" s="5" t="s">
        <v>33</v>
      </c>
      <c r="C1739" s="5" t="s">
        <v>41</v>
      </c>
      <c r="D1739" s="5" t="s">
        <v>26</v>
      </c>
      <c r="E1739" s="5" t="s">
        <v>9</v>
      </c>
      <c r="F1739" s="5">
        <v>2113</v>
      </c>
      <c r="G1739" s="5" t="str">
        <f>VLOOKUP(C1739,Sheet2!$C$3:$D$12,2,0)</f>
        <v>Variable</v>
      </c>
      <c r="H1739" s="5" t="str">
        <f>IFERROR(VLOOKUP(E1739,Sheet2!$G$3:$H$8,2,0),"unkwon")</f>
        <v>online</v>
      </c>
      <c r="I1739" s="5">
        <f>VLOOKUP(B1739,Sheet2!$J$4:$K$15,2,0)</f>
        <v>2</v>
      </c>
      <c r="J1739" s="5">
        <f>IFERROR(VLOOKUP(C1739,Sheet2!$M$4:$N$12,2,0),0)</f>
        <v>7000</v>
      </c>
      <c r="K1739" s="5" t="str">
        <f t="shared" si="27"/>
        <v>within budget</v>
      </c>
    </row>
    <row r="1740" spans="1:11" x14ac:dyDescent="0.3">
      <c r="A1740" s="6">
        <v>45308</v>
      </c>
      <c r="B1740" s="5" t="s">
        <v>37</v>
      </c>
      <c r="C1740" s="5" t="s">
        <v>13</v>
      </c>
      <c r="D1740" s="5" t="s">
        <v>34</v>
      </c>
      <c r="E1740" s="5" t="s">
        <v>17</v>
      </c>
      <c r="F1740" s="5">
        <v>1353</v>
      </c>
      <c r="G1740" s="5" t="str">
        <f>VLOOKUP(C1740,Sheet2!$C$3:$D$12,2,0)</f>
        <v>Variable</v>
      </c>
      <c r="H1740" s="5" t="str">
        <f>IFERROR(VLOOKUP(E1740,Sheet2!$G$3:$H$8,2,0),"unkwon")</f>
        <v>online</v>
      </c>
      <c r="I1740" s="5">
        <f>VLOOKUP(B1740,Sheet2!$J$4:$K$15,2,0)</f>
        <v>1</v>
      </c>
      <c r="J1740" s="5">
        <f>IFERROR(VLOOKUP(C1740,Sheet2!$M$4:$N$12,2,0),0)</f>
        <v>5000</v>
      </c>
      <c r="K1740" s="5" t="str">
        <f t="shared" si="27"/>
        <v>within budget</v>
      </c>
    </row>
    <row r="1741" spans="1:11" x14ac:dyDescent="0.3">
      <c r="A1741" s="6">
        <v>45282</v>
      </c>
      <c r="B1741" s="5" t="s">
        <v>16</v>
      </c>
      <c r="C1741" s="5" t="s">
        <v>10</v>
      </c>
      <c r="D1741" s="5" t="s">
        <v>31</v>
      </c>
      <c r="E1741" s="5" t="s">
        <v>15</v>
      </c>
      <c r="F1741" s="5">
        <v>1188</v>
      </c>
      <c r="G1741" s="5" t="str">
        <f>VLOOKUP(C1741,Sheet2!$C$3:$D$12,2,0)</f>
        <v>Variable</v>
      </c>
      <c r="H1741" s="5" t="str">
        <f>IFERROR(VLOOKUP(E1741,Sheet2!$G$3:$H$8,2,0),"unkwon")</f>
        <v>online</v>
      </c>
      <c r="I1741" s="5">
        <f>VLOOKUP(B1741,Sheet2!$J$4:$K$15,2,0)</f>
        <v>12</v>
      </c>
      <c r="J1741" s="5">
        <f>IFERROR(VLOOKUP(C1741,Sheet2!$M$4:$N$12,2,0),0)</f>
        <v>5000</v>
      </c>
      <c r="K1741" s="5" t="str">
        <f t="shared" si="27"/>
        <v>within budget</v>
      </c>
    </row>
    <row r="1742" spans="1:11" x14ac:dyDescent="0.3">
      <c r="A1742" s="6">
        <v>45233</v>
      </c>
      <c r="B1742" s="5" t="s">
        <v>40</v>
      </c>
      <c r="C1742" s="5" t="s">
        <v>41</v>
      </c>
      <c r="D1742" s="5" t="s">
        <v>18</v>
      </c>
      <c r="E1742" s="5" t="s">
        <v>12</v>
      </c>
      <c r="F1742" s="5">
        <v>2025</v>
      </c>
      <c r="G1742" s="5" t="str">
        <f>VLOOKUP(C1742,Sheet2!$C$3:$D$12,2,0)</f>
        <v>Variable</v>
      </c>
      <c r="H1742" s="5" t="str">
        <f>IFERROR(VLOOKUP(E1742,Sheet2!$G$3:$H$8,2,0),"unkwon")</f>
        <v>online</v>
      </c>
      <c r="I1742" s="5">
        <f>VLOOKUP(B1742,Sheet2!$J$4:$K$15,2,0)</f>
        <v>11</v>
      </c>
      <c r="J1742" s="5">
        <f>IFERROR(VLOOKUP(C1742,Sheet2!$M$4:$N$12,2,0),0)</f>
        <v>7000</v>
      </c>
      <c r="K1742" s="5" t="str">
        <f t="shared" si="27"/>
        <v>within budget</v>
      </c>
    </row>
    <row r="1743" spans="1:11" x14ac:dyDescent="0.3">
      <c r="A1743" s="6">
        <v>45389</v>
      </c>
      <c r="B1743" s="5" t="s">
        <v>29</v>
      </c>
      <c r="C1743" s="5" t="s">
        <v>13</v>
      </c>
      <c r="D1743" s="5" t="s">
        <v>23</v>
      </c>
      <c r="E1743" s="5" t="s">
        <v>9</v>
      </c>
      <c r="F1743" s="5">
        <v>4497</v>
      </c>
      <c r="G1743" s="5" t="str">
        <f>VLOOKUP(C1743,Sheet2!$C$3:$D$12,2,0)</f>
        <v>Variable</v>
      </c>
      <c r="H1743" s="5" t="str">
        <f>IFERROR(VLOOKUP(E1743,Sheet2!$G$3:$H$8,2,0),"unkwon")</f>
        <v>online</v>
      </c>
      <c r="I1743" s="5">
        <f>VLOOKUP(B1743,Sheet2!$J$4:$K$15,2,0)</f>
        <v>4</v>
      </c>
      <c r="J1743" s="5">
        <f>IFERROR(VLOOKUP(C1743,Sheet2!$M$4:$N$12,2,0),0)</f>
        <v>5000</v>
      </c>
      <c r="K1743" s="5" t="str">
        <f t="shared" si="27"/>
        <v>within budget</v>
      </c>
    </row>
    <row r="1744" spans="1:11" x14ac:dyDescent="0.3">
      <c r="A1744" s="6">
        <v>45651</v>
      </c>
      <c r="B1744" s="5" t="s">
        <v>16</v>
      </c>
      <c r="C1744" s="5" t="s">
        <v>10</v>
      </c>
      <c r="D1744" s="5" t="s">
        <v>18</v>
      </c>
      <c r="E1744" s="5" t="s">
        <v>12</v>
      </c>
      <c r="F1744" s="5">
        <v>50</v>
      </c>
      <c r="G1744" s="5" t="str">
        <f>VLOOKUP(C1744,Sheet2!$C$3:$D$12,2,0)</f>
        <v>Variable</v>
      </c>
      <c r="H1744" s="5" t="str">
        <f>IFERROR(VLOOKUP(E1744,Sheet2!$G$3:$H$8,2,0),"unkwon")</f>
        <v>online</v>
      </c>
      <c r="I1744" s="5">
        <f>VLOOKUP(B1744,Sheet2!$J$4:$K$15,2,0)</f>
        <v>12</v>
      </c>
      <c r="J1744" s="5">
        <f>IFERROR(VLOOKUP(C1744,Sheet2!$M$4:$N$12,2,0),0)</f>
        <v>5000</v>
      </c>
      <c r="K1744" s="5" t="str">
        <f t="shared" si="27"/>
        <v>within budget</v>
      </c>
    </row>
    <row r="1745" spans="1:11" x14ac:dyDescent="0.3">
      <c r="A1745" s="6">
        <v>45256</v>
      </c>
      <c r="B1745" s="5" t="s">
        <v>40</v>
      </c>
      <c r="C1745" s="5" t="s">
        <v>30</v>
      </c>
      <c r="D1745" s="5" t="s">
        <v>20</v>
      </c>
      <c r="E1745" s="5" t="s">
        <v>15</v>
      </c>
      <c r="F1745" s="5">
        <v>3507</v>
      </c>
      <c r="G1745" s="5" t="str">
        <f>VLOOKUP(C1745,Sheet2!$C$3:$D$12,2,0)</f>
        <v>Fixed</v>
      </c>
      <c r="H1745" s="5" t="str">
        <f>IFERROR(VLOOKUP(E1745,Sheet2!$G$3:$H$8,2,0),"unkwon")</f>
        <v>online</v>
      </c>
      <c r="I1745" s="5">
        <f>VLOOKUP(B1745,Sheet2!$J$4:$K$15,2,0)</f>
        <v>11</v>
      </c>
      <c r="J1745" s="5">
        <f>IFERROR(VLOOKUP(C1745,Sheet2!$M$4:$N$12,2,0),0)</f>
        <v>3000</v>
      </c>
      <c r="K1745" s="5" t="str">
        <f t="shared" si="27"/>
        <v>over budget</v>
      </c>
    </row>
    <row r="1746" spans="1:11" x14ac:dyDescent="0.3">
      <c r="A1746" s="6">
        <v>45305</v>
      </c>
      <c r="B1746" s="5" t="s">
        <v>37</v>
      </c>
      <c r="C1746" s="5" t="s">
        <v>10</v>
      </c>
      <c r="D1746" s="5" t="s">
        <v>8</v>
      </c>
      <c r="E1746" s="5" t="s">
        <v>17</v>
      </c>
      <c r="F1746" s="5">
        <v>3048</v>
      </c>
      <c r="G1746" s="5" t="str">
        <f>VLOOKUP(C1746,Sheet2!$C$3:$D$12,2,0)</f>
        <v>Variable</v>
      </c>
      <c r="H1746" s="5" t="str">
        <f>IFERROR(VLOOKUP(E1746,Sheet2!$G$3:$H$8,2,0),"unkwon")</f>
        <v>online</v>
      </c>
      <c r="I1746" s="5">
        <f>VLOOKUP(B1746,Sheet2!$J$4:$K$15,2,0)</f>
        <v>1</v>
      </c>
      <c r="J1746" s="5">
        <f>IFERROR(VLOOKUP(C1746,Sheet2!$M$4:$N$12,2,0),0)</f>
        <v>5000</v>
      </c>
      <c r="K1746" s="5" t="str">
        <f t="shared" si="27"/>
        <v>within budget</v>
      </c>
    </row>
    <row r="1747" spans="1:11" x14ac:dyDescent="0.3">
      <c r="A1747" s="6">
        <v>45182</v>
      </c>
      <c r="B1747" s="5" t="s">
        <v>38</v>
      </c>
      <c r="C1747" s="5" t="s">
        <v>13</v>
      </c>
      <c r="D1747" s="5" t="s">
        <v>14</v>
      </c>
      <c r="E1747" s="5" t="s">
        <v>9</v>
      </c>
      <c r="F1747" s="5">
        <v>2890</v>
      </c>
      <c r="G1747" s="5" t="str">
        <f>VLOOKUP(C1747,Sheet2!$C$3:$D$12,2,0)</f>
        <v>Variable</v>
      </c>
      <c r="H1747" s="5" t="str">
        <f>IFERROR(VLOOKUP(E1747,Sheet2!$G$3:$H$8,2,0),"unkwon")</f>
        <v>online</v>
      </c>
      <c r="I1747" s="5">
        <f>VLOOKUP(B1747,Sheet2!$J$4:$K$15,2,0)</f>
        <v>9</v>
      </c>
      <c r="J1747" s="5">
        <f>IFERROR(VLOOKUP(C1747,Sheet2!$M$4:$N$12,2,0),0)</f>
        <v>5000</v>
      </c>
      <c r="K1747" s="5" t="str">
        <f t="shared" si="27"/>
        <v>within budget</v>
      </c>
    </row>
    <row r="1748" spans="1:11" x14ac:dyDescent="0.3">
      <c r="A1748" s="6">
        <v>45173</v>
      </c>
      <c r="B1748" s="5" t="s">
        <v>38</v>
      </c>
      <c r="C1748" s="5" t="s">
        <v>36</v>
      </c>
      <c r="D1748" s="5" t="s">
        <v>24</v>
      </c>
      <c r="E1748" s="5" t="s">
        <v>15</v>
      </c>
      <c r="F1748" s="5">
        <v>1774</v>
      </c>
      <c r="G1748" s="5" t="str">
        <f>VLOOKUP(C1748,Sheet2!$C$3:$D$12,2,0)</f>
        <v>Variable</v>
      </c>
      <c r="H1748" s="5" t="str">
        <f>IFERROR(VLOOKUP(E1748,Sheet2!$G$3:$H$8,2,0),"unkwon")</f>
        <v>online</v>
      </c>
      <c r="I1748" s="5">
        <f>VLOOKUP(B1748,Sheet2!$J$4:$K$15,2,0)</f>
        <v>9</v>
      </c>
      <c r="J1748" s="5">
        <f>IFERROR(VLOOKUP(C1748,Sheet2!$M$4:$N$12,2,0),0)</f>
        <v>10000</v>
      </c>
      <c r="K1748" s="5" t="str">
        <f t="shared" si="27"/>
        <v>within budget</v>
      </c>
    </row>
    <row r="1749" spans="1:11" x14ac:dyDescent="0.3">
      <c r="A1749" s="6">
        <v>45292</v>
      </c>
      <c r="B1749" s="5" t="s">
        <v>37</v>
      </c>
      <c r="C1749" s="5" t="s">
        <v>36</v>
      </c>
      <c r="D1749" s="5" t="s">
        <v>11</v>
      </c>
      <c r="E1749" s="5" t="s">
        <v>32</v>
      </c>
      <c r="F1749" s="5">
        <v>2543</v>
      </c>
      <c r="G1749" s="5" t="str">
        <f>VLOOKUP(C1749,Sheet2!$C$3:$D$12,2,0)</f>
        <v>Variable</v>
      </c>
      <c r="H1749" s="5" t="str">
        <f>IFERROR(VLOOKUP(E1749,Sheet2!$G$3:$H$8,2,0),"unkwon")</f>
        <v>offline</v>
      </c>
      <c r="I1749" s="5">
        <f>VLOOKUP(B1749,Sheet2!$J$4:$K$15,2,0)</f>
        <v>1</v>
      </c>
      <c r="J1749" s="5">
        <f>IFERROR(VLOOKUP(C1749,Sheet2!$M$4:$N$12,2,0),0)</f>
        <v>10000</v>
      </c>
      <c r="K1749" s="5" t="str">
        <f t="shared" si="27"/>
        <v>within budget</v>
      </c>
    </row>
    <row r="1750" spans="1:11" x14ac:dyDescent="0.3">
      <c r="A1750" s="6">
        <v>45531</v>
      </c>
      <c r="B1750" s="5" t="s">
        <v>25</v>
      </c>
      <c r="C1750" s="5" t="s">
        <v>30</v>
      </c>
      <c r="D1750" s="5" t="s">
        <v>26</v>
      </c>
      <c r="E1750" s="5" t="s">
        <v>9</v>
      </c>
      <c r="F1750" s="5">
        <v>4501</v>
      </c>
      <c r="G1750" s="5" t="str">
        <f>VLOOKUP(C1750,Sheet2!$C$3:$D$12,2,0)</f>
        <v>Fixed</v>
      </c>
      <c r="H1750" s="5" t="str">
        <f>IFERROR(VLOOKUP(E1750,Sheet2!$G$3:$H$8,2,0),"unkwon")</f>
        <v>online</v>
      </c>
      <c r="I1750" s="5">
        <f>VLOOKUP(B1750,Sheet2!$J$4:$K$15,2,0)</f>
        <v>8</v>
      </c>
      <c r="J1750" s="5">
        <f>IFERROR(VLOOKUP(C1750,Sheet2!$M$4:$N$12,2,0),0)</f>
        <v>3000</v>
      </c>
      <c r="K1750" s="5" t="str">
        <f t="shared" si="27"/>
        <v>over budget</v>
      </c>
    </row>
    <row r="1751" spans="1:11" x14ac:dyDescent="0.3">
      <c r="A1751" s="6">
        <v>45650</v>
      </c>
      <c r="B1751" s="5" t="s">
        <v>16</v>
      </c>
      <c r="C1751" s="5" t="s">
        <v>10</v>
      </c>
      <c r="D1751" s="5" t="s">
        <v>18</v>
      </c>
      <c r="E1751" s="5" t="s">
        <v>32</v>
      </c>
      <c r="F1751" s="5">
        <v>1143</v>
      </c>
      <c r="G1751" s="5" t="str">
        <f>VLOOKUP(C1751,Sheet2!$C$3:$D$12,2,0)</f>
        <v>Variable</v>
      </c>
      <c r="H1751" s="5" t="str">
        <f>IFERROR(VLOOKUP(E1751,Sheet2!$G$3:$H$8,2,0),"unkwon")</f>
        <v>offline</v>
      </c>
      <c r="I1751" s="5">
        <f>VLOOKUP(B1751,Sheet2!$J$4:$K$15,2,0)</f>
        <v>12</v>
      </c>
      <c r="J1751" s="5">
        <f>IFERROR(VLOOKUP(C1751,Sheet2!$M$4:$N$12,2,0),0)</f>
        <v>5000</v>
      </c>
      <c r="K1751" s="5" t="str">
        <f t="shared" si="27"/>
        <v>within budget</v>
      </c>
    </row>
    <row r="1752" spans="1:11" x14ac:dyDescent="0.3">
      <c r="A1752" s="6">
        <v>45445</v>
      </c>
      <c r="B1752" s="5" t="s">
        <v>39</v>
      </c>
      <c r="C1752" s="5" t="s">
        <v>7</v>
      </c>
      <c r="D1752" s="5" t="s">
        <v>20</v>
      </c>
      <c r="E1752" s="5" t="s">
        <v>9</v>
      </c>
      <c r="F1752" s="5">
        <v>4227</v>
      </c>
      <c r="G1752" s="5" t="str">
        <f>VLOOKUP(C1752,Sheet2!$C$3:$D$12,2,0)</f>
        <v>Fixed</v>
      </c>
      <c r="H1752" s="5" t="str">
        <f>IFERROR(VLOOKUP(E1752,Sheet2!$G$3:$H$8,2,0),"unkwon")</f>
        <v>online</v>
      </c>
      <c r="I1752" s="5">
        <f>VLOOKUP(B1752,Sheet2!$J$4:$K$15,2,0)</f>
        <v>6</v>
      </c>
      <c r="J1752" s="5">
        <f>IFERROR(VLOOKUP(C1752,Sheet2!$M$4:$N$12,2,0),0)</f>
        <v>2000</v>
      </c>
      <c r="K1752" s="5" t="str">
        <f t="shared" si="27"/>
        <v>over budget</v>
      </c>
    </row>
    <row r="1753" spans="1:11" x14ac:dyDescent="0.3">
      <c r="A1753" s="6">
        <v>45354</v>
      </c>
      <c r="B1753" s="5" t="s">
        <v>19</v>
      </c>
      <c r="C1753" s="5" t="s">
        <v>22</v>
      </c>
      <c r="D1753" s="5" t="s">
        <v>34</v>
      </c>
      <c r="E1753" s="5" t="s">
        <v>9</v>
      </c>
      <c r="F1753" s="5">
        <v>3276</v>
      </c>
      <c r="G1753" s="5" t="str">
        <f>VLOOKUP(C1753,Sheet2!$C$3:$D$12,2,0)</f>
        <v>Variable</v>
      </c>
      <c r="H1753" s="5" t="str">
        <f>IFERROR(VLOOKUP(E1753,Sheet2!$G$3:$H$8,2,0),"unkwon")</f>
        <v>online</v>
      </c>
      <c r="I1753" s="5">
        <f>VLOOKUP(B1753,Sheet2!$J$4:$K$15,2,0)</f>
        <v>3</v>
      </c>
      <c r="J1753" s="5">
        <f>IFERROR(VLOOKUP(C1753,Sheet2!$M$4:$N$12,2,0),0)</f>
        <v>1000</v>
      </c>
      <c r="K1753" s="5" t="str">
        <f t="shared" si="27"/>
        <v>over budget</v>
      </c>
    </row>
    <row r="1754" spans="1:11" x14ac:dyDescent="0.3">
      <c r="A1754" s="6">
        <v>45240</v>
      </c>
      <c r="B1754" s="5" t="s">
        <v>40</v>
      </c>
      <c r="C1754" s="5" t="s">
        <v>36</v>
      </c>
      <c r="D1754" s="5" t="s">
        <v>8</v>
      </c>
      <c r="E1754" s="5" t="s">
        <v>17</v>
      </c>
      <c r="F1754" s="5">
        <v>1011</v>
      </c>
      <c r="G1754" s="5" t="str">
        <f>VLOOKUP(C1754,Sheet2!$C$3:$D$12,2,0)</f>
        <v>Variable</v>
      </c>
      <c r="H1754" s="5" t="str">
        <f>IFERROR(VLOOKUP(E1754,Sheet2!$G$3:$H$8,2,0),"unkwon")</f>
        <v>online</v>
      </c>
      <c r="I1754" s="5">
        <f>VLOOKUP(B1754,Sheet2!$J$4:$K$15,2,0)</f>
        <v>11</v>
      </c>
      <c r="J1754" s="5">
        <f>IFERROR(VLOOKUP(C1754,Sheet2!$M$4:$N$12,2,0),0)</f>
        <v>10000</v>
      </c>
      <c r="K1754" s="5" t="str">
        <f t="shared" si="27"/>
        <v>within budget</v>
      </c>
    </row>
    <row r="1755" spans="1:11" x14ac:dyDescent="0.3">
      <c r="A1755" s="6">
        <v>45174</v>
      </c>
      <c r="B1755" s="5" t="s">
        <v>38</v>
      </c>
      <c r="C1755" s="5" t="s">
        <v>41</v>
      </c>
      <c r="D1755" s="5" t="s">
        <v>14</v>
      </c>
      <c r="E1755" s="5" t="s">
        <v>12</v>
      </c>
      <c r="F1755" s="5">
        <v>1522</v>
      </c>
      <c r="G1755" s="5" t="str">
        <f>VLOOKUP(C1755,Sheet2!$C$3:$D$12,2,0)</f>
        <v>Variable</v>
      </c>
      <c r="H1755" s="5" t="str">
        <f>IFERROR(VLOOKUP(E1755,Sheet2!$G$3:$H$8,2,0),"unkwon")</f>
        <v>online</v>
      </c>
      <c r="I1755" s="5">
        <f>VLOOKUP(B1755,Sheet2!$J$4:$K$15,2,0)</f>
        <v>9</v>
      </c>
      <c r="J1755" s="5">
        <f>IFERROR(VLOOKUP(C1755,Sheet2!$M$4:$N$12,2,0),0)</f>
        <v>7000</v>
      </c>
      <c r="K1755" s="5" t="str">
        <f t="shared" si="27"/>
        <v>within budget</v>
      </c>
    </row>
    <row r="1756" spans="1:11" x14ac:dyDescent="0.3">
      <c r="A1756" s="6">
        <v>45188</v>
      </c>
      <c r="B1756" s="5" t="s">
        <v>38</v>
      </c>
      <c r="C1756" s="5" t="s">
        <v>22</v>
      </c>
      <c r="D1756" s="5" t="s">
        <v>23</v>
      </c>
      <c r="E1756" s="5" t="s">
        <v>15</v>
      </c>
      <c r="F1756" s="5">
        <v>4998</v>
      </c>
      <c r="G1756" s="5" t="str">
        <f>VLOOKUP(C1756,Sheet2!$C$3:$D$12,2,0)</f>
        <v>Variable</v>
      </c>
      <c r="H1756" s="5" t="str">
        <f>IFERROR(VLOOKUP(E1756,Sheet2!$G$3:$H$8,2,0),"unkwon")</f>
        <v>online</v>
      </c>
      <c r="I1756" s="5">
        <f>VLOOKUP(B1756,Sheet2!$J$4:$K$15,2,0)</f>
        <v>9</v>
      </c>
      <c r="J1756" s="5">
        <f>IFERROR(VLOOKUP(C1756,Sheet2!$M$4:$N$12,2,0),0)</f>
        <v>1000</v>
      </c>
      <c r="K1756" s="5" t="str">
        <f t="shared" si="27"/>
        <v>over budget</v>
      </c>
    </row>
    <row r="1757" spans="1:11" x14ac:dyDescent="0.3">
      <c r="A1757" s="6">
        <v>45263</v>
      </c>
      <c r="B1757" s="5" t="s">
        <v>16</v>
      </c>
      <c r="C1757" s="5" t="s">
        <v>36</v>
      </c>
      <c r="D1757" s="5" t="s">
        <v>20</v>
      </c>
      <c r="E1757" s="5" t="s">
        <v>15</v>
      </c>
      <c r="F1757" s="5">
        <v>845</v>
      </c>
      <c r="G1757" s="5" t="str">
        <f>VLOOKUP(C1757,Sheet2!$C$3:$D$12,2,0)</f>
        <v>Variable</v>
      </c>
      <c r="H1757" s="5" t="str">
        <f>IFERROR(VLOOKUP(E1757,Sheet2!$G$3:$H$8,2,0),"unkwon")</f>
        <v>online</v>
      </c>
      <c r="I1757" s="5">
        <f>VLOOKUP(B1757,Sheet2!$J$4:$K$15,2,0)</f>
        <v>12</v>
      </c>
      <c r="J1757" s="5">
        <f>IFERROR(VLOOKUP(C1757,Sheet2!$M$4:$N$12,2,0),0)</f>
        <v>10000</v>
      </c>
      <c r="K1757" s="5" t="str">
        <f t="shared" si="27"/>
        <v>within budget</v>
      </c>
    </row>
    <row r="1758" spans="1:11" x14ac:dyDescent="0.3">
      <c r="A1758" s="6">
        <v>45535</v>
      </c>
      <c r="B1758" s="5" t="s">
        <v>25</v>
      </c>
      <c r="C1758" s="5" t="s">
        <v>22</v>
      </c>
      <c r="D1758" s="5" t="s">
        <v>31</v>
      </c>
      <c r="E1758" s="5" t="s">
        <v>15</v>
      </c>
      <c r="F1758" s="5">
        <v>229</v>
      </c>
      <c r="G1758" s="5" t="str">
        <f>VLOOKUP(C1758,Sheet2!$C$3:$D$12,2,0)</f>
        <v>Variable</v>
      </c>
      <c r="H1758" s="5" t="str">
        <f>IFERROR(VLOOKUP(E1758,Sheet2!$G$3:$H$8,2,0),"unkwon")</f>
        <v>online</v>
      </c>
      <c r="I1758" s="5">
        <f>VLOOKUP(B1758,Sheet2!$J$4:$K$15,2,0)</f>
        <v>8</v>
      </c>
      <c r="J1758" s="5">
        <f>IFERROR(VLOOKUP(C1758,Sheet2!$M$4:$N$12,2,0),0)</f>
        <v>1000</v>
      </c>
      <c r="K1758" s="5" t="str">
        <f t="shared" si="27"/>
        <v>within budget</v>
      </c>
    </row>
    <row r="1759" spans="1:11" x14ac:dyDescent="0.3">
      <c r="A1759" s="6">
        <v>45308</v>
      </c>
      <c r="B1759" s="5" t="s">
        <v>37</v>
      </c>
      <c r="C1759" s="5" t="s">
        <v>13</v>
      </c>
      <c r="D1759" s="5" t="s">
        <v>11</v>
      </c>
      <c r="E1759" s="5" t="s">
        <v>9</v>
      </c>
      <c r="F1759" s="5">
        <v>1193</v>
      </c>
      <c r="G1759" s="5" t="str">
        <f>VLOOKUP(C1759,Sheet2!$C$3:$D$12,2,0)</f>
        <v>Variable</v>
      </c>
      <c r="H1759" s="5" t="str">
        <f>IFERROR(VLOOKUP(E1759,Sheet2!$G$3:$H$8,2,0),"unkwon")</f>
        <v>online</v>
      </c>
      <c r="I1759" s="5">
        <f>VLOOKUP(B1759,Sheet2!$J$4:$K$15,2,0)</f>
        <v>1</v>
      </c>
      <c r="J1759" s="5">
        <f>IFERROR(VLOOKUP(C1759,Sheet2!$M$4:$N$12,2,0),0)</f>
        <v>5000</v>
      </c>
      <c r="K1759" s="5" t="str">
        <f t="shared" si="27"/>
        <v>within budget</v>
      </c>
    </row>
    <row r="1760" spans="1:11" x14ac:dyDescent="0.3">
      <c r="A1760" s="6">
        <v>45217</v>
      </c>
      <c r="B1760" s="5" t="s">
        <v>6</v>
      </c>
      <c r="C1760" s="5" t="s">
        <v>10</v>
      </c>
      <c r="D1760" s="5" t="s">
        <v>26</v>
      </c>
      <c r="E1760" s="5" t="s">
        <v>12</v>
      </c>
      <c r="F1760" s="5">
        <v>4297</v>
      </c>
      <c r="G1760" s="5" t="str">
        <f>VLOOKUP(C1760,Sheet2!$C$3:$D$12,2,0)</f>
        <v>Variable</v>
      </c>
      <c r="H1760" s="5" t="str">
        <f>IFERROR(VLOOKUP(E1760,Sheet2!$G$3:$H$8,2,0),"unkwon")</f>
        <v>online</v>
      </c>
      <c r="I1760" s="5">
        <f>VLOOKUP(B1760,Sheet2!$J$4:$K$15,2,0)</f>
        <v>10</v>
      </c>
      <c r="J1760" s="5">
        <f>IFERROR(VLOOKUP(C1760,Sheet2!$M$4:$N$12,2,0),0)</f>
        <v>5000</v>
      </c>
      <c r="K1760" s="5" t="str">
        <f t="shared" si="27"/>
        <v>within budget</v>
      </c>
    </row>
    <row r="1761" spans="1:11" x14ac:dyDescent="0.3">
      <c r="A1761" s="6">
        <v>45074</v>
      </c>
      <c r="B1761" s="5" t="s">
        <v>28</v>
      </c>
      <c r="C1761" s="5" t="s">
        <v>30</v>
      </c>
      <c r="D1761" s="5" t="s">
        <v>23</v>
      </c>
      <c r="E1761" s="5" t="s">
        <v>12</v>
      </c>
      <c r="F1761" s="5">
        <v>4752</v>
      </c>
      <c r="G1761" s="5" t="str">
        <f>VLOOKUP(C1761,Sheet2!$C$3:$D$12,2,0)</f>
        <v>Fixed</v>
      </c>
      <c r="H1761" s="5" t="str">
        <f>IFERROR(VLOOKUP(E1761,Sheet2!$G$3:$H$8,2,0),"unkwon")</f>
        <v>online</v>
      </c>
      <c r="I1761" s="5">
        <f>VLOOKUP(B1761,Sheet2!$J$4:$K$15,2,0)</f>
        <v>5</v>
      </c>
      <c r="J1761" s="5">
        <f>IFERROR(VLOOKUP(C1761,Sheet2!$M$4:$N$12,2,0),0)</f>
        <v>3000</v>
      </c>
      <c r="K1761" s="5" t="str">
        <f t="shared" si="27"/>
        <v>over budget</v>
      </c>
    </row>
    <row r="1762" spans="1:11" x14ac:dyDescent="0.3">
      <c r="A1762" s="6">
        <v>45569</v>
      </c>
      <c r="B1762" s="5" t="s">
        <v>6</v>
      </c>
      <c r="C1762" s="5" t="s">
        <v>41</v>
      </c>
      <c r="D1762" s="5" t="s">
        <v>26</v>
      </c>
      <c r="E1762" s="5" t="s">
        <v>9</v>
      </c>
      <c r="F1762" s="5">
        <v>1075</v>
      </c>
      <c r="G1762" s="5" t="str">
        <f>VLOOKUP(C1762,Sheet2!$C$3:$D$12,2,0)</f>
        <v>Variable</v>
      </c>
      <c r="H1762" s="5" t="str">
        <f>IFERROR(VLOOKUP(E1762,Sheet2!$G$3:$H$8,2,0),"unkwon")</f>
        <v>online</v>
      </c>
      <c r="I1762" s="5">
        <f>VLOOKUP(B1762,Sheet2!$J$4:$K$15,2,0)</f>
        <v>10</v>
      </c>
      <c r="J1762" s="5">
        <f>IFERROR(VLOOKUP(C1762,Sheet2!$M$4:$N$12,2,0),0)</f>
        <v>7000</v>
      </c>
      <c r="K1762" s="5" t="str">
        <f t="shared" si="27"/>
        <v>within budget</v>
      </c>
    </row>
    <row r="1763" spans="1:11" x14ac:dyDescent="0.3">
      <c r="A1763" s="6">
        <v>45217</v>
      </c>
      <c r="B1763" s="5" t="s">
        <v>6</v>
      </c>
      <c r="C1763" s="5" t="s">
        <v>7</v>
      </c>
      <c r="D1763" s="5" t="s">
        <v>14</v>
      </c>
      <c r="E1763" s="5" t="s">
        <v>32</v>
      </c>
      <c r="F1763" s="5">
        <v>1716</v>
      </c>
      <c r="G1763" s="5" t="str">
        <f>VLOOKUP(C1763,Sheet2!$C$3:$D$12,2,0)</f>
        <v>Fixed</v>
      </c>
      <c r="H1763" s="5" t="str">
        <f>IFERROR(VLOOKUP(E1763,Sheet2!$G$3:$H$8,2,0),"unkwon")</f>
        <v>offline</v>
      </c>
      <c r="I1763" s="5">
        <f>VLOOKUP(B1763,Sheet2!$J$4:$K$15,2,0)</f>
        <v>10</v>
      </c>
      <c r="J1763" s="5">
        <f>IFERROR(VLOOKUP(C1763,Sheet2!$M$4:$N$12,2,0),0)</f>
        <v>2000</v>
      </c>
      <c r="K1763" s="5" t="str">
        <f t="shared" si="27"/>
        <v>within budget</v>
      </c>
    </row>
    <row r="1764" spans="1:11" x14ac:dyDescent="0.3">
      <c r="A1764" s="6">
        <v>45438</v>
      </c>
      <c r="B1764" s="5" t="s">
        <v>28</v>
      </c>
      <c r="C1764" s="5" t="s">
        <v>7</v>
      </c>
      <c r="D1764" s="5" t="s">
        <v>8</v>
      </c>
      <c r="E1764" s="5" t="s">
        <v>17</v>
      </c>
      <c r="F1764" s="5">
        <v>857</v>
      </c>
      <c r="G1764" s="5" t="str">
        <f>VLOOKUP(C1764,Sheet2!$C$3:$D$12,2,0)</f>
        <v>Fixed</v>
      </c>
      <c r="H1764" s="5" t="str">
        <f>IFERROR(VLOOKUP(E1764,Sheet2!$G$3:$H$8,2,0),"unkwon")</f>
        <v>online</v>
      </c>
      <c r="I1764" s="5">
        <f>VLOOKUP(B1764,Sheet2!$J$4:$K$15,2,0)</f>
        <v>5</v>
      </c>
      <c r="J1764" s="5">
        <f>IFERROR(VLOOKUP(C1764,Sheet2!$M$4:$N$12,2,0),0)</f>
        <v>2000</v>
      </c>
      <c r="K1764" s="5" t="str">
        <f t="shared" si="27"/>
        <v>within budget</v>
      </c>
    </row>
    <row r="1765" spans="1:11" x14ac:dyDescent="0.3">
      <c r="A1765" s="6">
        <v>45410</v>
      </c>
      <c r="B1765" s="5" t="s">
        <v>29</v>
      </c>
      <c r="C1765" s="5" t="s">
        <v>30</v>
      </c>
      <c r="D1765" s="5" t="s">
        <v>31</v>
      </c>
      <c r="E1765" s="5" t="s">
        <v>9</v>
      </c>
      <c r="F1765" s="5">
        <v>3716</v>
      </c>
      <c r="G1765" s="5" t="str">
        <f>VLOOKUP(C1765,Sheet2!$C$3:$D$12,2,0)</f>
        <v>Fixed</v>
      </c>
      <c r="H1765" s="5" t="str">
        <f>IFERROR(VLOOKUP(E1765,Sheet2!$G$3:$H$8,2,0),"unkwon")</f>
        <v>online</v>
      </c>
      <c r="I1765" s="5">
        <f>VLOOKUP(B1765,Sheet2!$J$4:$K$15,2,0)</f>
        <v>4</v>
      </c>
      <c r="J1765" s="5">
        <f>IFERROR(VLOOKUP(C1765,Sheet2!$M$4:$N$12,2,0),0)</f>
        <v>3000</v>
      </c>
      <c r="K1765" s="5" t="str">
        <f t="shared" si="27"/>
        <v>over budget</v>
      </c>
    </row>
    <row r="1766" spans="1:11" x14ac:dyDescent="0.3">
      <c r="A1766" s="6">
        <v>44933</v>
      </c>
      <c r="B1766" s="5" t="s">
        <v>37</v>
      </c>
      <c r="C1766" s="5" t="s">
        <v>22</v>
      </c>
      <c r="D1766" s="5" t="s">
        <v>20</v>
      </c>
      <c r="E1766" s="5" t="s">
        <v>12</v>
      </c>
      <c r="F1766" s="5">
        <v>3654</v>
      </c>
      <c r="G1766" s="5" t="str">
        <f>VLOOKUP(C1766,Sheet2!$C$3:$D$12,2,0)</f>
        <v>Variable</v>
      </c>
      <c r="H1766" s="5" t="str">
        <f>IFERROR(VLOOKUP(E1766,Sheet2!$G$3:$H$8,2,0),"unkwon")</f>
        <v>online</v>
      </c>
      <c r="I1766" s="5">
        <f>VLOOKUP(B1766,Sheet2!$J$4:$K$15,2,0)</f>
        <v>1</v>
      </c>
      <c r="J1766" s="5">
        <f>IFERROR(VLOOKUP(C1766,Sheet2!$M$4:$N$12,2,0),0)</f>
        <v>1000</v>
      </c>
      <c r="K1766" s="5" t="str">
        <f t="shared" si="27"/>
        <v>over budget</v>
      </c>
    </row>
    <row r="1767" spans="1:11" x14ac:dyDescent="0.3">
      <c r="A1767" s="6">
        <v>45482</v>
      </c>
      <c r="B1767" s="5" t="s">
        <v>21</v>
      </c>
      <c r="C1767" s="5" t="s">
        <v>30</v>
      </c>
      <c r="D1767" s="5" t="s">
        <v>20</v>
      </c>
      <c r="E1767" s="5" t="s">
        <v>9</v>
      </c>
      <c r="F1767" s="5">
        <v>4958</v>
      </c>
      <c r="G1767" s="5" t="str">
        <f>VLOOKUP(C1767,Sheet2!$C$3:$D$12,2,0)</f>
        <v>Fixed</v>
      </c>
      <c r="H1767" s="5" t="str">
        <f>IFERROR(VLOOKUP(E1767,Sheet2!$G$3:$H$8,2,0),"unkwon")</f>
        <v>online</v>
      </c>
      <c r="I1767" s="5">
        <f>VLOOKUP(B1767,Sheet2!$J$4:$K$15,2,0)</f>
        <v>7</v>
      </c>
      <c r="J1767" s="5">
        <f>IFERROR(VLOOKUP(C1767,Sheet2!$M$4:$N$12,2,0),0)</f>
        <v>3000</v>
      </c>
      <c r="K1767" s="5" t="str">
        <f t="shared" si="27"/>
        <v>over budget</v>
      </c>
    </row>
    <row r="1768" spans="1:11" x14ac:dyDescent="0.3">
      <c r="A1768" s="6">
        <v>45355</v>
      </c>
      <c r="B1768" s="5" t="s">
        <v>19</v>
      </c>
      <c r="C1768" s="5" t="s">
        <v>35</v>
      </c>
      <c r="D1768" s="5" t="s">
        <v>26</v>
      </c>
      <c r="E1768" s="5" t="s">
        <v>32</v>
      </c>
      <c r="F1768" s="5">
        <v>2974</v>
      </c>
      <c r="G1768" s="5" t="str">
        <f>VLOOKUP(C1768,Sheet2!$C$3:$D$12,2,0)</f>
        <v>Fixed</v>
      </c>
      <c r="H1768" s="5" t="str">
        <f>IFERROR(VLOOKUP(E1768,Sheet2!$G$3:$H$8,2,0),"unkwon")</f>
        <v>offline</v>
      </c>
      <c r="I1768" s="5">
        <f>VLOOKUP(B1768,Sheet2!$J$4:$K$15,2,0)</f>
        <v>3</v>
      </c>
      <c r="J1768" s="5">
        <f>IFERROR(VLOOKUP(C1768,Sheet2!$M$4:$N$12,2,0),0)</f>
        <v>5500</v>
      </c>
      <c r="K1768" s="5" t="str">
        <f t="shared" si="27"/>
        <v>within budget</v>
      </c>
    </row>
    <row r="1769" spans="1:11" x14ac:dyDescent="0.3">
      <c r="A1769" s="6">
        <v>45236</v>
      </c>
      <c r="B1769" s="5" t="s">
        <v>40</v>
      </c>
      <c r="C1769" s="5" t="s">
        <v>27</v>
      </c>
      <c r="D1769" s="5" t="s">
        <v>11</v>
      </c>
      <c r="E1769" s="5" t="s">
        <v>17</v>
      </c>
      <c r="F1769" s="5">
        <v>70</v>
      </c>
      <c r="G1769" s="5" t="str">
        <f>VLOOKUP(C1769,Sheet2!$C$3:$D$12,2,0)</f>
        <v>Variable</v>
      </c>
      <c r="H1769" s="5" t="str">
        <f>IFERROR(VLOOKUP(E1769,Sheet2!$G$3:$H$8,2,0),"unkwon")</f>
        <v>online</v>
      </c>
      <c r="I1769" s="5">
        <f>VLOOKUP(B1769,Sheet2!$J$4:$K$15,2,0)</f>
        <v>11</v>
      </c>
      <c r="J1769" s="5">
        <f>IFERROR(VLOOKUP(C1769,Sheet2!$M$4:$N$12,2,0),0)</f>
        <v>4000</v>
      </c>
      <c r="K1769" s="5" t="str">
        <f t="shared" si="27"/>
        <v>within budget</v>
      </c>
    </row>
    <row r="1770" spans="1:11" x14ac:dyDescent="0.3">
      <c r="A1770" s="6">
        <v>45475</v>
      </c>
      <c r="B1770" s="5" t="s">
        <v>21</v>
      </c>
      <c r="C1770" s="5" t="s">
        <v>36</v>
      </c>
      <c r="D1770" s="5" t="s">
        <v>34</v>
      </c>
      <c r="E1770" s="5" t="s">
        <v>32</v>
      </c>
      <c r="F1770" s="5">
        <v>3163</v>
      </c>
      <c r="G1770" s="5" t="str">
        <f>VLOOKUP(C1770,Sheet2!$C$3:$D$12,2,0)</f>
        <v>Variable</v>
      </c>
      <c r="H1770" s="5" t="str">
        <f>IFERROR(VLOOKUP(E1770,Sheet2!$G$3:$H$8,2,0),"unkwon")</f>
        <v>offline</v>
      </c>
      <c r="I1770" s="5">
        <f>VLOOKUP(B1770,Sheet2!$J$4:$K$15,2,0)</f>
        <v>7</v>
      </c>
      <c r="J1770" s="5">
        <f>IFERROR(VLOOKUP(C1770,Sheet2!$M$4:$N$12,2,0),0)</f>
        <v>10000</v>
      </c>
      <c r="K1770" s="5" t="str">
        <f t="shared" si="27"/>
        <v>within budget</v>
      </c>
    </row>
    <row r="1771" spans="1:11" x14ac:dyDescent="0.3">
      <c r="A1771" s="6">
        <v>45151</v>
      </c>
      <c r="B1771" s="5" t="s">
        <v>25</v>
      </c>
      <c r="C1771" s="5" t="s">
        <v>13</v>
      </c>
      <c r="D1771" s="5" t="s">
        <v>26</v>
      </c>
      <c r="E1771" s="5" t="s">
        <v>15</v>
      </c>
      <c r="F1771" s="5">
        <v>665</v>
      </c>
      <c r="G1771" s="5" t="str">
        <f>VLOOKUP(C1771,Sheet2!$C$3:$D$12,2,0)</f>
        <v>Variable</v>
      </c>
      <c r="H1771" s="5" t="str">
        <f>IFERROR(VLOOKUP(E1771,Sheet2!$G$3:$H$8,2,0),"unkwon")</f>
        <v>online</v>
      </c>
      <c r="I1771" s="5">
        <f>VLOOKUP(B1771,Sheet2!$J$4:$K$15,2,0)</f>
        <v>8</v>
      </c>
      <c r="J1771" s="5">
        <f>IFERROR(VLOOKUP(C1771,Sheet2!$M$4:$N$12,2,0),0)</f>
        <v>5000</v>
      </c>
      <c r="K1771" s="5" t="str">
        <f t="shared" si="27"/>
        <v>within budget</v>
      </c>
    </row>
    <row r="1772" spans="1:11" x14ac:dyDescent="0.3">
      <c r="A1772" s="6">
        <v>45025</v>
      </c>
      <c r="B1772" s="5" t="s">
        <v>29</v>
      </c>
      <c r="C1772" s="5" t="s">
        <v>41</v>
      </c>
      <c r="D1772" s="5" t="s">
        <v>34</v>
      </c>
      <c r="E1772" s="5" t="s">
        <v>32</v>
      </c>
      <c r="F1772" s="5">
        <v>3524</v>
      </c>
      <c r="G1772" s="5" t="str">
        <f>VLOOKUP(C1772,Sheet2!$C$3:$D$12,2,0)</f>
        <v>Variable</v>
      </c>
      <c r="H1772" s="5" t="str">
        <f>IFERROR(VLOOKUP(E1772,Sheet2!$G$3:$H$8,2,0),"unkwon")</f>
        <v>offline</v>
      </c>
      <c r="I1772" s="5">
        <f>VLOOKUP(B1772,Sheet2!$J$4:$K$15,2,0)</f>
        <v>4</v>
      </c>
      <c r="J1772" s="5">
        <f>IFERROR(VLOOKUP(C1772,Sheet2!$M$4:$N$12,2,0),0)</f>
        <v>7000</v>
      </c>
      <c r="K1772" s="5" t="str">
        <f t="shared" si="27"/>
        <v>within budget</v>
      </c>
    </row>
    <row r="1773" spans="1:11" x14ac:dyDescent="0.3">
      <c r="A1773" s="6">
        <v>45356</v>
      </c>
      <c r="B1773" s="5" t="s">
        <v>19</v>
      </c>
      <c r="C1773" s="5" t="s">
        <v>7</v>
      </c>
      <c r="D1773" s="5" t="s">
        <v>34</v>
      </c>
      <c r="E1773" s="5" t="s">
        <v>12</v>
      </c>
      <c r="F1773" s="5">
        <v>3307</v>
      </c>
      <c r="G1773" s="5" t="str">
        <f>VLOOKUP(C1773,Sheet2!$C$3:$D$12,2,0)</f>
        <v>Fixed</v>
      </c>
      <c r="H1773" s="5" t="str">
        <f>IFERROR(VLOOKUP(E1773,Sheet2!$G$3:$H$8,2,0),"unkwon")</f>
        <v>online</v>
      </c>
      <c r="I1773" s="5">
        <f>VLOOKUP(B1773,Sheet2!$J$4:$K$15,2,0)</f>
        <v>3</v>
      </c>
      <c r="J1773" s="5">
        <f>IFERROR(VLOOKUP(C1773,Sheet2!$M$4:$N$12,2,0),0)</f>
        <v>2000</v>
      </c>
      <c r="K1773" s="5" t="str">
        <f t="shared" si="27"/>
        <v>over budget</v>
      </c>
    </row>
    <row r="1774" spans="1:11" x14ac:dyDescent="0.3">
      <c r="A1774" s="6">
        <v>45323</v>
      </c>
      <c r="B1774" s="5" t="s">
        <v>33</v>
      </c>
      <c r="C1774" s="5" t="s">
        <v>35</v>
      </c>
      <c r="D1774" s="5" t="s">
        <v>26</v>
      </c>
      <c r="E1774" s="5" t="s">
        <v>15</v>
      </c>
      <c r="F1774" s="5">
        <v>4762</v>
      </c>
      <c r="G1774" s="5" t="str">
        <f>VLOOKUP(C1774,Sheet2!$C$3:$D$12,2,0)</f>
        <v>Fixed</v>
      </c>
      <c r="H1774" s="5" t="str">
        <f>IFERROR(VLOOKUP(E1774,Sheet2!$G$3:$H$8,2,0),"unkwon")</f>
        <v>online</v>
      </c>
      <c r="I1774" s="5">
        <f>VLOOKUP(B1774,Sheet2!$J$4:$K$15,2,0)</f>
        <v>2</v>
      </c>
      <c r="J1774" s="5">
        <f>IFERROR(VLOOKUP(C1774,Sheet2!$M$4:$N$12,2,0),0)</f>
        <v>5500</v>
      </c>
      <c r="K1774" s="5" t="str">
        <f t="shared" si="27"/>
        <v>within budget</v>
      </c>
    </row>
    <row r="1775" spans="1:11" x14ac:dyDescent="0.3">
      <c r="A1775" s="6">
        <v>45193</v>
      </c>
      <c r="B1775" s="5" t="s">
        <v>38</v>
      </c>
      <c r="C1775" s="5" t="s">
        <v>41</v>
      </c>
      <c r="D1775" s="5" t="s">
        <v>23</v>
      </c>
      <c r="E1775" s="5" t="s">
        <v>17</v>
      </c>
      <c r="F1775" s="5">
        <v>4118</v>
      </c>
      <c r="G1775" s="5" t="str">
        <f>VLOOKUP(C1775,Sheet2!$C$3:$D$12,2,0)</f>
        <v>Variable</v>
      </c>
      <c r="H1775" s="5" t="str">
        <f>IFERROR(VLOOKUP(E1775,Sheet2!$G$3:$H$8,2,0),"unkwon")</f>
        <v>online</v>
      </c>
      <c r="I1775" s="5">
        <f>VLOOKUP(B1775,Sheet2!$J$4:$K$15,2,0)</f>
        <v>9</v>
      </c>
      <c r="J1775" s="5">
        <f>IFERROR(VLOOKUP(C1775,Sheet2!$M$4:$N$12,2,0),0)</f>
        <v>7000</v>
      </c>
      <c r="K1775" s="5" t="str">
        <f t="shared" si="27"/>
        <v>within budget</v>
      </c>
    </row>
    <row r="1776" spans="1:11" x14ac:dyDescent="0.3">
      <c r="A1776" s="6">
        <v>45292</v>
      </c>
      <c r="B1776" s="5" t="s">
        <v>37</v>
      </c>
      <c r="C1776" s="5" t="s">
        <v>22</v>
      </c>
      <c r="D1776" s="5" t="s">
        <v>18</v>
      </c>
      <c r="E1776" s="5" t="s">
        <v>12</v>
      </c>
      <c r="F1776" s="5">
        <v>3857</v>
      </c>
      <c r="G1776" s="5" t="str">
        <f>VLOOKUP(C1776,Sheet2!$C$3:$D$12,2,0)</f>
        <v>Variable</v>
      </c>
      <c r="H1776" s="5" t="str">
        <f>IFERROR(VLOOKUP(E1776,Sheet2!$G$3:$H$8,2,0),"unkwon")</f>
        <v>online</v>
      </c>
      <c r="I1776" s="5">
        <f>VLOOKUP(B1776,Sheet2!$J$4:$K$15,2,0)</f>
        <v>1</v>
      </c>
      <c r="J1776" s="5">
        <f>IFERROR(VLOOKUP(C1776,Sheet2!$M$4:$N$12,2,0),0)</f>
        <v>1000</v>
      </c>
      <c r="K1776" s="5" t="str">
        <f t="shared" si="27"/>
        <v>over budget</v>
      </c>
    </row>
    <row r="1777" spans="1:11" x14ac:dyDescent="0.3">
      <c r="A1777" s="6">
        <v>45556</v>
      </c>
      <c r="B1777" s="5" t="s">
        <v>38</v>
      </c>
      <c r="C1777" s="5" t="s">
        <v>13</v>
      </c>
      <c r="D1777" s="5" t="s">
        <v>8</v>
      </c>
      <c r="E1777" s="5" t="s">
        <v>12</v>
      </c>
      <c r="F1777" s="5">
        <v>1664</v>
      </c>
      <c r="G1777" s="5" t="str">
        <f>VLOOKUP(C1777,Sheet2!$C$3:$D$12,2,0)</f>
        <v>Variable</v>
      </c>
      <c r="H1777" s="5" t="str">
        <f>IFERROR(VLOOKUP(E1777,Sheet2!$G$3:$H$8,2,0),"unkwon")</f>
        <v>online</v>
      </c>
      <c r="I1777" s="5">
        <f>VLOOKUP(B1777,Sheet2!$J$4:$K$15,2,0)</f>
        <v>9</v>
      </c>
      <c r="J1777" s="5">
        <f>IFERROR(VLOOKUP(C1777,Sheet2!$M$4:$N$12,2,0),0)</f>
        <v>5000</v>
      </c>
      <c r="K1777" s="5" t="str">
        <f t="shared" si="27"/>
        <v>within budget</v>
      </c>
    </row>
    <row r="1778" spans="1:11" x14ac:dyDescent="0.3">
      <c r="A1778" s="6">
        <v>45499</v>
      </c>
      <c r="B1778" s="5" t="s">
        <v>21</v>
      </c>
      <c r="C1778" s="5" t="s">
        <v>30</v>
      </c>
      <c r="D1778" s="5" t="s">
        <v>8</v>
      </c>
      <c r="E1778" s="5" t="s">
        <v>15</v>
      </c>
      <c r="F1778" s="5">
        <v>4153</v>
      </c>
      <c r="G1778" s="5" t="str">
        <f>VLOOKUP(C1778,Sheet2!$C$3:$D$12,2,0)</f>
        <v>Fixed</v>
      </c>
      <c r="H1778" s="5" t="str">
        <f>IFERROR(VLOOKUP(E1778,Sheet2!$G$3:$H$8,2,0),"unkwon")</f>
        <v>online</v>
      </c>
      <c r="I1778" s="5">
        <f>VLOOKUP(B1778,Sheet2!$J$4:$K$15,2,0)</f>
        <v>7</v>
      </c>
      <c r="J1778" s="5">
        <f>IFERROR(VLOOKUP(C1778,Sheet2!$M$4:$N$12,2,0),0)</f>
        <v>3000</v>
      </c>
      <c r="K1778" s="5" t="str">
        <f t="shared" si="27"/>
        <v>over budget</v>
      </c>
    </row>
    <row r="1779" spans="1:11" x14ac:dyDescent="0.3">
      <c r="A1779" s="6">
        <v>45421</v>
      </c>
      <c r="B1779" s="5" t="s">
        <v>28</v>
      </c>
      <c r="C1779" s="5" t="s">
        <v>41</v>
      </c>
      <c r="D1779" s="5" t="s">
        <v>11</v>
      </c>
      <c r="E1779" s="5" t="s">
        <v>12</v>
      </c>
      <c r="F1779" s="5">
        <v>2275</v>
      </c>
      <c r="G1779" s="5" t="str">
        <f>VLOOKUP(C1779,Sheet2!$C$3:$D$12,2,0)</f>
        <v>Variable</v>
      </c>
      <c r="H1779" s="5" t="str">
        <f>IFERROR(VLOOKUP(E1779,Sheet2!$G$3:$H$8,2,0),"unkwon")</f>
        <v>online</v>
      </c>
      <c r="I1779" s="5">
        <f>VLOOKUP(B1779,Sheet2!$J$4:$K$15,2,0)</f>
        <v>5</v>
      </c>
      <c r="J1779" s="5">
        <f>IFERROR(VLOOKUP(C1779,Sheet2!$M$4:$N$12,2,0),0)</f>
        <v>7000</v>
      </c>
      <c r="K1779" s="5" t="str">
        <f t="shared" si="27"/>
        <v>within budget</v>
      </c>
    </row>
    <row r="1780" spans="1:11" x14ac:dyDescent="0.3">
      <c r="A1780" s="6">
        <v>45328</v>
      </c>
      <c r="B1780" s="5" t="s">
        <v>33</v>
      </c>
      <c r="C1780" s="5" t="s">
        <v>36</v>
      </c>
      <c r="D1780" s="5" t="s">
        <v>11</v>
      </c>
      <c r="E1780" s="5" t="s">
        <v>9</v>
      </c>
      <c r="F1780" s="5">
        <v>3363</v>
      </c>
      <c r="G1780" s="5" t="str">
        <f>VLOOKUP(C1780,Sheet2!$C$3:$D$12,2,0)</f>
        <v>Variable</v>
      </c>
      <c r="H1780" s="5" t="str">
        <f>IFERROR(VLOOKUP(E1780,Sheet2!$G$3:$H$8,2,0),"unkwon")</f>
        <v>online</v>
      </c>
      <c r="I1780" s="5">
        <f>VLOOKUP(B1780,Sheet2!$J$4:$K$15,2,0)</f>
        <v>2</v>
      </c>
      <c r="J1780" s="5">
        <f>IFERROR(VLOOKUP(C1780,Sheet2!$M$4:$N$12,2,0),0)</f>
        <v>10000</v>
      </c>
      <c r="K1780" s="5" t="str">
        <f t="shared" si="27"/>
        <v>within budget</v>
      </c>
    </row>
    <row r="1781" spans="1:11" x14ac:dyDescent="0.3">
      <c r="A1781" s="6">
        <v>45257</v>
      </c>
      <c r="B1781" s="5" t="s">
        <v>40</v>
      </c>
      <c r="C1781" s="5" t="s">
        <v>35</v>
      </c>
      <c r="D1781" s="5" t="s">
        <v>23</v>
      </c>
      <c r="E1781" s="5" t="s">
        <v>12</v>
      </c>
      <c r="F1781" s="5">
        <v>482</v>
      </c>
      <c r="G1781" s="5" t="str">
        <f>VLOOKUP(C1781,Sheet2!$C$3:$D$12,2,0)</f>
        <v>Fixed</v>
      </c>
      <c r="H1781" s="5" t="str">
        <f>IFERROR(VLOOKUP(E1781,Sheet2!$G$3:$H$8,2,0),"unkwon")</f>
        <v>online</v>
      </c>
      <c r="I1781" s="5">
        <f>VLOOKUP(B1781,Sheet2!$J$4:$K$15,2,0)</f>
        <v>11</v>
      </c>
      <c r="J1781" s="5">
        <f>IFERROR(VLOOKUP(C1781,Sheet2!$M$4:$N$12,2,0),0)</f>
        <v>5500</v>
      </c>
      <c r="K1781" s="5" t="str">
        <f t="shared" si="27"/>
        <v>within budget</v>
      </c>
    </row>
    <row r="1782" spans="1:11" x14ac:dyDescent="0.3">
      <c r="A1782" s="6">
        <v>45535</v>
      </c>
      <c r="B1782" s="5" t="s">
        <v>25</v>
      </c>
      <c r="C1782" s="5" t="s">
        <v>41</v>
      </c>
      <c r="D1782" s="5" t="s">
        <v>26</v>
      </c>
      <c r="E1782" s="5" t="s">
        <v>9</v>
      </c>
      <c r="F1782" s="5">
        <v>4610</v>
      </c>
      <c r="G1782" s="5" t="str">
        <f>VLOOKUP(C1782,Sheet2!$C$3:$D$12,2,0)</f>
        <v>Variable</v>
      </c>
      <c r="H1782" s="5" t="str">
        <f>IFERROR(VLOOKUP(E1782,Sheet2!$G$3:$H$8,2,0),"unkwon")</f>
        <v>online</v>
      </c>
      <c r="I1782" s="5">
        <f>VLOOKUP(B1782,Sheet2!$J$4:$K$15,2,0)</f>
        <v>8</v>
      </c>
      <c r="J1782" s="5">
        <f>IFERROR(VLOOKUP(C1782,Sheet2!$M$4:$N$12,2,0),0)</f>
        <v>7000</v>
      </c>
      <c r="K1782" s="5" t="str">
        <f t="shared" si="27"/>
        <v>within budget</v>
      </c>
    </row>
    <row r="1783" spans="1:11" x14ac:dyDescent="0.3">
      <c r="A1783" s="6">
        <v>45599</v>
      </c>
      <c r="B1783" s="5" t="s">
        <v>40</v>
      </c>
      <c r="C1783" s="5" t="s">
        <v>27</v>
      </c>
      <c r="D1783" s="5" t="s">
        <v>31</v>
      </c>
      <c r="E1783" s="5" t="s">
        <v>17</v>
      </c>
      <c r="F1783" s="5">
        <v>4436</v>
      </c>
      <c r="G1783" s="5" t="str">
        <f>VLOOKUP(C1783,Sheet2!$C$3:$D$12,2,0)</f>
        <v>Variable</v>
      </c>
      <c r="H1783" s="5" t="str">
        <f>IFERROR(VLOOKUP(E1783,Sheet2!$G$3:$H$8,2,0),"unkwon")</f>
        <v>online</v>
      </c>
      <c r="I1783" s="5">
        <f>VLOOKUP(B1783,Sheet2!$J$4:$K$15,2,0)</f>
        <v>11</v>
      </c>
      <c r="J1783" s="5">
        <f>IFERROR(VLOOKUP(C1783,Sheet2!$M$4:$N$12,2,0),0)</f>
        <v>4000</v>
      </c>
      <c r="K1783" s="5" t="str">
        <f t="shared" si="27"/>
        <v>over budget</v>
      </c>
    </row>
    <row r="1784" spans="1:11" x14ac:dyDescent="0.3">
      <c r="A1784" s="6">
        <v>45290</v>
      </c>
      <c r="B1784" s="5" t="s">
        <v>16</v>
      </c>
      <c r="C1784" s="5" t="s">
        <v>22</v>
      </c>
      <c r="D1784" s="5" t="s">
        <v>31</v>
      </c>
      <c r="E1784" s="5" t="s">
        <v>9</v>
      </c>
      <c r="F1784" s="5">
        <v>4898</v>
      </c>
      <c r="G1784" s="5" t="str">
        <f>VLOOKUP(C1784,Sheet2!$C$3:$D$12,2,0)</f>
        <v>Variable</v>
      </c>
      <c r="H1784" s="5" t="str">
        <f>IFERROR(VLOOKUP(E1784,Sheet2!$G$3:$H$8,2,0),"unkwon")</f>
        <v>online</v>
      </c>
      <c r="I1784" s="5">
        <f>VLOOKUP(B1784,Sheet2!$J$4:$K$15,2,0)</f>
        <v>12</v>
      </c>
      <c r="J1784" s="5">
        <f>IFERROR(VLOOKUP(C1784,Sheet2!$M$4:$N$12,2,0),0)</f>
        <v>1000</v>
      </c>
      <c r="K1784" s="5" t="str">
        <f t="shared" si="27"/>
        <v>over budget</v>
      </c>
    </row>
    <row r="1785" spans="1:11" x14ac:dyDescent="0.3">
      <c r="A1785" s="6">
        <v>45445</v>
      </c>
      <c r="B1785" s="5" t="s">
        <v>39</v>
      </c>
      <c r="C1785" s="5" t="s">
        <v>30</v>
      </c>
      <c r="D1785" s="5" t="s">
        <v>24</v>
      </c>
      <c r="E1785" s="5" t="s">
        <v>17</v>
      </c>
      <c r="F1785" s="5">
        <v>260</v>
      </c>
      <c r="G1785" s="5" t="str">
        <f>VLOOKUP(C1785,Sheet2!$C$3:$D$12,2,0)</f>
        <v>Fixed</v>
      </c>
      <c r="H1785" s="5" t="str">
        <f>IFERROR(VLOOKUP(E1785,Sheet2!$G$3:$H$8,2,0),"unkwon")</f>
        <v>online</v>
      </c>
      <c r="I1785" s="5">
        <f>VLOOKUP(B1785,Sheet2!$J$4:$K$15,2,0)</f>
        <v>6</v>
      </c>
      <c r="J1785" s="5">
        <f>IFERROR(VLOOKUP(C1785,Sheet2!$M$4:$N$12,2,0),0)</f>
        <v>3000</v>
      </c>
      <c r="K1785" s="5" t="str">
        <f t="shared" si="27"/>
        <v>within budget</v>
      </c>
    </row>
    <row r="1786" spans="1:11" x14ac:dyDescent="0.3">
      <c r="A1786" s="6">
        <v>45518</v>
      </c>
      <c r="B1786" s="5" t="s">
        <v>25</v>
      </c>
      <c r="C1786" s="5" t="s">
        <v>22</v>
      </c>
      <c r="D1786" s="5" t="s">
        <v>26</v>
      </c>
      <c r="E1786" s="5" t="s">
        <v>17</v>
      </c>
      <c r="F1786" s="5">
        <v>2266</v>
      </c>
      <c r="G1786" s="5" t="str">
        <f>VLOOKUP(C1786,Sheet2!$C$3:$D$12,2,0)</f>
        <v>Variable</v>
      </c>
      <c r="H1786" s="5" t="str">
        <f>IFERROR(VLOOKUP(E1786,Sheet2!$G$3:$H$8,2,0),"unkwon")</f>
        <v>online</v>
      </c>
      <c r="I1786" s="5">
        <f>VLOOKUP(B1786,Sheet2!$J$4:$K$15,2,0)</f>
        <v>8</v>
      </c>
      <c r="J1786" s="5">
        <f>IFERROR(VLOOKUP(C1786,Sheet2!$M$4:$N$12,2,0),0)</f>
        <v>1000</v>
      </c>
      <c r="K1786" s="5" t="str">
        <f t="shared" si="27"/>
        <v>over budget</v>
      </c>
    </row>
    <row r="1787" spans="1:11" x14ac:dyDescent="0.3">
      <c r="A1787" s="6">
        <v>44972</v>
      </c>
      <c r="B1787" s="5" t="s">
        <v>33</v>
      </c>
      <c r="C1787" s="5" t="s">
        <v>41</v>
      </c>
      <c r="D1787" s="5" t="s">
        <v>34</v>
      </c>
      <c r="E1787" s="5" t="s">
        <v>17</v>
      </c>
      <c r="F1787" s="5">
        <v>4566</v>
      </c>
      <c r="G1787" s="5" t="str">
        <f>VLOOKUP(C1787,Sheet2!$C$3:$D$12,2,0)</f>
        <v>Variable</v>
      </c>
      <c r="H1787" s="5" t="str">
        <f>IFERROR(VLOOKUP(E1787,Sheet2!$G$3:$H$8,2,0),"unkwon")</f>
        <v>online</v>
      </c>
      <c r="I1787" s="5">
        <f>VLOOKUP(B1787,Sheet2!$J$4:$K$15,2,0)</f>
        <v>2</v>
      </c>
      <c r="J1787" s="5">
        <f>IFERROR(VLOOKUP(C1787,Sheet2!$M$4:$N$12,2,0),0)</f>
        <v>7000</v>
      </c>
      <c r="K1787" s="5" t="str">
        <f t="shared" si="27"/>
        <v>within budget</v>
      </c>
    </row>
    <row r="1788" spans="1:11" x14ac:dyDescent="0.3">
      <c r="A1788" s="6">
        <v>45028</v>
      </c>
      <c r="B1788" s="5" t="s">
        <v>29</v>
      </c>
      <c r="C1788" s="5" t="s">
        <v>27</v>
      </c>
      <c r="D1788" s="5" t="s">
        <v>11</v>
      </c>
      <c r="E1788" s="5" t="s">
        <v>32</v>
      </c>
      <c r="F1788" s="5">
        <v>2215</v>
      </c>
      <c r="G1788" s="5" t="str">
        <f>VLOOKUP(C1788,Sheet2!$C$3:$D$12,2,0)</f>
        <v>Variable</v>
      </c>
      <c r="H1788" s="5" t="str">
        <f>IFERROR(VLOOKUP(E1788,Sheet2!$G$3:$H$8,2,0),"unkwon")</f>
        <v>offline</v>
      </c>
      <c r="I1788" s="5">
        <f>VLOOKUP(B1788,Sheet2!$J$4:$K$15,2,0)</f>
        <v>4</v>
      </c>
      <c r="J1788" s="5">
        <f>IFERROR(VLOOKUP(C1788,Sheet2!$M$4:$N$12,2,0),0)</f>
        <v>4000</v>
      </c>
      <c r="K1788" s="5" t="str">
        <f t="shared" si="27"/>
        <v>within budget</v>
      </c>
    </row>
    <row r="1789" spans="1:11" x14ac:dyDescent="0.3">
      <c r="A1789" s="6">
        <v>45223</v>
      </c>
      <c r="B1789" s="5" t="s">
        <v>6</v>
      </c>
      <c r="C1789" s="5" t="s">
        <v>30</v>
      </c>
      <c r="D1789" s="5" t="s">
        <v>14</v>
      </c>
      <c r="E1789" s="5" t="s">
        <v>15</v>
      </c>
      <c r="F1789" s="5">
        <v>3799</v>
      </c>
      <c r="G1789" s="5" t="str">
        <f>VLOOKUP(C1789,Sheet2!$C$3:$D$12,2,0)</f>
        <v>Fixed</v>
      </c>
      <c r="H1789" s="5" t="str">
        <f>IFERROR(VLOOKUP(E1789,Sheet2!$G$3:$H$8,2,0),"unkwon")</f>
        <v>online</v>
      </c>
      <c r="I1789" s="5">
        <f>VLOOKUP(B1789,Sheet2!$J$4:$K$15,2,0)</f>
        <v>10</v>
      </c>
      <c r="J1789" s="5">
        <f>IFERROR(VLOOKUP(C1789,Sheet2!$M$4:$N$12,2,0),0)</f>
        <v>3000</v>
      </c>
      <c r="K1789" s="5" t="str">
        <f t="shared" si="27"/>
        <v>over budget</v>
      </c>
    </row>
    <row r="1790" spans="1:11" x14ac:dyDescent="0.3">
      <c r="A1790" s="6">
        <v>45468</v>
      </c>
      <c r="B1790" s="5" t="s">
        <v>39</v>
      </c>
      <c r="C1790" s="5" t="s">
        <v>35</v>
      </c>
      <c r="D1790" s="5" t="s">
        <v>14</v>
      </c>
      <c r="E1790" s="5" t="s">
        <v>17</v>
      </c>
      <c r="F1790" s="5">
        <v>3165</v>
      </c>
      <c r="G1790" s="5" t="str">
        <f>VLOOKUP(C1790,Sheet2!$C$3:$D$12,2,0)</f>
        <v>Fixed</v>
      </c>
      <c r="H1790" s="5" t="str">
        <f>IFERROR(VLOOKUP(E1790,Sheet2!$G$3:$H$8,2,0),"unkwon")</f>
        <v>online</v>
      </c>
      <c r="I1790" s="5">
        <f>VLOOKUP(B1790,Sheet2!$J$4:$K$15,2,0)</f>
        <v>6</v>
      </c>
      <c r="J1790" s="5">
        <f>IFERROR(VLOOKUP(C1790,Sheet2!$M$4:$N$12,2,0),0)</f>
        <v>5500</v>
      </c>
      <c r="K1790" s="5" t="str">
        <f t="shared" si="27"/>
        <v>within budget</v>
      </c>
    </row>
    <row r="1791" spans="1:11" x14ac:dyDescent="0.3">
      <c r="A1791" s="6">
        <v>44929</v>
      </c>
      <c r="B1791" s="5" t="s">
        <v>37</v>
      </c>
      <c r="C1791" s="5" t="s">
        <v>7</v>
      </c>
      <c r="D1791" s="5" t="s">
        <v>14</v>
      </c>
      <c r="E1791" s="5" t="s">
        <v>17</v>
      </c>
      <c r="F1791" s="5">
        <v>1142</v>
      </c>
      <c r="G1791" s="5" t="str">
        <f>VLOOKUP(C1791,Sheet2!$C$3:$D$12,2,0)</f>
        <v>Fixed</v>
      </c>
      <c r="H1791" s="5" t="str">
        <f>IFERROR(VLOOKUP(E1791,Sheet2!$G$3:$H$8,2,0),"unkwon")</f>
        <v>online</v>
      </c>
      <c r="I1791" s="5">
        <f>VLOOKUP(B1791,Sheet2!$J$4:$K$15,2,0)</f>
        <v>1</v>
      </c>
      <c r="J1791" s="5">
        <f>IFERROR(VLOOKUP(C1791,Sheet2!$M$4:$N$12,2,0),0)</f>
        <v>2000</v>
      </c>
      <c r="K1791" s="5" t="str">
        <f t="shared" si="27"/>
        <v>within budget</v>
      </c>
    </row>
    <row r="1792" spans="1:11" x14ac:dyDescent="0.3">
      <c r="A1792" s="6">
        <v>45620</v>
      </c>
      <c r="B1792" s="5" t="s">
        <v>40</v>
      </c>
      <c r="C1792" s="5" t="s">
        <v>10</v>
      </c>
      <c r="D1792" s="5" t="s">
        <v>31</v>
      </c>
      <c r="E1792" s="5" t="s">
        <v>17</v>
      </c>
      <c r="F1792" s="5">
        <v>1507</v>
      </c>
      <c r="G1792" s="5" t="str">
        <f>VLOOKUP(C1792,Sheet2!$C$3:$D$12,2,0)</f>
        <v>Variable</v>
      </c>
      <c r="H1792" s="5" t="str">
        <f>IFERROR(VLOOKUP(E1792,Sheet2!$G$3:$H$8,2,0),"unkwon")</f>
        <v>online</v>
      </c>
      <c r="I1792" s="5">
        <f>VLOOKUP(B1792,Sheet2!$J$4:$K$15,2,0)</f>
        <v>11</v>
      </c>
      <c r="J1792" s="5">
        <f>IFERROR(VLOOKUP(C1792,Sheet2!$M$4:$N$12,2,0),0)</f>
        <v>5000</v>
      </c>
      <c r="K1792" s="5" t="str">
        <f t="shared" si="27"/>
        <v>within budget</v>
      </c>
    </row>
    <row r="1793" spans="1:11" x14ac:dyDescent="0.3">
      <c r="A1793" s="6">
        <v>45116</v>
      </c>
      <c r="B1793" s="5" t="s">
        <v>21</v>
      </c>
      <c r="C1793" s="5" t="s">
        <v>27</v>
      </c>
      <c r="D1793" s="5" t="s">
        <v>11</v>
      </c>
      <c r="E1793" s="5" t="s">
        <v>32</v>
      </c>
      <c r="F1793" s="5">
        <v>4640</v>
      </c>
      <c r="G1793" s="5" t="str">
        <f>VLOOKUP(C1793,Sheet2!$C$3:$D$12,2,0)</f>
        <v>Variable</v>
      </c>
      <c r="H1793" s="5" t="str">
        <f>IFERROR(VLOOKUP(E1793,Sheet2!$G$3:$H$8,2,0),"unkwon")</f>
        <v>offline</v>
      </c>
      <c r="I1793" s="5">
        <f>VLOOKUP(B1793,Sheet2!$J$4:$K$15,2,0)</f>
        <v>7</v>
      </c>
      <c r="J1793" s="5">
        <f>IFERROR(VLOOKUP(C1793,Sheet2!$M$4:$N$12,2,0),0)</f>
        <v>4000</v>
      </c>
      <c r="K1793" s="5" t="str">
        <f t="shared" si="27"/>
        <v>over budget</v>
      </c>
    </row>
    <row r="1794" spans="1:11" x14ac:dyDescent="0.3">
      <c r="A1794" s="6">
        <v>45272</v>
      </c>
      <c r="B1794" s="5" t="s">
        <v>16</v>
      </c>
      <c r="C1794" s="5" t="s">
        <v>41</v>
      </c>
      <c r="D1794" s="5" t="s">
        <v>34</v>
      </c>
      <c r="E1794" s="5" t="s">
        <v>17</v>
      </c>
      <c r="F1794" s="5">
        <v>3524</v>
      </c>
      <c r="G1794" s="5" t="str">
        <f>VLOOKUP(C1794,Sheet2!$C$3:$D$12,2,0)</f>
        <v>Variable</v>
      </c>
      <c r="H1794" s="5" t="str">
        <f>IFERROR(VLOOKUP(E1794,Sheet2!$G$3:$H$8,2,0),"unkwon")</f>
        <v>online</v>
      </c>
      <c r="I1794" s="5">
        <f>VLOOKUP(B1794,Sheet2!$J$4:$K$15,2,0)</f>
        <v>12</v>
      </c>
      <c r="J1794" s="5">
        <f>IFERROR(VLOOKUP(C1794,Sheet2!$M$4:$N$12,2,0),0)</f>
        <v>7000</v>
      </c>
      <c r="K1794" s="5" t="str">
        <f t="shared" si="27"/>
        <v>within budget</v>
      </c>
    </row>
    <row r="1795" spans="1:11" x14ac:dyDescent="0.3">
      <c r="A1795" s="6">
        <v>45077</v>
      </c>
      <c r="B1795" s="5" t="s">
        <v>28</v>
      </c>
      <c r="C1795" s="5" t="s">
        <v>27</v>
      </c>
      <c r="D1795" s="5" t="s">
        <v>20</v>
      </c>
      <c r="E1795" s="5" t="s">
        <v>12</v>
      </c>
      <c r="F1795" s="5">
        <v>1760</v>
      </c>
      <c r="G1795" s="5" t="str">
        <f>VLOOKUP(C1795,Sheet2!$C$3:$D$12,2,0)</f>
        <v>Variable</v>
      </c>
      <c r="H1795" s="5" t="str">
        <f>IFERROR(VLOOKUP(E1795,Sheet2!$G$3:$H$8,2,0),"unkwon")</f>
        <v>online</v>
      </c>
      <c r="I1795" s="5">
        <f>VLOOKUP(B1795,Sheet2!$J$4:$K$15,2,0)</f>
        <v>5</v>
      </c>
      <c r="J1795" s="5">
        <f>IFERROR(VLOOKUP(C1795,Sheet2!$M$4:$N$12,2,0),0)</f>
        <v>4000</v>
      </c>
      <c r="K1795" s="5" t="str">
        <f t="shared" ref="K1795:K1858" si="28">IF(F1795&gt;J1795,"over budget","within budget")</f>
        <v>within budget</v>
      </c>
    </row>
    <row r="1796" spans="1:11" x14ac:dyDescent="0.3">
      <c r="A1796" s="6">
        <v>45089</v>
      </c>
      <c r="B1796" s="5" t="s">
        <v>39</v>
      </c>
      <c r="C1796" s="5" t="s">
        <v>36</v>
      </c>
      <c r="D1796" s="5" t="s">
        <v>24</v>
      </c>
      <c r="E1796" s="5" t="s">
        <v>17</v>
      </c>
      <c r="F1796" s="5">
        <v>2380</v>
      </c>
      <c r="G1796" s="5" t="str">
        <f>VLOOKUP(C1796,Sheet2!$C$3:$D$12,2,0)</f>
        <v>Variable</v>
      </c>
      <c r="H1796" s="5" t="str">
        <f>IFERROR(VLOOKUP(E1796,Sheet2!$G$3:$H$8,2,0),"unkwon")</f>
        <v>online</v>
      </c>
      <c r="I1796" s="5">
        <f>VLOOKUP(B1796,Sheet2!$J$4:$K$15,2,0)</f>
        <v>6</v>
      </c>
      <c r="J1796" s="5">
        <f>IFERROR(VLOOKUP(C1796,Sheet2!$M$4:$N$12,2,0),0)</f>
        <v>10000</v>
      </c>
      <c r="K1796" s="5" t="str">
        <f t="shared" si="28"/>
        <v>within budget</v>
      </c>
    </row>
    <row r="1797" spans="1:11" x14ac:dyDescent="0.3">
      <c r="A1797" s="6">
        <v>45434</v>
      </c>
      <c r="B1797" s="5" t="s">
        <v>28</v>
      </c>
      <c r="C1797" s="5" t="s">
        <v>13</v>
      </c>
      <c r="D1797" s="5" t="s">
        <v>14</v>
      </c>
      <c r="E1797" s="5" t="s">
        <v>17</v>
      </c>
      <c r="F1797" s="5">
        <v>3931</v>
      </c>
      <c r="G1797" s="5" t="str">
        <f>VLOOKUP(C1797,Sheet2!$C$3:$D$12,2,0)</f>
        <v>Variable</v>
      </c>
      <c r="H1797" s="5" t="str">
        <f>IFERROR(VLOOKUP(E1797,Sheet2!$G$3:$H$8,2,0),"unkwon")</f>
        <v>online</v>
      </c>
      <c r="I1797" s="5">
        <f>VLOOKUP(B1797,Sheet2!$J$4:$K$15,2,0)</f>
        <v>5</v>
      </c>
      <c r="J1797" s="5">
        <f>IFERROR(VLOOKUP(C1797,Sheet2!$M$4:$N$12,2,0),0)</f>
        <v>5000</v>
      </c>
      <c r="K1797" s="5" t="str">
        <f t="shared" si="28"/>
        <v>within budget</v>
      </c>
    </row>
    <row r="1798" spans="1:11" x14ac:dyDescent="0.3">
      <c r="A1798" s="6">
        <v>45268</v>
      </c>
      <c r="B1798" s="5" t="s">
        <v>16</v>
      </c>
      <c r="C1798" s="5" t="s">
        <v>41</v>
      </c>
      <c r="D1798" s="5" t="s">
        <v>8</v>
      </c>
      <c r="E1798" s="5" t="s">
        <v>17</v>
      </c>
      <c r="F1798" s="5">
        <v>1946</v>
      </c>
      <c r="G1798" s="5" t="str">
        <f>VLOOKUP(C1798,Sheet2!$C$3:$D$12,2,0)</f>
        <v>Variable</v>
      </c>
      <c r="H1798" s="5" t="str">
        <f>IFERROR(VLOOKUP(E1798,Sheet2!$G$3:$H$8,2,0),"unkwon")</f>
        <v>online</v>
      </c>
      <c r="I1798" s="5">
        <f>VLOOKUP(B1798,Sheet2!$J$4:$K$15,2,0)</f>
        <v>12</v>
      </c>
      <c r="J1798" s="5">
        <f>IFERROR(VLOOKUP(C1798,Sheet2!$M$4:$N$12,2,0),0)</f>
        <v>7000</v>
      </c>
      <c r="K1798" s="5" t="str">
        <f t="shared" si="28"/>
        <v>within budget</v>
      </c>
    </row>
    <row r="1799" spans="1:11" x14ac:dyDescent="0.3">
      <c r="A1799" s="6">
        <v>45595</v>
      </c>
      <c r="B1799" s="5" t="s">
        <v>6</v>
      </c>
      <c r="C1799" s="5" t="s">
        <v>36</v>
      </c>
      <c r="D1799" s="5" t="s">
        <v>26</v>
      </c>
      <c r="E1799" s="5" t="s">
        <v>32</v>
      </c>
      <c r="F1799" s="5">
        <v>3368</v>
      </c>
      <c r="G1799" s="5" t="str">
        <f>VLOOKUP(C1799,Sheet2!$C$3:$D$12,2,0)</f>
        <v>Variable</v>
      </c>
      <c r="H1799" s="5" t="str">
        <f>IFERROR(VLOOKUP(E1799,Sheet2!$G$3:$H$8,2,0),"unkwon")</f>
        <v>offline</v>
      </c>
      <c r="I1799" s="5">
        <f>VLOOKUP(B1799,Sheet2!$J$4:$K$15,2,0)</f>
        <v>10</v>
      </c>
      <c r="J1799" s="5">
        <f>IFERROR(VLOOKUP(C1799,Sheet2!$M$4:$N$12,2,0),0)</f>
        <v>10000</v>
      </c>
      <c r="K1799" s="5" t="str">
        <f t="shared" si="28"/>
        <v>within budget</v>
      </c>
    </row>
    <row r="1800" spans="1:11" x14ac:dyDescent="0.3">
      <c r="A1800" s="6">
        <v>44981</v>
      </c>
      <c r="B1800" s="5" t="s">
        <v>33</v>
      </c>
      <c r="C1800" s="5" t="s">
        <v>36</v>
      </c>
      <c r="D1800" s="5" t="s">
        <v>31</v>
      </c>
      <c r="E1800" s="5" t="s">
        <v>17</v>
      </c>
      <c r="F1800" s="5">
        <v>2508</v>
      </c>
      <c r="G1800" s="5" t="str">
        <f>VLOOKUP(C1800,Sheet2!$C$3:$D$12,2,0)</f>
        <v>Variable</v>
      </c>
      <c r="H1800" s="5" t="str">
        <f>IFERROR(VLOOKUP(E1800,Sheet2!$G$3:$H$8,2,0),"unkwon")</f>
        <v>online</v>
      </c>
      <c r="I1800" s="5">
        <f>VLOOKUP(B1800,Sheet2!$J$4:$K$15,2,0)</f>
        <v>2</v>
      </c>
      <c r="J1800" s="5">
        <f>IFERROR(VLOOKUP(C1800,Sheet2!$M$4:$N$12,2,0),0)</f>
        <v>10000</v>
      </c>
      <c r="K1800" s="5" t="str">
        <f t="shared" si="28"/>
        <v>within budget</v>
      </c>
    </row>
    <row r="1801" spans="1:11" x14ac:dyDescent="0.3">
      <c r="A1801" s="6">
        <v>45477</v>
      </c>
      <c r="B1801" s="5" t="s">
        <v>21</v>
      </c>
      <c r="C1801" s="5" t="s">
        <v>13</v>
      </c>
      <c r="D1801" s="5" t="s">
        <v>34</v>
      </c>
      <c r="E1801" s="5" t="s">
        <v>9</v>
      </c>
      <c r="F1801" s="5">
        <v>868</v>
      </c>
      <c r="G1801" s="5" t="str">
        <f>VLOOKUP(C1801,Sheet2!$C$3:$D$12,2,0)</f>
        <v>Variable</v>
      </c>
      <c r="H1801" s="5" t="str">
        <f>IFERROR(VLOOKUP(E1801,Sheet2!$G$3:$H$8,2,0),"unkwon")</f>
        <v>online</v>
      </c>
      <c r="I1801" s="5">
        <f>VLOOKUP(B1801,Sheet2!$J$4:$K$15,2,0)</f>
        <v>7</v>
      </c>
      <c r="J1801" s="5">
        <f>IFERROR(VLOOKUP(C1801,Sheet2!$M$4:$N$12,2,0),0)</f>
        <v>5000</v>
      </c>
      <c r="K1801" s="5" t="str">
        <f t="shared" si="28"/>
        <v>within budget</v>
      </c>
    </row>
    <row r="1802" spans="1:11" x14ac:dyDescent="0.3">
      <c r="A1802" s="6">
        <v>45389</v>
      </c>
      <c r="B1802" s="5" t="s">
        <v>29</v>
      </c>
      <c r="C1802" s="5" t="s">
        <v>35</v>
      </c>
      <c r="D1802" s="5" t="s">
        <v>14</v>
      </c>
      <c r="E1802" s="5" t="s">
        <v>32</v>
      </c>
      <c r="F1802" s="5">
        <v>863</v>
      </c>
      <c r="G1802" s="5" t="str">
        <f>VLOOKUP(C1802,Sheet2!$C$3:$D$12,2,0)</f>
        <v>Fixed</v>
      </c>
      <c r="H1802" s="5" t="str">
        <f>IFERROR(VLOOKUP(E1802,Sheet2!$G$3:$H$8,2,0),"unkwon")</f>
        <v>offline</v>
      </c>
      <c r="I1802" s="5">
        <f>VLOOKUP(B1802,Sheet2!$J$4:$K$15,2,0)</f>
        <v>4</v>
      </c>
      <c r="J1802" s="5">
        <f>IFERROR(VLOOKUP(C1802,Sheet2!$M$4:$N$12,2,0),0)</f>
        <v>5500</v>
      </c>
      <c r="K1802" s="5" t="str">
        <f t="shared" si="28"/>
        <v>within budget</v>
      </c>
    </row>
    <row r="1803" spans="1:11" x14ac:dyDescent="0.3">
      <c r="A1803" s="6">
        <v>45103</v>
      </c>
      <c r="B1803" s="5" t="s">
        <v>39</v>
      </c>
      <c r="C1803" s="5" t="s">
        <v>27</v>
      </c>
      <c r="D1803" s="5" t="s">
        <v>14</v>
      </c>
      <c r="E1803" s="5" t="s">
        <v>17</v>
      </c>
      <c r="F1803" s="5">
        <v>4505</v>
      </c>
      <c r="G1803" s="5" t="str">
        <f>VLOOKUP(C1803,Sheet2!$C$3:$D$12,2,0)</f>
        <v>Variable</v>
      </c>
      <c r="H1803" s="5" t="str">
        <f>IFERROR(VLOOKUP(E1803,Sheet2!$G$3:$H$8,2,0),"unkwon")</f>
        <v>online</v>
      </c>
      <c r="I1803" s="5">
        <f>VLOOKUP(B1803,Sheet2!$J$4:$K$15,2,0)</f>
        <v>6</v>
      </c>
      <c r="J1803" s="5">
        <f>IFERROR(VLOOKUP(C1803,Sheet2!$M$4:$N$12,2,0),0)</f>
        <v>4000</v>
      </c>
      <c r="K1803" s="5" t="str">
        <f t="shared" si="28"/>
        <v>over budget</v>
      </c>
    </row>
    <row r="1804" spans="1:11" x14ac:dyDescent="0.3">
      <c r="A1804" s="6">
        <v>45117</v>
      </c>
      <c r="B1804" s="5" t="s">
        <v>21</v>
      </c>
      <c r="C1804" s="5" t="s">
        <v>10</v>
      </c>
      <c r="D1804" s="5" t="s">
        <v>14</v>
      </c>
      <c r="E1804" s="5" t="s">
        <v>32</v>
      </c>
      <c r="F1804" s="5">
        <v>323</v>
      </c>
      <c r="G1804" s="5" t="str">
        <f>VLOOKUP(C1804,Sheet2!$C$3:$D$12,2,0)</f>
        <v>Variable</v>
      </c>
      <c r="H1804" s="5" t="str">
        <f>IFERROR(VLOOKUP(E1804,Sheet2!$G$3:$H$8,2,0),"unkwon")</f>
        <v>offline</v>
      </c>
      <c r="I1804" s="5">
        <f>VLOOKUP(B1804,Sheet2!$J$4:$K$15,2,0)</f>
        <v>7</v>
      </c>
      <c r="J1804" s="5">
        <f>IFERROR(VLOOKUP(C1804,Sheet2!$M$4:$N$12,2,0),0)</f>
        <v>5000</v>
      </c>
      <c r="K1804" s="5" t="str">
        <f t="shared" si="28"/>
        <v>within budget</v>
      </c>
    </row>
    <row r="1805" spans="1:11" x14ac:dyDescent="0.3">
      <c r="A1805" s="6">
        <v>45164</v>
      </c>
      <c r="B1805" s="5" t="s">
        <v>25</v>
      </c>
      <c r="C1805" s="5" t="s">
        <v>36</v>
      </c>
      <c r="D1805" s="5" t="s">
        <v>14</v>
      </c>
      <c r="E1805" s="5" t="s">
        <v>17</v>
      </c>
      <c r="F1805" s="5">
        <v>3460</v>
      </c>
      <c r="G1805" s="5" t="str">
        <f>VLOOKUP(C1805,Sheet2!$C$3:$D$12,2,0)</f>
        <v>Variable</v>
      </c>
      <c r="H1805" s="5" t="str">
        <f>IFERROR(VLOOKUP(E1805,Sheet2!$G$3:$H$8,2,0),"unkwon")</f>
        <v>online</v>
      </c>
      <c r="I1805" s="5">
        <f>VLOOKUP(B1805,Sheet2!$J$4:$K$15,2,0)</f>
        <v>8</v>
      </c>
      <c r="J1805" s="5">
        <f>IFERROR(VLOOKUP(C1805,Sheet2!$M$4:$N$12,2,0),0)</f>
        <v>10000</v>
      </c>
      <c r="K1805" s="5" t="str">
        <f t="shared" si="28"/>
        <v>within budget</v>
      </c>
    </row>
    <row r="1806" spans="1:11" x14ac:dyDescent="0.3">
      <c r="A1806" s="6">
        <v>45261</v>
      </c>
      <c r="B1806" s="5" t="s">
        <v>16</v>
      </c>
      <c r="C1806" s="5" t="s">
        <v>41</v>
      </c>
      <c r="D1806" s="5" t="s">
        <v>34</v>
      </c>
      <c r="E1806" s="5" t="s">
        <v>9</v>
      </c>
      <c r="F1806" s="5">
        <v>490</v>
      </c>
      <c r="G1806" s="5" t="str">
        <f>VLOOKUP(C1806,Sheet2!$C$3:$D$12,2,0)</f>
        <v>Variable</v>
      </c>
      <c r="H1806" s="5" t="str">
        <f>IFERROR(VLOOKUP(E1806,Sheet2!$G$3:$H$8,2,0),"unkwon")</f>
        <v>online</v>
      </c>
      <c r="I1806" s="5">
        <f>VLOOKUP(B1806,Sheet2!$J$4:$K$15,2,0)</f>
        <v>12</v>
      </c>
      <c r="J1806" s="5">
        <f>IFERROR(VLOOKUP(C1806,Sheet2!$M$4:$N$12,2,0),0)</f>
        <v>7000</v>
      </c>
      <c r="K1806" s="5" t="str">
        <f t="shared" si="28"/>
        <v>within budget</v>
      </c>
    </row>
    <row r="1807" spans="1:11" x14ac:dyDescent="0.3">
      <c r="A1807" s="6">
        <v>45318</v>
      </c>
      <c r="B1807" s="5" t="s">
        <v>37</v>
      </c>
      <c r="C1807" s="5" t="s">
        <v>22</v>
      </c>
      <c r="D1807" s="5" t="s">
        <v>24</v>
      </c>
      <c r="E1807" s="5" t="s">
        <v>9</v>
      </c>
      <c r="F1807" s="5">
        <v>4611</v>
      </c>
      <c r="G1807" s="5" t="str">
        <f>VLOOKUP(C1807,Sheet2!$C$3:$D$12,2,0)</f>
        <v>Variable</v>
      </c>
      <c r="H1807" s="5" t="str">
        <f>IFERROR(VLOOKUP(E1807,Sheet2!$G$3:$H$8,2,0),"unkwon")</f>
        <v>online</v>
      </c>
      <c r="I1807" s="5">
        <f>VLOOKUP(B1807,Sheet2!$J$4:$K$15,2,0)</f>
        <v>1</v>
      </c>
      <c r="J1807" s="5">
        <f>IFERROR(VLOOKUP(C1807,Sheet2!$M$4:$N$12,2,0),0)</f>
        <v>1000</v>
      </c>
      <c r="K1807" s="5" t="str">
        <f t="shared" si="28"/>
        <v>over budget</v>
      </c>
    </row>
    <row r="1808" spans="1:11" x14ac:dyDescent="0.3">
      <c r="A1808" s="6">
        <v>45472</v>
      </c>
      <c r="B1808" s="5" t="s">
        <v>39</v>
      </c>
      <c r="C1808" s="5" t="s">
        <v>30</v>
      </c>
      <c r="D1808" s="5" t="s">
        <v>8</v>
      </c>
      <c r="E1808" s="5" t="s">
        <v>32</v>
      </c>
      <c r="F1808" s="5">
        <v>1046</v>
      </c>
      <c r="G1808" s="5" t="str">
        <f>VLOOKUP(C1808,Sheet2!$C$3:$D$12,2,0)</f>
        <v>Fixed</v>
      </c>
      <c r="H1808" s="5" t="str">
        <f>IFERROR(VLOOKUP(E1808,Sheet2!$G$3:$H$8,2,0),"unkwon")</f>
        <v>offline</v>
      </c>
      <c r="I1808" s="5">
        <f>VLOOKUP(B1808,Sheet2!$J$4:$K$15,2,0)</f>
        <v>6</v>
      </c>
      <c r="J1808" s="5">
        <f>IFERROR(VLOOKUP(C1808,Sheet2!$M$4:$N$12,2,0),0)</f>
        <v>3000</v>
      </c>
      <c r="K1808" s="5" t="str">
        <f t="shared" si="28"/>
        <v>within budget</v>
      </c>
    </row>
    <row r="1809" spans="1:11" x14ac:dyDescent="0.3">
      <c r="A1809" s="6">
        <v>45224</v>
      </c>
      <c r="B1809" s="5" t="s">
        <v>6</v>
      </c>
      <c r="C1809" s="5" t="s">
        <v>35</v>
      </c>
      <c r="D1809" s="5" t="s">
        <v>31</v>
      </c>
      <c r="E1809" s="5" t="s">
        <v>32</v>
      </c>
      <c r="F1809" s="5">
        <v>3908</v>
      </c>
      <c r="G1809" s="5" t="str">
        <f>VLOOKUP(C1809,Sheet2!$C$3:$D$12,2,0)</f>
        <v>Fixed</v>
      </c>
      <c r="H1809" s="5" t="str">
        <f>IFERROR(VLOOKUP(E1809,Sheet2!$G$3:$H$8,2,0),"unkwon")</f>
        <v>offline</v>
      </c>
      <c r="I1809" s="5">
        <f>VLOOKUP(B1809,Sheet2!$J$4:$K$15,2,0)</f>
        <v>10</v>
      </c>
      <c r="J1809" s="5">
        <f>IFERROR(VLOOKUP(C1809,Sheet2!$M$4:$N$12,2,0),0)</f>
        <v>5500</v>
      </c>
      <c r="K1809" s="5" t="str">
        <f t="shared" si="28"/>
        <v>within budget</v>
      </c>
    </row>
    <row r="1810" spans="1:11" x14ac:dyDescent="0.3">
      <c r="A1810" s="6">
        <v>45306</v>
      </c>
      <c r="B1810" s="5" t="s">
        <v>37</v>
      </c>
      <c r="C1810" s="5" t="s">
        <v>13</v>
      </c>
      <c r="D1810" s="5" t="s">
        <v>18</v>
      </c>
      <c r="E1810" s="5" t="s">
        <v>15</v>
      </c>
      <c r="F1810" s="5">
        <v>402</v>
      </c>
      <c r="G1810" s="5" t="str">
        <f>VLOOKUP(C1810,Sheet2!$C$3:$D$12,2,0)</f>
        <v>Variable</v>
      </c>
      <c r="H1810" s="5" t="str">
        <f>IFERROR(VLOOKUP(E1810,Sheet2!$G$3:$H$8,2,0),"unkwon")</f>
        <v>online</v>
      </c>
      <c r="I1810" s="5">
        <f>VLOOKUP(B1810,Sheet2!$J$4:$K$15,2,0)</f>
        <v>1</v>
      </c>
      <c r="J1810" s="5">
        <f>IFERROR(VLOOKUP(C1810,Sheet2!$M$4:$N$12,2,0),0)</f>
        <v>5000</v>
      </c>
      <c r="K1810" s="5" t="str">
        <f t="shared" si="28"/>
        <v>within budget</v>
      </c>
    </row>
    <row r="1811" spans="1:11" x14ac:dyDescent="0.3">
      <c r="A1811" s="6">
        <v>45385</v>
      </c>
      <c r="B1811" s="5" t="s">
        <v>29</v>
      </c>
      <c r="C1811" s="5" t="s">
        <v>10</v>
      </c>
      <c r="D1811" s="5" t="s">
        <v>31</v>
      </c>
      <c r="E1811" s="5" t="s">
        <v>9</v>
      </c>
      <c r="F1811" s="5">
        <v>1697</v>
      </c>
      <c r="G1811" s="5" t="str">
        <f>VLOOKUP(C1811,Sheet2!$C$3:$D$12,2,0)</f>
        <v>Variable</v>
      </c>
      <c r="H1811" s="5" t="str">
        <f>IFERROR(VLOOKUP(E1811,Sheet2!$G$3:$H$8,2,0),"unkwon")</f>
        <v>online</v>
      </c>
      <c r="I1811" s="5">
        <f>VLOOKUP(B1811,Sheet2!$J$4:$K$15,2,0)</f>
        <v>4</v>
      </c>
      <c r="J1811" s="5">
        <f>IFERROR(VLOOKUP(C1811,Sheet2!$M$4:$N$12,2,0),0)</f>
        <v>5000</v>
      </c>
      <c r="K1811" s="5" t="str">
        <f t="shared" si="28"/>
        <v>within budget</v>
      </c>
    </row>
    <row r="1812" spans="1:11" x14ac:dyDescent="0.3">
      <c r="A1812" s="6">
        <v>45201</v>
      </c>
      <c r="B1812" s="5" t="s">
        <v>6</v>
      </c>
      <c r="C1812" s="5" t="s">
        <v>10</v>
      </c>
      <c r="D1812" s="5" t="s">
        <v>31</v>
      </c>
      <c r="E1812" s="5" t="s">
        <v>9</v>
      </c>
      <c r="F1812" s="5">
        <v>2525</v>
      </c>
      <c r="G1812" s="5" t="str">
        <f>VLOOKUP(C1812,Sheet2!$C$3:$D$12,2,0)</f>
        <v>Variable</v>
      </c>
      <c r="H1812" s="5" t="str">
        <f>IFERROR(VLOOKUP(E1812,Sheet2!$G$3:$H$8,2,0),"unkwon")</f>
        <v>online</v>
      </c>
      <c r="I1812" s="5">
        <f>VLOOKUP(B1812,Sheet2!$J$4:$K$15,2,0)</f>
        <v>10</v>
      </c>
      <c r="J1812" s="5">
        <f>IFERROR(VLOOKUP(C1812,Sheet2!$M$4:$N$12,2,0),0)</f>
        <v>5000</v>
      </c>
      <c r="K1812" s="5" t="str">
        <f t="shared" si="28"/>
        <v>within budget</v>
      </c>
    </row>
    <row r="1813" spans="1:11" x14ac:dyDescent="0.3">
      <c r="A1813" s="6">
        <v>45055</v>
      </c>
      <c r="B1813" s="5" t="s">
        <v>28</v>
      </c>
      <c r="C1813" s="5" t="s">
        <v>30</v>
      </c>
      <c r="D1813" s="5" t="s">
        <v>26</v>
      </c>
      <c r="E1813" s="5" t="s">
        <v>12</v>
      </c>
      <c r="F1813" s="5">
        <v>2708</v>
      </c>
      <c r="G1813" s="5" t="str">
        <f>VLOOKUP(C1813,Sheet2!$C$3:$D$12,2,0)</f>
        <v>Fixed</v>
      </c>
      <c r="H1813" s="5" t="str">
        <f>IFERROR(VLOOKUP(E1813,Sheet2!$G$3:$H$8,2,0),"unkwon")</f>
        <v>online</v>
      </c>
      <c r="I1813" s="5">
        <f>VLOOKUP(B1813,Sheet2!$J$4:$K$15,2,0)</f>
        <v>5</v>
      </c>
      <c r="J1813" s="5">
        <f>IFERROR(VLOOKUP(C1813,Sheet2!$M$4:$N$12,2,0),0)</f>
        <v>3000</v>
      </c>
      <c r="K1813" s="5" t="str">
        <f t="shared" si="28"/>
        <v>within budget</v>
      </c>
    </row>
    <row r="1814" spans="1:11" x14ac:dyDescent="0.3">
      <c r="A1814" s="6">
        <v>45414</v>
      </c>
      <c r="B1814" s="5" t="s">
        <v>28</v>
      </c>
      <c r="C1814" s="5" t="s">
        <v>36</v>
      </c>
      <c r="D1814" s="5" t="s">
        <v>23</v>
      </c>
      <c r="E1814" s="5" t="s">
        <v>9</v>
      </c>
      <c r="F1814" s="5">
        <v>4551</v>
      </c>
      <c r="G1814" s="5" t="str">
        <f>VLOOKUP(C1814,Sheet2!$C$3:$D$12,2,0)</f>
        <v>Variable</v>
      </c>
      <c r="H1814" s="5" t="str">
        <f>IFERROR(VLOOKUP(E1814,Sheet2!$G$3:$H$8,2,0),"unkwon")</f>
        <v>online</v>
      </c>
      <c r="I1814" s="5">
        <f>VLOOKUP(B1814,Sheet2!$J$4:$K$15,2,0)</f>
        <v>5</v>
      </c>
      <c r="J1814" s="5">
        <f>IFERROR(VLOOKUP(C1814,Sheet2!$M$4:$N$12,2,0),0)</f>
        <v>10000</v>
      </c>
      <c r="K1814" s="5" t="str">
        <f t="shared" si="28"/>
        <v>within budget</v>
      </c>
    </row>
    <row r="1815" spans="1:11" x14ac:dyDescent="0.3">
      <c r="A1815" s="6">
        <v>45034</v>
      </c>
      <c r="B1815" s="5" t="s">
        <v>29</v>
      </c>
      <c r="C1815" s="5" t="s">
        <v>7</v>
      </c>
      <c r="D1815" s="5" t="s">
        <v>14</v>
      </c>
      <c r="E1815" s="5" t="s">
        <v>32</v>
      </c>
      <c r="F1815" s="5">
        <v>1868</v>
      </c>
      <c r="G1815" s="5" t="str">
        <f>VLOOKUP(C1815,Sheet2!$C$3:$D$12,2,0)</f>
        <v>Fixed</v>
      </c>
      <c r="H1815" s="5" t="str">
        <f>IFERROR(VLOOKUP(E1815,Sheet2!$G$3:$H$8,2,0),"unkwon")</f>
        <v>offline</v>
      </c>
      <c r="I1815" s="5">
        <f>VLOOKUP(B1815,Sheet2!$J$4:$K$15,2,0)</f>
        <v>4</v>
      </c>
      <c r="J1815" s="5">
        <f>IFERROR(VLOOKUP(C1815,Sheet2!$M$4:$N$12,2,0),0)</f>
        <v>2000</v>
      </c>
      <c r="K1815" s="5" t="str">
        <f t="shared" si="28"/>
        <v>within budget</v>
      </c>
    </row>
    <row r="1816" spans="1:11" x14ac:dyDescent="0.3">
      <c r="A1816" s="6">
        <v>45201</v>
      </c>
      <c r="B1816" s="5" t="s">
        <v>6</v>
      </c>
      <c r="C1816" s="5" t="s">
        <v>35</v>
      </c>
      <c r="D1816" s="5" t="s">
        <v>11</v>
      </c>
      <c r="E1816" s="5" t="s">
        <v>15</v>
      </c>
      <c r="F1816" s="5">
        <v>2412</v>
      </c>
      <c r="G1816" s="5" t="str">
        <f>VLOOKUP(C1816,Sheet2!$C$3:$D$12,2,0)</f>
        <v>Fixed</v>
      </c>
      <c r="H1816" s="5" t="str">
        <f>IFERROR(VLOOKUP(E1816,Sheet2!$G$3:$H$8,2,0),"unkwon")</f>
        <v>online</v>
      </c>
      <c r="I1816" s="5">
        <f>VLOOKUP(B1816,Sheet2!$J$4:$K$15,2,0)</f>
        <v>10</v>
      </c>
      <c r="J1816" s="5">
        <f>IFERROR(VLOOKUP(C1816,Sheet2!$M$4:$N$12,2,0),0)</f>
        <v>5500</v>
      </c>
      <c r="K1816" s="5" t="str">
        <f t="shared" si="28"/>
        <v>within budget</v>
      </c>
    </row>
    <row r="1817" spans="1:11" x14ac:dyDescent="0.3">
      <c r="A1817" s="6">
        <v>45129</v>
      </c>
      <c r="B1817" s="5" t="s">
        <v>21</v>
      </c>
      <c r="C1817" s="5" t="s">
        <v>35</v>
      </c>
      <c r="D1817" s="5" t="s">
        <v>23</v>
      </c>
      <c r="E1817" s="5" t="s">
        <v>15</v>
      </c>
      <c r="F1817" s="5">
        <v>4031</v>
      </c>
      <c r="G1817" s="5" t="str">
        <f>VLOOKUP(C1817,Sheet2!$C$3:$D$12,2,0)</f>
        <v>Fixed</v>
      </c>
      <c r="H1817" s="5" t="str">
        <f>IFERROR(VLOOKUP(E1817,Sheet2!$G$3:$H$8,2,0),"unkwon")</f>
        <v>online</v>
      </c>
      <c r="I1817" s="5">
        <f>VLOOKUP(B1817,Sheet2!$J$4:$K$15,2,0)</f>
        <v>7</v>
      </c>
      <c r="J1817" s="5">
        <f>IFERROR(VLOOKUP(C1817,Sheet2!$M$4:$N$12,2,0),0)</f>
        <v>5500</v>
      </c>
      <c r="K1817" s="5" t="str">
        <f t="shared" si="28"/>
        <v>within budget</v>
      </c>
    </row>
    <row r="1818" spans="1:11" x14ac:dyDescent="0.3">
      <c r="A1818" s="6">
        <v>45565</v>
      </c>
      <c r="B1818" s="5" t="s">
        <v>38</v>
      </c>
      <c r="C1818" s="5" t="s">
        <v>36</v>
      </c>
      <c r="D1818" s="5" t="s">
        <v>26</v>
      </c>
      <c r="E1818" s="5" t="s">
        <v>12</v>
      </c>
      <c r="F1818" s="5">
        <v>3467</v>
      </c>
      <c r="G1818" s="5" t="str">
        <f>VLOOKUP(C1818,Sheet2!$C$3:$D$12,2,0)</f>
        <v>Variable</v>
      </c>
      <c r="H1818" s="5" t="str">
        <f>IFERROR(VLOOKUP(E1818,Sheet2!$G$3:$H$8,2,0),"unkwon")</f>
        <v>online</v>
      </c>
      <c r="I1818" s="5">
        <f>VLOOKUP(B1818,Sheet2!$J$4:$K$15,2,0)</f>
        <v>9</v>
      </c>
      <c r="J1818" s="5">
        <f>IFERROR(VLOOKUP(C1818,Sheet2!$M$4:$N$12,2,0),0)</f>
        <v>10000</v>
      </c>
      <c r="K1818" s="5" t="str">
        <f t="shared" si="28"/>
        <v>within budget</v>
      </c>
    </row>
    <row r="1819" spans="1:11" x14ac:dyDescent="0.3">
      <c r="A1819" s="6">
        <v>45136</v>
      </c>
      <c r="B1819" s="5" t="s">
        <v>21</v>
      </c>
      <c r="C1819" s="5" t="s">
        <v>36</v>
      </c>
      <c r="D1819" s="5" t="s">
        <v>18</v>
      </c>
      <c r="E1819" s="5" t="s">
        <v>12</v>
      </c>
      <c r="F1819" s="5">
        <v>2494</v>
      </c>
      <c r="G1819" s="5" t="str">
        <f>VLOOKUP(C1819,Sheet2!$C$3:$D$12,2,0)</f>
        <v>Variable</v>
      </c>
      <c r="H1819" s="5" t="str">
        <f>IFERROR(VLOOKUP(E1819,Sheet2!$G$3:$H$8,2,0),"unkwon")</f>
        <v>online</v>
      </c>
      <c r="I1819" s="5">
        <f>VLOOKUP(B1819,Sheet2!$J$4:$K$15,2,0)</f>
        <v>7</v>
      </c>
      <c r="J1819" s="5">
        <f>IFERROR(VLOOKUP(C1819,Sheet2!$M$4:$N$12,2,0),0)</f>
        <v>10000</v>
      </c>
      <c r="K1819" s="5" t="str">
        <f t="shared" si="28"/>
        <v>within budget</v>
      </c>
    </row>
    <row r="1820" spans="1:11" x14ac:dyDescent="0.3">
      <c r="A1820" s="6">
        <v>45537</v>
      </c>
      <c r="B1820" s="5" t="s">
        <v>38</v>
      </c>
      <c r="C1820" s="5" t="s">
        <v>35</v>
      </c>
      <c r="D1820" s="5" t="s">
        <v>8</v>
      </c>
      <c r="E1820" s="5" t="s">
        <v>15</v>
      </c>
      <c r="F1820" s="5">
        <v>3543</v>
      </c>
      <c r="G1820" s="5" t="str">
        <f>VLOOKUP(C1820,Sheet2!$C$3:$D$12,2,0)</f>
        <v>Fixed</v>
      </c>
      <c r="H1820" s="5" t="str">
        <f>IFERROR(VLOOKUP(E1820,Sheet2!$G$3:$H$8,2,0),"unkwon")</f>
        <v>online</v>
      </c>
      <c r="I1820" s="5">
        <f>VLOOKUP(B1820,Sheet2!$J$4:$K$15,2,0)</f>
        <v>9</v>
      </c>
      <c r="J1820" s="5">
        <f>IFERROR(VLOOKUP(C1820,Sheet2!$M$4:$N$12,2,0),0)</f>
        <v>5500</v>
      </c>
      <c r="K1820" s="5" t="str">
        <f t="shared" si="28"/>
        <v>within budget</v>
      </c>
    </row>
    <row r="1821" spans="1:11" x14ac:dyDescent="0.3">
      <c r="A1821" s="6">
        <v>45535</v>
      </c>
      <c r="B1821" s="5" t="s">
        <v>25</v>
      </c>
      <c r="C1821" s="5" t="s">
        <v>30</v>
      </c>
      <c r="D1821" s="5" t="s">
        <v>23</v>
      </c>
      <c r="E1821" s="5" t="s">
        <v>12</v>
      </c>
      <c r="F1821" s="5">
        <v>881</v>
      </c>
      <c r="G1821" s="5" t="str">
        <f>VLOOKUP(C1821,Sheet2!$C$3:$D$12,2,0)</f>
        <v>Fixed</v>
      </c>
      <c r="H1821" s="5" t="str">
        <f>IFERROR(VLOOKUP(E1821,Sheet2!$G$3:$H$8,2,0),"unkwon")</f>
        <v>online</v>
      </c>
      <c r="I1821" s="5">
        <f>VLOOKUP(B1821,Sheet2!$J$4:$K$15,2,0)</f>
        <v>8</v>
      </c>
      <c r="J1821" s="5">
        <f>IFERROR(VLOOKUP(C1821,Sheet2!$M$4:$N$12,2,0),0)</f>
        <v>3000</v>
      </c>
      <c r="K1821" s="5" t="str">
        <f t="shared" si="28"/>
        <v>within budget</v>
      </c>
    </row>
    <row r="1822" spans="1:11" x14ac:dyDescent="0.3">
      <c r="A1822" s="6">
        <v>45208</v>
      </c>
      <c r="B1822" s="5" t="s">
        <v>6</v>
      </c>
      <c r="C1822" s="5" t="s">
        <v>35</v>
      </c>
      <c r="D1822" s="5" t="s">
        <v>11</v>
      </c>
      <c r="E1822" s="5" t="s">
        <v>15</v>
      </c>
      <c r="F1822" s="5">
        <v>4780</v>
      </c>
      <c r="G1822" s="5" t="str">
        <f>VLOOKUP(C1822,Sheet2!$C$3:$D$12,2,0)</f>
        <v>Fixed</v>
      </c>
      <c r="H1822" s="5" t="str">
        <f>IFERROR(VLOOKUP(E1822,Sheet2!$G$3:$H$8,2,0),"unkwon")</f>
        <v>online</v>
      </c>
      <c r="I1822" s="5">
        <f>VLOOKUP(B1822,Sheet2!$J$4:$K$15,2,0)</f>
        <v>10</v>
      </c>
      <c r="J1822" s="5">
        <f>IFERROR(VLOOKUP(C1822,Sheet2!$M$4:$N$12,2,0),0)</f>
        <v>5500</v>
      </c>
      <c r="K1822" s="5" t="str">
        <f t="shared" si="28"/>
        <v>within budget</v>
      </c>
    </row>
    <row r="1823" spans="1:11" x14ac:dyDescent="0.3">
      <c r="A1823" s="6">
        <v>45413</v>
      </c>
      <c r="B1823" s="5" t="s">
        <v>28</v>
      </c>
      <c r="C1823" s="5" t="s">
        <v>41</v>
      </c>
      <c r="D1823" s="5" t="s">
        <v>23</v>
      </c>
      <c r="E1823" s="5" t="s">
        <v>12</v>
      </c>
      <c r="F1823" s="5">
        <v>4380</v>
      </c>
      <c r="G1823" s="5" t="str">
        <f>VLOOKUP(C1823,Sheet2!$C$3:$D$12,2,0)</f>
        <v>Variable</v>
      </c>
      <c r="H1823" s="5" t="str">
        <f>IFERROR(VLOOKUP(E1823,Sheet2!$G$3:$H$8,2,0),"unkwon")</f>
        <v>online</v>
      </c>
      <c r="I1823" s="5">
        <f>VLOOKUP(B1823,Sheet2!$J$4:$K$15,2,0)</f>
        <v>5</v>
      </c>
      <c r="J1823" s="5">
        <f>IFERROR(VLOOKUP(C1823,Sheet2!$M$4:$N$12,2,0),0)</f>
        <v>7000</v>
      </c>
      <c r="K1823" s="5" t="str">
        <f t="shared" si="28"/>
        <v>within budget</v>
      </c>
    </row>
    <row r="1824" spans="1:11" x14ac:dyDescent="0.3">
      <c r="A1824" s="6">
        <v>44992</v>
      </c>
      <c r="B1824" s="5" t="s">
        <v>19</v>
      </c>
      <c r="C1824" s="5" t="s">
        <v>35</v>
      </c>
      <c r="D1824" s="5" t="s">
        <v>14</v>
      </c>
      <c r="E1824" s="5" t="s">
        <v>32</v>
      </c>
      <c r="F1824" s="5">
        <v>1413</v>
      </c>
      <c r="G1824" s="5" t="str">
        <f>VLOOKUP(C1824,Sheet2!$C$3:$D$12,2,0)</f>
        <v>Fixed</v>
      </c>
      <c r="H1824" s="5" t="str">
        <f>IFERROR(VLOOKUP(E1824,Sheet2!$G$3:$H$8,2,0),"unkwon")</f>
        <v>offline</v>
      </c>
      <c r="I1824" s="5">
        <f>VLOOKUP(B1824,Sheet2!$J$4:$K$15,2,0)</f>
        <v>3</v>
      </c>
      <c r="J1824" s="5">
        <f>IFERROR(VLOOKUP(C1824,Sheet2!$M$4:$N$12,2,0),0)</f>
        <v>5500</v>
      </c>
      <c r="K1824" s="5" t="str">
        <f t="shared" si="28"/>
        <v>within budget</v>
      </c>
    </row>
    <row r="1825" spans="1:11" x14ac:dyDescent="0.3">
      <c r="A1825" s="6">
        <v>45093</v>
      </c>
      <c r="B1825" s="5" t="s">
        <v>39</v>
      </c>
      <c r="C1825" s="5" t="s">
        <v>10</v>
      </c>
      <c r="D1825" s="5" t="s">
        <v>23</v>
      </c>
      <c r="E1825" s="5" t="s">
        <v>12</v>
      </c>
      <c r="F1825" s="5">
        <v>2344</v>
      </c>
      <c r="G1825" s="5" t="str">
        <f>VLOOKUP(C1825,Sheet2!$C$3:$D$12,2,0)</f>
        <v>Variable</v>
      </c>
      <c r="H1825" s="5" t="str">
        <f>IFERROR(VLOOKUP(E1825,Sheet2!$G$3:$H$8,2,0),"unkwon")</f>
        <v>online</v>
      </c>
      <c r="I1825" s="5">
        <f>VLOOKUP(B1825,Sheet2!$J$4:$K$15,2,0)</f>
        <v>6</v>
      </c>
      <c r="J1825" s="5">
        <f>IFERROR(VLOOKUP(C1825,Sheet2!$M$4:$N$12,2,0),0)</f>
        <v>5000</v>
      </c>
      <c r="K1825" s="5" t="str">
        <f t="shared" si="28"/>
        <v>within budget</v>
      </c>
    </row>
    <row r="1826" spans="1:11" x14ac:dyDescent="0.3">
      <c r="A1826" s="6">
        <v>45101</v>
      </c>
      <c r="B1826" s="5" t="s">
        <v>39</v>
      </c>
      <c r="C1826" s="5" t="s">
        <v>27</v>
      </c>
      <c r="D1826" s="5" t="s">
        <v>31</v>
      </c>
      <c r="E1826" s="5" t="s">
        <v>9</v>
      </c>
      <c r="F1826" s="5">
        <v>1807</v>
      </c>
      <c r="G1826" s="5" t="str">
        <f>VLOOKUP(C1826,Sheet2!$C$3:$D$12,2,0)</f>
        <v>Variable</v>
      </c>
      <c r="H1826" s="5" t="str">
        <f>IFERROR(VLOOKUP(E1826,Sheet2!$G$3:$H$8,2,0),"unkwon")</f>
        <v>online</v>
      </c>
      <c r="I1826" s="5">
        <f>VLOOKUP(B1826,Sheet2!$J$4:$K$15,2,0)</f>
        <v>6</v>
      </c>
      <c r="J1826" s="5">
        <f>IFERROR(VLOOKUP(C1826,Sheet2!$M$4:$N$12,2,0),0)</f>
        <v>4000</v>
      </c>
      <c r="K1826" s="5" t="str">
        <f t="shared" si="28"/>
        <v>within budget</v>
      </c>
    </row>
    <row r="1827" spans="1:11" x14ac:dyDescent="0.3">
      <c r="A1827" s="6">
        <v>45332</v>
      </c>
      <c r="B1827" s="5" t="s">
        <v>33</v>
      </c>
      <c r="C1827" s="5" t="s">
        <v>30</v>
      </c>
      <c r="D1827" s="5" t="s">
        <v>18</v>
      </c>
      <c r="E1827" s="5" t="s">
        <v>17</v>
      </c>
      <c r="F1827" s="5">
        <v>1132</v>
      </c>
      <c r="G1827" s="5" t="str">
        <f>VLOOKUP(C1827,Sheet2!$C$3:$D$12,2,0)</f>
        <v>Fixed</v>
      </c>
      <c r="H1827" s="5" t="str">
        <f>IFERROR(VLOOKUP(E1827,Sheet2!$G$3:$H$8,2,0),"unkwon")</f>
        <v>online</v>
      </c>
      <c r="I1827" s="5">
        <f>VLOOKUP(B1827,Sheet2!$J$4:$K$15,2,0)</f>
        <v>2</v>
      </c>
      <c r="J1827" s="5">
        <f>IFERROR(VLOOKUP(C1827,Sheet2!$M$4:$N$12,2,0),0)</f>
        <v>3000</v>
      </c>
      <c r="K1827" s="5" t="str">
        <f t="shared" si="28"/>
        <v>within budget</v>
      </c>
    </row>
    <row r="1828" spans="1:11" x14ac:dyDescent="0.3">
      <c r="A1828" s="6">
        <v>45089</v>
      </c>
      <c r="B1828" s="5" t="s">
        <v>39</v>
      </c>
      <c r="C1828" s="5" t="s">
        <v>13</v>
      </c>
      <c r="D1828" s="5" t="s">
        <v>34</v>
      </c>
      <c r="E1828" s="5" t="s">
        <v>9</v>
      </c>
      <c r="F1828" s="5">
        <v>883</v>
      </c>
      <c r="G1828" s="5" t="str">
        <f>VLOOKUP(C1828,Sheet2!$C$3:$D$12,2,0)</f>
        <v>Variable</v>
      </c>
      <c r="H1828" s="5" t="str">
        <f>IFERROR(VLOOKUP(E1828,Sheet2!$G$3:$H$8,2,0),"unkwon")</f>
        <v>online</v>
      </c>
      <c r="I1828" s="5">
        <f>VLOOKUP(B1828,Sheet2!$J$4:$K$15,2,0)</f>
        <v>6</v>
      </c>
      <c r="J1828" s="5">
        <f>IFERROR(VLOOKUP(C1828,Sheet2!$M$4:$N$12,2,0),0)</f>
        <v>5000</v>
      </c>
      <c r="K1828" s="5" t="str">
        <f t="shared" si="28"/>
        <v>within budget</v>
      </c>
    </row>
    <row r="1829" spans="1:11" x14ac:dyDescent="0.3">
      <c r="A1829" s="6">
        <v>45174</v>
      </c>
      <c r="B1829" s="5" t="s">
        <v>38</v>
      </c>
      <c r="C1829" s="5" t="s">
        <v>22</v>
      </c>
      <c r="D1829" s="5" t="s">
        <v>14</v>
      </c>
      <c r="E1829" s="5" t="s">
        <v>15</v>
      </c>
      <c r="F1829" s="5">
        <v>3698</v>
      </c>
      <c r="G1829" s="5" t="str">
        <f>VLOOKUP(C1829,Sheet2!$C$3:$D$12,2,0)</f>
        <v>Variable</v>
      </c>
      <c r="H1829" s="5" t="str">
        <f>IFERROR(VLOOKUP(E1829,Sheet2!$G$3:$H$8,2,0),"unkwon")</f>
        <v>online</v>
      </c>
      <c r="I1829" s="5">
        <f>VLOOKUP(B1829,Sheet2!$J$4:$K$15,2,0)</f>
        <v>9</v>
      </c>
      <c r="J1829" s="5">
        <f>IFERROR(VLOOKUP(C1829,Sheet2!$M$4:$N$12,2,0),0)</f>
        <v>1000</v>
      </c>
      <c r="K1829" s="5" t="str">
        <f t="shared" si="28"/>
        <v>over budget</v>
      </c>
    </row>
    <row r="1830" spans="1:11" x14ac:dyDescent="0.3">
      <c r="A1830" s="6">
        <v>45119</v>
      </c>
      <c r="B1830" s="5" t="s">
        <v>21</v>
      </c>
      <c r="C1830" s="5" t="s">
        <v>7</v>
      </c>
      <c r="D1830" s="5" t="s">
        <v>34</v>
      </c>
      <c r="E1830" s="5" t="s">
        <v>17</v>
      </c>
      <c r="F1830" s="5">
        <v>3303</v>
      </c>
      <c r="G1830" s="5" t="str">
        <f>VLOOKUP(C1830,Sheet2!$C$3:$D$12,2,0)</f>
        <v>Fixed</v>
      </c>
      <c r="H1830" s="5" t="str">
        <f>IFERROR(VLOOKUP(E1830,Sheet2!$G$3:$H$8,2,0),"unkwon")</f>
        <v>online</v>
      </c>
      <c r="I1830" s="5">
        <f>VLOOKUP(B1830,Sheet2!$J$4:$K$15,2,0)</f>
        <v>7</v>
      </c>
      <c r="J1830" s="5">
        <f>IFERROR(VLOOKUP(C1830,Sheet2!$M$4:$N$12,2,0),0)</f>
        <v>2000</v>
      </c>
      <c r="K1830" s="5" t="str">
        <f t="shared" si="28"/>
        <v>over budget</v>
      </c>
    </row>
    <row r="1831" spans="1:11" x14ac:dyDescent="0.3">
      <c r="A1831" s="6">
        <v>45086</v>
      </c>
      <c r="B1831" s="5" t="s">
        <v>39</v>
      </c>
      <c r="C1831" s="5" t="s">
        <v>10</v>
      </c>
      <c r="D1831" s="5" t="s">
        <v>34</v>
      </c>
      <c r="E1831" s="5" t="s">
        <v>12</v>
      </c>
      <c r="F1831" s="5">
        <v>4346</v>
      </c>
      <c r="G1831" s="5" t="str">
        <f>VLOOKUP(C1831,Sheet2!$C$3:$D$12,2,0)</f>
        <v>Variable</v>
      </c>
      <c r="H1831" s="5" t="str">
        <f>IFERROR(VLOOKUP(E1831,Sheet2!$G$3:$H$8,2,0),"unkwon")</f>
        <v>online</v>
      </c>
      <c r="I1831" s="5">
        <f>VLOOKUP(B1831,Sheet2!$J$4:$K$15,2,0)</f>
        <v>6</v>
      </c>
      <c r="J1831" s="5">
        <f>IFERROR(VLOOKUP(C1831,Sheet2!$M$4:$N$12,2,0),0)</f>
        <v>5000</v>
      </c>
      <c r="K1831" s="5" t="str">
        <f t="shared" si="28"/>
        <v>within budget</v>
      </c>
    </row>
    <row r="1832" spans="1:11" x14ac:dyDescent="0.3">
      <c r="A1832" s="6">
        <v>45094</v>
      </c>
      <c r="B1832" s="5" t="s">
        <v>39</v>
      </c>
      <c r="C1832" s="5" t="s">
        <v>41</v>
      </c>
      <c r="D1832" s="5" t="s">
        <v>26</v>
      </c>
      <c r="E1832" s="5" t="s">
        <v>12</v>
      </c>
      <c r="F1832" s="5">
        <v>1516</v>
      </c>
      <c r="G1832" s="5" t="str">
        <f>VLOOKUP(C1832,Sheet2!$C$3:$D$12,2,0)</f>
        <v>Variable</v>
      </c>
      <c r="H1832" s="5" t="str">
        <f>IFERROR(VLOOKUP(E1832,Sheet2!$G$3:$H$8,2,0),"unkwon")</f>
        <v>online</v>
      </c>
      <c r="I1832" s="5">
        <f>VLOOKUP(B1832,Sheet2!$J$4:$K$15,2,0)</f>
        <v>6</v>
      </c>
      <c r="J1832" s="5">
        <f>IFERROR(VLOOKUP(C1832,Sheet2!$M$4:$N$12,2,0),0)</f>
        <v>7000</v>
      </c>
      <c r="K1832" s="5" t="str">
        <f t="shared" si="28"/>
        <v>within budget</v>
      </c>
    </row>
    <row r="1833" spans="1:11" x14ac:dyDescent="0.3">
      <c r="A1833" s="6">
        <v>45563</v>
      </c>
      <c r="B1833" s="5" t="s">
        <v>38</v>
      </c>
      <c r="C1833" s="5" t="s">
        <v>35</v>
      </c>
      <c r="D1833" s="5" t="s">
        <v>14</v>
      </c>
      <c r="E1833" s="5" t="s">
        <v>9</v>
      </c>
      <c r="F1833" s="5">
        <v>244</v>
      </c>
      <c r="G1833" s="5" t="str">
        <f>VLOOKUP(C1833,Sheet2!$C$3:$D$12,2,0)</f>
        <v>Fixed</v>
      </c>
      <c r="H1833" s="5" t="str">
        <f>IFERROR(VLOOKUP(E1833,Sheet2!$G$3:$H$8,2,0),"unkwon")</f>
        <v>online</v>
      </c>
      <c r="I1833" s="5">
        <f>VLOOKUP(B1833,Sheet2!$J$4:$K$15,2,0)</f>
        <v>9</v>
      </c>
      <c r="J1833" s="5">
        <f>IFERROR(VLOOKUP(C1833,Sheet2!$M$4:$N$12,2,0),0)</f>
        <v>5500</v>
      </c>
      <c r="K1833" s="5" t="str">
        <f t="shared" si="28"/>
        <v>within budget</v>
      </c>
    </row>
    <row r="1834" spans="1:11" x14ac:dyDescent="0.3">
      <c r="A1834" s="6">
        <v>45104</v>
      </c>
      <c r="B1834" s="5" t="s">
        <v>39</v>
      </c>
      <c r="C1834" s="5" t="s">
        <v>10</v>
      </c>
      <c r="D1834" s="5" t="s">
        <v>20</v>
      </c>
      <c r="E1834" s="5" t="s">
        <v>17</v>
      </c>
      <c r="F1834" s="5">
        <v>1518</v>
      </c>
      <c r="G1834" s="5" t="str">
        <f>VLOOKUP(C1834,Sheet2!$C$3:$D$12,2,0)</f>
        <v>Variable</v>
      </c>
      <c r="H1834" s="5" t="str">
        <f>IFERROR(VLOOKUP(E1834,Sheet2!$G$3:$H$8,2,0),"unkwon")</f>
        <v>online</v>
      </c>
      <c r="I1834" s="5">
        <f>VLOOKUP(B1834,Sheet2!$J$4:$K$15,2,0)</f>
        <v>6</v>
      </c>
      <c r="J1834" s="5">
        <f>IFERROR(VLOOKUP(C1834,Sheet2!$M$4:$N$12,2,0),0)</f>
        <v>5000</v>
      </c>
      <c r="K1834" s="5" t="str">
        <f t="shared" si="28"/>
        <v>within budget</v>
      </c>
    </row>
    <row r="1835" spans="1:11" x14ac:dyDescent="0.3">
      <c r="A1835" s="6">
        <v>45172</v>
      </c>
      <c r="B1835" s="5" t="s">
        <v>38</v>
      </c>
      <c r="C1835" s="5" t="s">
        <v>41</v>
      </c>
      <c r="D1835" s="5" t="s">
        <v>8</v>
      </c>
      <c r="E1835" s="5" t="s">
        <v>9</v>
      </c>
      <c r="F1835" s="5">
        <v>2426</v>
      </c>
      <c r="G1835" s="5" t="str">
        <f>VLOOKUP(C1835,Sheet2!$C$3:$D$12,2,0)</f>
        <v>Variable</v>
      </c>
      <c r="H1835" s="5" t="str">
        <f>IFERROR(VLOOKUP(E1835,Sheet2!$G$3:$H$8,2,0),"unkwon")</f>
        <v>online</v>
      </c>
      <c r="I1835" s="5">
        <f>VLOOKUP(B1835,Sheet2!$J$4:$K$15,2,0)</f>
        <v>9</v>
      </c>
      <c r="J1835" s="5">
        <f>IFERROR(VLOOKUP(C1835,Sheet2!$M$4:$N$12,2,0),0)</f>
        <v>7000</v>
      </c>
      <c r="K1835" s="5" t="str">
        <f t="shared" si="28"/>
        <v>within budget</v>
      </c>
    </row>
    <row r="1836" spans="1:11" x14ac:dyDescent="0.3">
      <c r="A1836" s="6">
        <v>45339</v>
      </c>
      <c r="B1836" s="5" t="s">
        <v>33</v>
      </c>
      <c r="C1836" s="5" t="s">
        <v>7</v>
      </c>
      <c r="D1836" s="5" t="s">
        <v>23</v>
      </c>
      <c r="E1836" s="5" t="s">
        <v>32</v>
      </c>
      <c r="F1836" s="5">
        <v>588</v>
      </c>
      <c r="G1836" s="5" t="str">
        <f>VLOOKUP(C1836,Sheet2!$C$3:$D$12,2,0)</f>
        <v>Fixed</v>
      </c>
      <c r="H1836" s="5" t="str">
        <f>IFERROR(VLOOKUP(E1836,Sheet2!$G$3:$H$8,2,0),"unkwon")</f>
        <v>offline</v>
      </c>
      <c r="I1836" s="5">
        <f>VLOOKUP(B1836,Sheet2!$J$4:$K$15,2,0)</f>
        <v>2</v>
      </c>
      <c r="J1836" s="5">
        <f>IFERROR(VLOOKUP(C1836,Sheet2!$M$4:$N$12,2,0),0)</f>
        <v>2000</v>
      </c>
      <c r="K1836" s="5" t="str">
        <f t="shared" si="28"/>
        <v>within budget</v>
      </c>
    </row>
    <row r="1837" spans="1:11" x14ac:dyDescent="0.3">
      <c r="A1837" s="6">
        <v>45063</v>
      </c>
      <c r="B1837" s="5" t="s">
        <v>28</v>
      </c>
      <c r="C1837" s="5" t="s">
        <v>41</v>
      </c>
      <c r="D1837" s="5" t="s">
        <v>24</v>
      </c>
      <c r="E1837" s="5" t="s">
        <v>12</v>
      </c>
      <c r="F1837" s="5">
        <v>2123</v>
      </c>
      <c r="G1837" s="5" t="str">
        <f>VLOOKUP(C1837,Sheet2!$C$3:$D$12,2,0)</f>
        <v>Variable</v>
      </c>
      <c r="H1837" s="5" t="str">
        <f>IFERROR(VLOOKUP(E1837,Sheet2!$G$3:$H$8,2,0),"unkwon")</f>
        <v>online</v>
      </c>
      <c r="I1837" s="5">
        <f>VLOOKUP(B1837,Sheet2!$J$4:$K$15,2,0)</f>
        <v>5</v>
      </c>
      <c r="J1837" s="5">
        <f>IFERROR(VLOOKUP(C1837,Sheet2!$M$4:$N$12,2,0),0)</f>
        <v>7000</v>
      </c>
      <c r="K1837" s="5" t="str">
        <f t="shared" si="28"/>
        <v>within budget</v>
      </c>
    </row>
    <row r="1838" spans="1:11" x14ac:dyDescent="0.3">
      <c r="A1838" s="6">
        <v>45604</v>
      </c>
      <c r="B1838" s="5" t="s">
        <v>40</v>
      </c>
      <c r="C1838" s="5" t="s">
        <v>22</v>
      </c>
      <c r="D1838" s="5" t="s">
        <v>18</v>
      </c>
      <c r="E1838" s="5" t="s">
        <v>17</v>
      </c>
      <c r="F1838" s="5">
        <v>2323</v>
      </c>
      <c r="G1838" s="5" t="str">
        <f>VLOOKUP(C1838,Sheet2!$C$3:$D$12,2,0)</f>
        <v>Variable</v>
      </c>
      <c r="H1838" s="5" t="str">
        <f>IFERROR(VLOOKUP(E1838,Sheet2!$G$3:$H$8,2,0),"unkwon")</f>
        <v>online</v>
      </c>
      <c r="I1838" s="5">
        <f>VLOOKUP(B1838,Sheet2!$J$4:$K$15,2,0)</f>
        <v>11</v>
      </c>
      <c r="J1838" s="5">
        <f>IFERROR(VLOOKUP(C1838,Sheet2!$M$4:$N$12,2,0),0)</f>
        <v>1000</v>
      </c>
      <c r="K1838" s="5" t="str">
        <f t="shared" si="28"/>
        <v>over budget</v>
      </c>
    </row>
    <row r="1839" spans="1:11" x14ac:dyDescent="0.3">
      <c r="A1839" s="6">
        <v>45591</v>
      </c>
      <c r="B1839" s="5" t="s">
        <v>6</v>
      </c>
      <c r="C1839" s="5" t="s">
        <v>36</v>
      </c>
      <c r="D1839" s="5" t="s">
        <v>14</v>
      </c>
      <c r="E1839" s="5" t="s">
        <v>17</v>
      </c>
      <c r="F1839" s="5">
        <v>4508</v>
      </c>
      <c r="G1839" s="5" t="str">
        <f>VLOOKUP(C1839,Sheet2!$C$3:$D$12,2,0)</f>
        <v>Variable</v>
      </c>
      <c r="H1839" s="5" t="str">
        <f>IFERROR(VLOOKUP(E1839,Sheet2!$G$3:$H$8,2,0),"unkwon")</f>
        <v>online</v>
      </c>
      <c r="I1839" s="5">
        <f>VLOOKUP(B1839,Sheet2!$J$4:$K$15,2,0)</f>
        <v>10</v>
      </c>
      <c r="J1839" s="5">
        <f>IFERROR(VLOOKUP(C1839,Sheet2!$M$4:$N$12,2,0),0)</f>
        <v>10000</v>
      </c>
      <c r="K1839" s="5" t="str">
        <f t="shared" si="28"/>
        <v>within budget</v>
      </c>
    </row>
    <row r="1840" spans="1:11" x14ac:dyDescent="0.3">
      <c r="A1840" s="6">
        <v>45121</v>
      </c>
      <c r="B1840" s="5" t="s">
        <v>21</v>
      </c>
      <c r="C1840" s="5" t="s">
        <v>30</v>
      </c>
      <c r="D1840" s="5" t="s">
        <v>20</v>
      </c>
      <c r="E1840" s="5" t="s">
        <v>32</v>
      </c>
      <c r="F1840" s="5">
        <v>3756</v>
      </c>
      <c r="G1840" s="5" t="str">
        <f>VLOOKUP(C1840,Sheet2!$C$3:$D$12,2,0)</f>
        <v>Fixed</v>
      </c>
      <c r="H1840" s="5" t="str">
        <f>IFERROR(VLOOKUP(E1840,Sheet2!$G$3:$H$8,2,0),"unkwon")</f>
        <v>offline</v>
      </c>
      <c r="I1840" s="5">
        <f>VLOOKUP(B1840,Sheet2!$J$4:$K$15,2,0)</f>
        <v>7</v>
      </c>
      <c r="J1840" s="5">
        <f>IFERROR(VLOOKUP(C1840,Sheet2!$M$4:$N$12,2,0),0)</f>
        <v>3000</v>
      </c>
      <c r="K1840" s="5" t="str">
        <f t="shared" si="28"/>
        <v>over budget</v>
      </c>
    </row>
    <row r="1841" spans="1:11" x14ac:dyDescent="0.3">
      <c r="A1841" s="6">
        <v>45247</v>
      </c>
      <c r="B1841" s="5" t="s">
        <v>40</v>
      </c>
      <c r="C1841" s="5" t="s">
        <v>7</v>
      </c>
      <c r="D1841" s="5" t="s">
        <v>20</v>
      </c>
      <c r="E1841" s="5" t="s">
        <v>32</v>
      </c>
      <c r="F1841" s="5">
        <v>1609</v>
      </c>
      <c r="G1841" s="5" t="str">
        <f>VLOOKUP(C1841,Sheet2!$C$3:$D$12,2,0)</f>
        <v>Fixed</v>
      </c>
      <c r="H1841" s="5" t="str">
        <f>IFERROR(VLOOKUP(E1841,Sheet2!$G$3:$H$8,2,0),"unkwon")</f>
        <v>offline</v>
      </c>
      <c r="I1841" s="5">
        <f>VLOOKUP(B1841,Sheet2!$J$4:$K$15,2,0)</f>
        <v>11</v>
      </c>
      <c r="J1841" s="5">
        <f>IFERROR(VLOOKUP(C1841,Sheet2!$M$4:$N$12,2,0),0)</f>
        <v>2000</v>
      </c>
      <c r="K1841" s="5" t="str">
        <f t="shared" si="28"/>
        <v>within budget</v>
      </c>
    </row>
    <row r="1842" spans="1:11" x14ac:dyDescent="0.3">
      <c r="A1842" s="6">
        <v>45334</v>
      </c>
      <c r="B1842" s="5" t="s">
        <v>33</v>
      </c>
      <c r="C1842" s="5" t="s">
        <v>10</v>
      </c>
      <c r="D1842" s="5" t="s">
        <v>23</v>
      </c>
      <c r="E1842" s="5" t="s">
        <v>17</v>
      </c>
      <c r="F1842" s="5">
        <v>3926</v>
      </c>
      <c r="G1842" s="5" t="str">
        <f>VLOOKUP(C1842,Sheet2!$C$3:$D$12,2,0)</f>
        <v>Variable</v>
      </c>
      <c r="H1842" s="5" t="str">
        <f>IFERROR(VLOOKUP(E1842,Sheet2!$G$3:$H$8,2,0),"unkwon")</f>
        <v>online</v>
      </c>
      <c r="I1842" s="5">
        <f>VLOOKUP(B1842,Sheet2!$J$4:$K$15,2,0)</f>
        <v>2</v>
      </c>
      <c r="J1842" s="5">
        <f>IFERROR(VLOOKUP(C1842,Sheet2!$M$4:$N$12,2,0),0)</f>
        <v>5000</v>
      </c>
      <c r="K1842" s="5" t="str">
        <f t="shared" si="28"/>
        <v>within budget</v>
      </c>
    </row>
    <row r="1843" spans="1:11" x14ac:dyDescent="0.3">
      <c r="A1843" s="6">
        <v>45419</v>
      </c>
      <c r="B1843" s="5" t="s">
        <v>28</v>
      </c>
      <c r="C1843" s="5" t="s">
        <v>22</v>
      </c>
      <c r="D1843" s="5" t="s">
        <v>31</v>
      </c>
      <c r="E1843" s="5" t="s">
        <v>15</v>
      </c>
      <c r="F1843" s="5">
        <v>488</v>
      </c>
      <c r="G1843" s="5" t="str">
        <f>VLOOKUP(C1843,Sheet2!$C$3:$D$12,2,0)</f>
        <v>Variable</v>
      </c>
      <c r="H1843" s="5" t="str">
        <f>IFERROR(VLOOKUP(E1843,Sheet2!$G$3:$H$8,2,0),"unkwon")</f>
        <v>online</v>
      </c>
      <c r="I1843" s="5">
        <f>VLOOKUP(B1843,Sheet2!$J$4:$K$15,2,0)</f>
        <v>5</v>
      </c>
      <c r="J1843" s="5">
        <f>IFERROR(VLOOKUP(C1843,Sheet2!$M$4:$N$12,2,0),0)</f>
        <v>1000</v>
      </c>
      <c r="K1843" s="5" t="str">
        <f t="shared" si="28"/>
        <v>within budget</v>
      </c>
    </row>
    <row r="1844" spans="1:11" x14ac:dyDescent="0.3">
      <c r="A1844" s="6">
        <v>45147</v>
      </c>
      <c r="B1844" s="5" t="s">
        <v>25</v>
      </c>
      <c r="C1844" s="5" t="s">
        <v>7</v>
      </c>
      <c r="D1844" s="5" t="s">
        <v>18</v>
      </c>
      <c r="E1844" s="5" t="s">
        <v>32</v>
      </c>
      <c r="F1844" s="5">
        <v>2963</v>
      </c>
      <c r="G1844" s="5" t="str">
        <f>VLOOKUP(C1844,Sheet2!$C$3:$D$12,2,0)</f>
        <v>Fixed</v>
      </c>
      <c r="H1844" s="5" t="str">
        <f>IFERROR(VLOOKUP(E1844,Sheet2!$G$3:$H$8,2,0),"unkwon")</f>
        <v>offline</v>
      </c>
      <c r="I1844" s="5">
        <f>VLOOKUP(B1844,Sheet2!$J$4:$K$15,2,0)</f>
        <v>8</v>
      </c>
      <c r="J1844" s="5">
        <f>IFERROR(VLOOKUP(C1844,Sheet2!$M$4:$N$12,2,0),0)</f>
        <v>2000</v>
      </c>
      <c r="K1844" s="5" t="str">
        <f t="shared" si="28"/>
        <v>over budget</v>
      </c>
    </row>
    <row r="1845" spans="1:11" x14ac:dyDescent="0.3">
      <c r="A1845" s="6">
        <v>45029</v>
      </c>
      <c r="B1845" s="5" t="s">
        <v>29</v>
      </c>
      <c r="C1845" s="5" t="s">
        <v>22</v>
      </c>
      <c r="D1845" s="5" t="s">
        <v>11</v>
      </c>
      <c r="E1845" s="5" t="s">
        <v>9</v>
      </c>
      <c r="F1845" s="5">
        <v>1149</v>
      </c>
      <c r="G1845" s="5" t="str">
        <f>VLOOKUP(C1845,Sheet2!$C$3:$D$12,2,0)</f>
        <v>Variable</v>
      </c>
      <c r="H1845" s="5" t="str">
        <f>IFERROR(VLOOKUP(E1845,Sheet2!$G$3:$H$8,2,0),"unkwon")</f>
        <v>online</v>
      </c>
      <c r="I1845" s="5">
        <f>VLOOKUP(B1845,Sheet2!$J$4:$K$15,2,0)</f>
        <v>4</v>
      </c>
      <c r="J1845" s="5">
        <f>IFERROR(VLOOKUP(C1845,Sheet2!$M$4:$N$12,2,0),0)</f>
        <v>1000</v>
      </c>
      <c r="K1845" s="5" t="str">
        <f t="shared" si="28"/>
        <v>over budget</v>
      </c>
    </row>
    <row r="1846" spans="1:11" x14ac:dyDescent="0.3">
      <c r="A1846" s="6">
        <v>44927</v>
      </c>
      <c r="B1846" s="5" t="s">
        <v>37</v>
      </c>
      <c r="C1846" s="5" t="s">
        <v>13</v>
      </c>
      <c r="D1846" s="5" t="s">
        <v>18</v>
      </c>
      <c r="E1846" s="5" t="s">
        <v>12</v>
      </c>
      <c r="F1846" s="5">
        <v>3044</v>
      </c>
      <c r="G1846" s="5" t="str">
        <f>VLOOKUP(C1846,Sheet2!$C$3:$D$12,2,0)</f>
        <v>Variable</v>
      </c>
      <c r="H1846" s="5" t="str">
        <f>IFERROR(VLOOKUP(E1846,Sheet2!$G$3:$H$8,2,0),"unkwon")</f>
        <v>online</v>
      </c>
      <c r="I1846" s="5">
        <f>VLOOKUP(B1846,Sheet2!$J$4:$K$15,2,0)</f>
        <v>1</v>
      </c>
      <c r="J1846" s="5">
        <f>IFERROR(VLOOKUP(C1846,Sheet2!$M$4:$N$12,2,0),0)</f>
        <v>5000</v>
      </c>
      <c r="K1846" s="5" t="str">
        <f t="shared" si="28"/>
        <v>within budget</v>
      </c>
    </row>
    <row r="1847" spans="1:11" x14ac:dyDescent="0.3">
      <c r="A1847" s="6">
        <v>44938</v>
      </c>
      <c r="B1847" s="5" t="s">
        <v>37</v>
      </c>
      <c r="C1847" s="5" t="s">
        <v>36</v>
      </c>
      <c r="D1847" s="5" t="s">
        <v>24</v>
      </c>
      <c r="E1847" s="5" t="s">
        <v>17</v>
      </c>
      <c r="F1847" s="5">
        <v>2332</v>
      </c>
      <c r="G1847" s="5" t="str">
        <f>VLOOKUP(C1847,Sheet2!$C$3:$D$12,2,0)</f>
        <v>Variable</v>
      </c>
      <c r="H1847" s="5" t="str">
        <f>IFERROR(VLOOKUP(E1847,Sheet2!$G$3:$H$8,2,0),"unkwon")</f>
        <v>online</v>
      </c>
      <c r="I1847" s="5">
        <f>VLOOKUP(B1847,Sheet2!$J$4:$K$15,2,0)</f>
        <v>1</v>
      </c>
      <c r="J1847" s="5">
        <f>IFERROR(VLOOKUP(C1847,Sheet2!$M$4:$N$12,2,0),0)</f>
        <v>10000</v>
      </c>
      <c r="K1847" s="5" t="str">
        <f t="shared" si="28"/>
        <v>within budget</v>
      </c>
    </row>
    <row r="1848" spans="1:11" x14ac:dyDescent="0.3">
      <c r="A1848" s="6">
        <v>44965</v>
      </c>
      <c r="B1848" s="5" t="s">
        <v>33</v>
      </c>
      <c r="C1848" s="5" t="s">
        <v>10</v>
      </c>
      <c r="D1848" s="5" t="s">
        <v>11</v>
      </c>
      <c r="E1848" s="5" t="s">
        <v>17</v>
      </c>
      <c r="F1848" s="5">
        <v>4768</v>
      </c>
      <c r="G1848" s="5" t="str">
        <f>VLOOKUP(C1848,Sheet2!$C$3:$D$12,2,0)</f>
        <v>Variable</v>
      </c>
      <c r="H1848" s="5" t="str">
        <f>IFERROR(VLOOKUP(E1848,Sheet2!$G$3:$H$8,2,0),"unkwon")</f>
        <v>online</v>
      </c>
      <c r="I1848" s="5">
        <f>VLOOKUP(B1848,Sheet2!$J$4:$K$15,2,0)</f>
        <v>2</v>
      </c>
      <c r="J1848" s="5">
        <f>IFERROR(VLOOKUP(C1848,Sheet2!$M$4:$N$12,2,0),0)</f>
        <v>5000</v>
      </c>
      <c r="K1848" s="5" t="str">
        <f t="shared" si="28"/>
        <v>within budget</v>
      </c>
    </row>
    <row r="1849" spans="1:11" x14ac:dyDescent="0.3">
      <c r="A1849" s="6">
        <v>45195</v>
      </c>
      <c r="B1849" s="5" t="s">
        <v>38</v>
      </c>
      <c r="C1849" s="5" t="s">
        <v>27</v>
      </c>
      <c r="D1849" s="5" t="s">
        <v>14</v>
      </c>
      <c r="E1849" s="5" t="s">
        <v>9</v>
      </c>
      <c r="F1849" s="5">
        <v>4291</v>
      </c>
      <c r="G1849" s="5" t="str">
        <f>VLOOKUP(C1849,Sheet2!$C$3:$D$12,2,0)</f>
        <v>Variable</v>
      </c>
      <c r="H1849" s="5" t="str">
        <f>IFERROR(VLOOKUP(E1849,Sheet2!$G$3:$H$8,2,0),"unkwon")</f>
        <v>online</v>
      </c>
      <c r="I1849" s="5">
        <f>VLOOKUP(B1849,Sheet2!$J$4:$K$15,2,0)</f>
        <v>9</v>
      </c>
      <c r="J1849" s="5">
        <f>IFERROR(VLOOKUP(C1849,Sheet2!$M$4:$N$12,2,0),0)</f>
        <v>4000</v>
      </c>
      <c r="K1849" s="5" t="str">
        <f t="shared" si="28"/>
        <v>over budget</v>
      </c>
    </row>
    <row r="1850" spans="1:11" x14ac:dyDescent="0.3">
      <c r="A1850" s="6">
        <v>45061</v>
      </c>
      <c r="B1850" s="5" t="s">
        <v>28</v>
      </c>
      <c r="C1850" s="5" t="s">
        <v>41</v>
      </c>
      <c r="D1850" s="5" t="s">
        <v>11</v>
      </c>
      <c r="E1850" s="5" t="s">
        <v>15</v>
      </c>
      <c r="F1850" s="5">
        <v>2199</v>
      </c>
      <c r="G1850" s="5" t="str">
        <f>VLOOKUP(C1850,Sheet2!$C$3:$D$12,2,0)</f>
        <v>Variable</v>
      </c>
      <c r="H1850" s="5" t="str">
        <f>IFERROR(VLOOKUP(E1850,Sheet2!$G$3:$H$8,2,0),"unkwon")</f>
        <v>online</v>
      </c>
      <c r="I1850" s="5">
        <f>VLOOKUP(B1850,Sheet2!$J$4:$K$15,2,0)</f>
        <v>5</v>
      </c>
      <c r="J1850" s="5">
        <f>IFERROR(VLOOKUP(C1850,Sheet2!$M$4:$N$12,2,0),0)</f>
        <v>7000</v>
      </c>
      <c r="K1850" s="5" t="str">
        <f t="shared" si="28"/>
        <v>within budget</v>
      </c>
    </row>
    <row r="1851" spans="1:11" x14ac:dyDescent="0.3">
      <c r="A1851" s="6">
        <v>45225</v>
      </c>
      <c r="B1851" s="5" t="s">
        <v>6</v>
      </c>
      <c r="C1851" s="5" t="s">
        <v>13</v>
      </c>
      <c r="D1851" s="5" t="s">
        <v>14</v>
      </c>
      <c r="E1851" s="5" t="s">
        <v>12</v>
      </c>
      <c r="F1851" s="5">
        <v>2402</v>
      </c>
      <c r="G1851" s="5" t="str">
        <f>VLOOKUP(C1851,Sheet2!$C$3:$D$12,2,0)</f>
        <v>Variable</v>
      </c>
      <c r="H1851" s="5" t="str">
        <f>IFERROR(VLOOKUP(E1851,Sheet2!$G$3:$H$8,2,0),"unkwon")</f>
        <v>online</v>
      </c>
      <c r="I1851" s="5">
        <f>VLOOKUP(B1851,Sheet2!$J$4:$K$15,2,0)</f>
        <v>10</v>
      </c>
      <c r="J1851" s="5">
        <f>IFERROR(VLOOKUP(C1851,Sheet2!$M$4:$N$12,2,0),0)</f>
        <v>5000</v>
      </c>
      <c r="K1851" s="5" t="str">
        <f t="shared" si="28"/>
        <v>within budget</v>
      </c>
    </row>
    <row r="1852" spans="1:11" x14ac:dyDescent="0.3">
      <c r="A1852" s="6">
        <v>45652</v>
      </c>
      <c r="B1852" s="5" t="s">
        <v>16</v>
      </c>
      <c r="C1852" s="5" t="s">
        <v>27</v>
      </c>
      <c r="D1852" s="5" t="s">
        <v>20</v>
      </c>
      <c r="E1852" s="5" t="s">
        <v>15</v>
      </c>
      <c r="F1852" s="5">
        <v>3089</v>
      </c>
      <c r="G1852" s="5" t="str">
        <f>VLOOKUP(C1852,Sheet2!$C$3:$D$12,2,0)</f>
        <v>Variable</v>
      </c>
      <c r="H1852" s="5" t="str">
        <f>IFERROR(VLOOKUP(E1852,Sheet2!$G$3:$H$8,2,0),"unkwon")</f>
        <v>online</v>
      </c>
      <c r="I1852" s="5">
        <f>VLOOKUP(B1852,Sheet2!$J$4:$K$15,2,0)</f>
        <v>12</v>
      </c>
      <c r="J1852" s="5">
        <f>IFERROR(VLOOKUP(C1852,Sheet2!$M$4:$N$12,2,0),0)</f>
        <v>4000</v>
      </c>
      <c r="K1852" s="5" t="str">
        <f t="shared" si="28"/>
        <v>within budget</v>
      </c>
    </row>
    <row r="1853" spans="1:11" x14ac:dyDescent="0.3">
      <c r="A1853" s="6">
        <v>45301</v>
      </c>
      <c r="B1853" s="5" t="s">
        <v>37</v>
      </c>
      <c r="C1853" s="5" t="s">
        <v>30</v>
      </c>
      <c r="D1853" s="5" t="s">
        <v>8</v>
      </c>
      <c r="E1853" s="5" t="s">
        <v>17</v>
      </c>
      <c r="F1853" s="5">
        <v>2444</v>
      </c>
      <c r="G1853" s="5" t="str">
        <f>VLOOKUP(C1853,Sheet2!$C$3:$D$12,2,0)</f>
        <v>Fixed</v>
      </c>
      <c r="H1853" s="5" t="str">
        <f>IFERROR(VLOOKUP(E1853,Sheet2!$G$3:$H$8,2,0),"unkwon")</f>
        <v>online</v>
      </c>
      <c r="I1853" s="5">
        <f>VLOOKUP(B1853,Sheet2!$J$4:$K$15,2,0)</f>
        <v>1</v>
      </c>
      <c r="J1853" s="5">
        <f>IFERROR(VLOOKUP(C1853,Sheet2!$M$4:$N$12,2,0),0)</f>
        <v>3000</v>
      </c>
      <c r="K1853" s="5" t="str">
        <f t="shared" si="28"/>
        <v>within budget</v>
      </c>
    </row>
    <row r="1854" spans="1:11" x14ac:dyDescent="0.3">
      <c r="A1854" s="6">
        <v>45561</v>
      </c>
      <c r="B1854" s="5" t="s">
        <v>38</v>
      </c>
      <c r="C1854" s="5" t="s">
        <v>13</v>
      </c>
      <c r="D1854" s="5" t="s">
        <v>26</v>
      </c>
      <c r="E1854" s="5" t="s">
        <v>12</v>
      </c>
      <c r="F1854" s="5">
        <v>2380</v>
      </c>
      <c r="G1854" s="5" t="str">
        <f>VLOOKUP(C1854,Sheet2!$C$3:$D$12,2,0)</f>
        <v>Variable</v>
      </c>
      <c r="H1854" s="5" t="str">
        <f>IFERROR(VLOOKUP(E1854,Sheet2!$G$3:$H$8,2,0),"unkwon")</f>
        <v>online</v>
      </c>
      <c r="I1854" s="5">
        <f>VLOOKUP(B1854,Sheet2!$J$4:$K$15,2,0)</f>
        <v>9</v>
      </c>
      <c r="J1854" s="5">
        <f>IFERROR(VLOOKUP(C1854,Sheet2!$M$4:$N$12,2,0),0)</f>
        <v>5000</v>
      </c>
      <c r="K1854" s="5" t="str">
        <f t="shared" si="28"/>
        <v>within budget</v>
      </c>
    </row>
    <row r="1855" spans="1:11" x14ac:dyDescent="0.3">
      <c r="A1855" s="6">
        <v>45190</v>
      </c>
      <c r="B1855" s="5" t="s">
        <v>38</v>
      </c>
      <c r="C1855" s="5" t="s">
        <v>13</v>
      </c>
      <c r="D1855" s="5" t="s">
        <v>24</v>
      </c>
      <c r="E1855" s="5" t="s">
        <v>32</v>
      </c>
      <c r="F1855" s="5">
        <v>1414</v>
      </c>
      <c r="G1855" s="5" t="str">
        <f>VLOOKUP(C1855,Sheet2!$C$3:$D$12,2,0)</f>
        <v>Variable</v>
      </c>
      <c r="H1855" s="5" t="str">
        <f>IFERROR(VLOOKUP(E1855,Sheet2!$G$3:$H$8,2,0),"unkwon")</f>
        <v>offline</v>
      </c>
      <c r="I1855" s="5">
        <f>VLOOKUP(B1855,Sheet2!$J$4:$K$15,2,0)</f>
        <v>9</v>
      </c>
      <c r="J1855" s="5">
        <f>IFERROR(VLOOKUP(C1855,Sheet2!$M$4:$N$12,2,0),0)</f>
        <v>5000</v>
      </c>
      <c r="K1855" s="5" t="str">
        <f t="shared" si="28"/>
        <v>within budget</v>
      </c>
    </row>
    <row r="1856" spans="1:11" x14ac:dyDescent="0.3">
      <c r="A1856" s="6">
        <v>45231</v>
      </c>
      <c r="B1856" s="5" t="s">
        <v>40</v>
      </c>
      <c r="C1856" s="5" t="s">
        <v>7</v>
      </c>
      <c r="D1856" s="5" t="s">
        <v>34</v>
      </c>
      <c r="E1856" s="5" t="s">
        <v>9</v>
      </c>
      <c r="F1856" s="5">
        <v>4032</v>
      </c>
      <c r="G1856" s="5" t="str">
        <f>VLOOKUP(C1856,Sheet2!$C$3:$D$12,2,0)</f>
        <v>Fixed</v>
      </c>
      <c r="H1856" s="5" t="str">
        <f>IFERROR(VLOOKUP(E1856,Sheet2!$G$3:$H$8,2,0),"unkwon")</f>
        <v>online</v>
      </c>
      <c r="I1856" s="5">
        <f>VLOOKUP(B1856,Sheet2!$J$4:$K$15,2,0)</f>
        <v>11</v>
      </c>
      <c r="J1856" s="5">
        <f>IFERROR(VLOOKUP(C1856,Sheet2!$M$4:$N$12,2,0),0)</f>
        <v>2000</v>
      </c>
      <c r="K1856" s="5" t="str">
        <f t="shared" si="28"/>
        <v>over budget</v>
      </c>
    </row>
    <row r="1857" spans="1:11" x14ac:dyDescent="0.3">
      <c r="A1857" s="6">
        <v>45354</v>
      </c>
      <c r="B1857" s="5" t="s">
        <v>19</v>
      </c>
      <c r="C1857" s="5" t="s">
        <v>22</v>
      </c>
      <c r="D1857" s="5" t="s">
        <v>8</v>
      </c>
      <c r="E1857" s="5" t="s">
        <v>9</v>
      </c>
      <c r="F1857" s="5">
        <v>1604</v>
      </c>
      <c r="G1857" s="5" t="str">
        <f>VLOOKUP(C1857,Sheet2!$C$3:$D$12,2,0)</f>
        <v>Variable</v>
      </c>
      <c r="H1857" s="5" t="str">
        <f>IFERROR(VLOOKUP(E1857,Sheet2!$G$3:$H$8,2,0),"unkwon")</f>
        <v>online</v>
      </c>
      <c r="I1857" s="5">
        <f>VLOOKUP(B1857,Sheet2!$J$4:$K$15,2,0)</f>
        <v>3</v>
      </c>
      <c r="J1857" s="5">
        <f>IFERROR(VLOOKUP(C1857,Sheet2!$M$4:$N$12,2,0),0)</f>
        <v>1000</v>
      </c>
      <c r="K1857" s="5" t="str">
        <f t="shared" si="28"/>
        <v>over budget</v>
      </c>
    </row>
    <row r="1858" spans="1:11" x14ac:dyDescent="0.3">
      <c r="A1858" s="6">
        <v>45422</v>
      </c>
      <c r="B1858" s="5" t="s">
        <v>28</v>
      </c>
      <c r="C1858" s="5" t="s">
        <v>22</v>
      </c>
      <c r="D1858" s="5" t="s">
        <v>11</v>
      </c>
      <c r="E1858" s="5" t="s">
        <v>17</v>
      </c>
      <c r="F1858" s="5">
        <v>3738</v>
      </c>
      <c r="G1858" s="5" t="str">
        <f>VLOOKUP(C1858,Sheet2!$C$3:$D$12,2,0)</f>
        <v>Variable</v>
      </c>
      <c r="H1858" s="5" t="str">
        <f>IFERROR(VLOOKUP(E1858,Sheet2!$G$3:$H$8,2,0),"unkwon")</f>
        <v>online</v>
      </c>
      <c r="I1858" s="5">
        <f>VLOOKUP(B1858,Sheet2!$J$4:$K$15,2,0)</f>
        <v>5</v>
      </c>
      <c r="J1858" s="5">
        <f>IFERROR(VLOOKUP(C1858,Sheet2!$M$4:$N$12,2,0),0)</f>
        <v>1000</v>
      </c>
      <c r="K1858" s="5" t="str">
        <f t="shared" si="28"/>
        <v>over budget</v>
      </c>
    </row>
    <row r="1859" spans="1:11" x14ac:dyDescent="0.3">
      <c r="A1859" s="6">
        <v>45616</v>
      </c>
      <c r="B1859" s="5" t="s">
        <v>40</v>
      </c>
      <c r="C1859" s="5" t="s">
        <v>7</v>
      </c>
      <c r="D1859" s="5" t="s">
        <v>34</v>
      </c>
      <c r="E1859" s="5" t="s">
        <v>17</v>
      </c>
      <c r="F1859" s="5">
        <v>2832</v>
      </c>
      <c r="G1859" s="5" t="str">
        <f>VLOOKUP(C1859,Sheet2!$C$3:$D$12,2,0)</f>
        <v>Fixed</v>
      </c>
      <c r="H1859" s="5" t="str">
        <f>IFERROR(VLOOKUP(E1859,Sheet2!$G$3:$H$8,2,0),"unkwon")</f>
        <v>online</v>
      </c>
      <c r="I1859" s="5">
        <f>VLOOKUP(B1859,Sheet2!$J$4:$K$15,2,0)</f>
        <v>11</v>
      </c>
      <c r="J1859" s="5">
        <f>IFERROR(VLOOKUP(C1859,Sheet2!$M$4:$N$12,2,0),0)</f>
        <v>2000</v>
      </c>
      <c r="K1859" s="5" t="str">
        <f t="shared" ref="K1859:K1922" si="29">IF(F1859&gt;J1859,"over budget","within budget")</f>
        <v>over budget</v>
      </c>
    </row>
    <row r="1860" spans="1:11" x14ac:dyDescent="0.3">
      <c r="A1860" s="6">
        <v>45395</v>
      </c>
      <c r="B1860" s="5" t="s">
        <v>29</v>
      </c>
      <c r="C1860" s="5" t="s">
        <v>35</v>
      </c>
      <c r="D1860" s="5" t="s">
        <v>34</v>
      </c>
      <c r="E1860" s="5" t="s">
        <v>12</v>
      </c>
      <c r="F1860" s="5">
        <v>4673</v>
      </c>
      <c r="G1860" s="5" t="str">
        <f>VLOOKUP(C1860,Sheet2!$C$3:$D$12,2,0)</f>
        <v>Fixed</v>
      </c>
      <c r="H1860" s="5" t="str">
        <f>IFERROR(VLOOKUP(E1860,Sheet2!$G$3:$H$8,2,0),"unkwon")</f>
        <v>online</v>
      </c>
      <c r="I1860" s="5">
        <f>VLOOKUP(B1860,Sheet2!$J$4:$K$15,2,0)</f>
        <v>4</v>
      </c>
      <c r="J1860" s="5">
        <f>IFERROR(VLOOKUP(C1860,Sheet2!$M$4:$N$12,2,0),0)</f>
        <v>5500</v>
      </c>
      <c r="K1860" s="5" t="str">
        <f t="shared" si="29"/>
        <v>within budget</v>
      </c>
    </row>
    <row r="1861" spans="1:11" x14ac:dyDescent="0.3">
      <c r="A1861" s="6">
        <v>45577</v>
      </c>
      <c r="B1861" s="5" t="s">
        <v>6</v>
      </c>
      <c r="C1861" s="5" t="s">
        <v>35</v>
      </c>
      <c r="D1861" s="5" t="s">
        <v>14</v>
      </c>
      <c r="E1861" s="5" t="s">
        <v>17</v>
      </c>
      <c r="F1861" s="5">
        <v>2698</v>
      </c>
      <c r="G1861" s="5" t="str">
        <f>VLOOKUP(C1861,Sheet2!$C$3:$D$12,2,0)</f>
        <v>Fixed</v>
      </c>
      <c r="H1861" s="5" t="str">
        <f>IFERROR(VLOOKUP(E1861,Sheet2!$G$3:$H$8,2,0),"unkwon")</f>
        <v>online</v>
      </c>
      <c r="I1861" s="5">
        <f>VLOOKUP(B1861,Sheet2!$J$4:$K$15,2,0)</f>
        <v>10</v>
      </c>
      <c r="J1861" s="5">
        <f>IFERROR(VLOOKUP(C1861,Sheet2!$M$4:$N$12,2,0),0)</f>
        <v>5500</v>
      </c>
      <c r="K1861" s="5" t="str">
        <f t="shared" si="29"/>
        <v>within budget</v>
      </c>
    </row>
    <row r="1862" spans="1:11" x14ac:dyDescent="0.3">
      <c r="A1862" s="6">
        <v>45369</v>
      </c>
      <c r="B1862" s="5" t="s">
        <v>19</v>
      </c>
      <c r="C1862" s="5" t="s">
        <v>27</v>
      </c>
      <c r="D1862" s="5" t="s">
        <v>11</v>
      </c>
      <c r="E1862" s="5" t="s">
        <v>9</v>
      </c>
      <c r="F1862" s="5">
        <v>1599</v>
      </c>
      <c r="G1862" s="5" t="str">
        <f>VLOOKUP(C1862,Sheet2!$C$3:$D$12,2,0)</f>
        <v>Variable</v>
      </c>
      <c r="H1862" s="5" t="str">
        <f>IFERROR(VLOOKUP(E1862,Sheet2!$G$3:$H$8,2,0),"unkwon")</f>
        <v>online</v>
      </c>
      <c r="I1862" s="5">
        <f>VLOOKUP(B1862,Sheet2!$J$4:$K$15,2,0)</f>
        <v>3</v>
      </c>
      <c r="J1862" s="5">
        <f>IFERROR(VLOOKUP(C1862,Sheet2!$M$4:$N$12,2,0),0)</f>
        <v>4000</v>
      </c>
      <c r="K1862" s="5" t="str">
        <f t="shared" si="29"/>
        <v>within budget</v>
      </c>
    </row>
    <row r="1863" spans="1:11" x14ac:dyDescent="0.3">
      <c r="A1863" s="6">
        <v>45562</v>
      </c>
      <c r="B1863" s="5" t="s">
        <v>38</v>
      </c>
      <c r="C1863" s="5" t="s">
        <v>27</v>
      </c>
      <c r="D1863" s="5" t="s">
        <v>18</v>
      </c>
      <c r="E1863" s="5" t="s">
        <v>15</v>
      </c>
      <c r="F1863" s="5">
        <v>3284</v>
      </c>
      <c r="G1863" s="5" t="str">
        <f>VLOOKUP(C1863,Sheet2!$C$3:$D$12,2,0)</f>
        <v>Variable</v>
      </c>
      <c r="H1863" s="5" t="str">
        <f>IFERROR(VLOOKUP(E1863,Sheet2!$G$3:$H$8,2,0),"unkwon")</f>
        <v>online</v>
      </c>
      <c r="I1863" s="5">
        <f>VLOOKUP(B1863,Sheet2!$J$4:$K$15,2,0)</f>
        <v>9</v>
      </c>
      <c r="J1863" s="5">
        <f>IFERROR(VLOOKUP(C1863,Sheet2!$M$4:$N$12,2,0),0)</f>
        <v>4000</v>
      </c>
      <c r="K1863" s="5" t="str">
        <f t="shared" si="29"/>
        <v>within budget</v>
      </c>
    </row>
    <row r="1864" spans="1:11" x14ac:dyDescent="0.3">
      <c r="A1864" s="6">
        <v>45033</v>
      </c>
      <c r="B1864" s="5" t="s">
        <v>29</v>
      </c>
      <c r="C1864" s="5" t="s">
        <v>7</v>
      </c>
      <c r="D1864" s="5" t="s">
        <v>14</v>
      </c>
      <c r="E1864" s="5" t="s">
        <v>9</v>
      </c>
      <c r="F1864" s="5">
        <v>4215</v>
      </c>
      <c r="G1864" s="5" t="str">
        <f>VLOOKUP(C1864,Sheet2!$C$3:$D$12,2,0)</f>
        <v>Fixed</v>
      </c>
      <c r="H1864" s="5" t="str">
        <f>IFERROR(VLOOKUP(E1864,Sheet2!$G$3:$H$8,2,0),"unkwon")</f>
        <v>online</v>
      </c>
      <c r="I1864" s="5">
        <f>VLOOKUP(B1864,Sheet2!$J$4:$K$15,2,0)</f>
        <v>4</v>
      </c>
      <c r="J1864" s="5">
        <f>IFERROR(VLOOKUP(C1864,Sheet2!$M$4:$N$12,2,0),0)</f>
        <v>2000</v>
      </c>
      <c r="K1864" s="5" t="str">
        <f t="shared" si="29"/>
        <v>over budget</v>
      </c>
    </row>
    <row r="1865" spans="1:11" x14ac:dyDescent="0.3">
      <c r="A1865" s="6">
        <v>45653</v>
      </c>
      <c r="B1865" s="5" t="s">
        <v>16</v>
      </c>
      <c r="C1865" s="5" t="s">
        <v>22</v>
      </c>
      <c r="D1865" s="5" t="s">
        <v>20</v>
      </c>
      <c r="E1865" s="5" t="s">
        <v>12</v>
      </c>
      <c r="F1865" s="5">
        <v>4887</v>
      </c>
      <c r="G1865" s="5" t="str">
        <f>VLOOKUP(C1865,Sheet2!$C$3:$D$12,2,0)</f>
        <v>Variable</v>
      </c>
      <c r="H1865" s="5" t="str">
        <f>IFERROR(VLOOKUP(E1865,Sheet2!$G$3:$H$8,2,0),"unkwon")</f>
        <v>online</v>
      </c>
      <c r="I1865" s="5">
        <f>VLOOKUP(B1865,Sheet2!$J$4:$K$15,2,0)</f>
        <v>12</v>
      </c>
      <c r="J1865" s="5">
        <f>IFERROR(VLOOKUP(C1865,Sheet2!$M$4:$N$12,2,0),0)</f>
        <v>1000</v>
      </c>
      <c r="K1865" s="5" t="str">
        <f t="shared" si="29"/>
        <v>over budget</v>
      </c>
    </row>
    <row r="1866" spans="1:11" x14ac:dyDescent="0.3">
      <c r="A1866" s="6">
        <v>45316</v>
      </c>
      <c r="B1866" s="5" t="s">
        <v>37</v>
      </c>
      <c r="C1866" s="5" t="s">
        <v>27</v>
      </c>
      <c r="D1866" s="5" t="s">
        <v>26</v>
      </c>
      <c r="E1866" s="5" t="s">
        <v>9</v>
      </c>
      <c r="F1866" s="5">
        <v>1272</v>
      </c>
      <c r="G1866" s="5" t="str">
        <f>VLOOKUP(C1866,Sheet2!$C$3:$D$12,2,0)</f>
        <v>Variable</v>
      </c>
      <c r="H1866" s="5" t="str">
        <f>IFERROR(VLOOKUP(E1866,Sheet2!$G$3:$H$8,2,0),"unkwon")</f>
        <v>online</v>
      </c>
      <c r="I1866" s="5">
        <f>VLOOKUP(B1866,Sheet2!$J$4:$K$15,2,0)</f>
        <v>1</v>
      </c>
      <c r="J1866" s="5">
        <f>IFERROR(VLOOKUP(C1866,Sheet2!$M$4:$N$12,2,0),0)</f>
        <v>4000</v>
      </c>
      <c r="K1866" s="5" t="str">
        <f t="shared" si="29"/>
        <v>within budget</v>
      </c>
    </row>
    <row r="1867" spans="1:11" x14ac:dyDescent="0.3">
      <c r="A1867" s="6">
        <v>45184</v>
      </c>
      <c r="B1867" s="5" t="s">
        <v>38</v>
      </c>
      <c r="C1867" s="5" t="s">
        <v>22</v>
      </c>
      <c r="D1867" s="5" t="s">
        <v>11</v>
      </c>
      <c r="E1867" s="5" t="s">
        <v>15</v>
      </c>
      <c r="F1867" s="5">
        <v>825</v>
      </c>
      <c r="G1867" s="5" t="str">
        <f>VLOOKUP(C1867,Sheet2!$C$3:$D$12,2,0)</f>
        <v>Variable</v>
      </c>
      <c r="H1867" s="5" t="str">
        <f>IFERROR(VLOOKUP(E1867,Sheet2!$G$3:$H$8,2,0),"unkwon")</f>
        <v>online</v>
      </c>
      <c r="I1867" s="5">
        <f>VLOOKUP(B1867,Sheet2!$J$4:$K$15,2,0)</f>
        <v>9</v>
      </c>
      <c r="J1867" s="5">
        <f>IFERROR(VLOOKUP(C1867,Sheet2!$M$4:$N$12,2,0),0)</f>
        <v>1000</v>
      </c>
      <c r="K1867" s="5" t="str">
        <f t="shared" si="29"/>
        <v>within budget</v>
      </c>
    </row>
    <row r="1868" spans="1:11" x14ac:dyDescent="0.3">
      <c r="A1868" s="6">
        <v>45520</v>
      </c>
      <c r="B1868" s="5" t="s">
        <v>25</v>
      </c>
      <c r="C1868" s="5" t="s">
        <v>27</v>
      </c>
      <c r="D1868" s="5" t="s">
        <v>31</v>
      </c>
      <c r="E1868" s="5" t="s">
        <v>9</v>
      </c>
      <c r="F1868" s="5">
        <v>642</v>
      </c>
      <c r="G1868" s="5" t="str">
        <f>VLOOKUP(C1868,Sheet2!$C$3:$D$12,2,0)</f>
        <v>Variable</v>
      </c>
      <c r="H1868" s="5" t="str">
        <f>IFERROR(VLOOKUP(E1868,Sheet2!$G$3:$H$8,2,0),"unkwon")</f>
        <v>online</v>
      </c>
      <c r="I1868" s="5">
        <f>VLOOKUP(B1868,Sheet2!$J$4:$K$15,2,0)</f>
        <v>8</v>
      </c>
      <c r="J1868" s="5">
        <f>IFERROR(VLOOKUP(C1868,Sheet2!$M$4:$N$12,2,0),0)</f>
        <v>4000</v>
      </c>
      <c r="K1868" s="5" t="str">
        <f t="shared" si="29"/>
        <v>within budget</v>
      </c>
    </row>
    <row r="1869" spans="1:11" x14ac:dyDescent="0.3">
      <c r="A1869" s="6">
        <v>45486</v>
      </c>
      <c r="B1869" s="5" t="s">
        <v>21</v>
      </c>
      <c r="C1869" s="5" t="s">
        <v>35</v>
      </c>
      <c r="D1869" s="5" t="s">
        <v>11</v>
      </c>
      <c r="E1869" s="5" t="s">
        <v>32</v>
      </c>
      <c r="F1869" s="5">
        <v>2942</v>
      </c>
      <c r="G1869" s="5" t="str">
        <f>VLOOKUP(C1869,Sheet2!$C$3:$D$12,2,0)</f>
        <v>Fixed</v>
      </c>
      <c r="H1869" s="5" t="str">
        <f>IFERROR(VLOOKUP(E1869,Sheet2!$G$3:$H$8,2,0),"unkwon")</f>
        <v>offline</v>
      </c>
      <c r="I1869" s="5">
        <f>VLOOKUP(B1869,Sheet2!$J$4:$K$15,2,0)</f>
        <v>7</v>
      </c>
      <c r="J1869" s="5">
        <f>IFERROR(VLOOKUP(C1869,Sheet2!$M$4:$N$12,2,0),0)</f>
        <v>5500</v>
      </c>
      <c r="K1869" s="5" t="str">
        <f t="shared" si="29"/>
        <v>within budget</v>
      </c>
    </row>
    <row r="1870" spans="1:11" x14ac:dyDescent="0.3">
      <c r="A1870" s="6">
        <v>45397</v>
      </c>
      <c r="B1870" s="5" t="s">
        <v>29</v>
      </c>
      <c r="C1870" s="5" t="s">
        <v>36</v>
      </c>
      <c r="D1870" s="5" t="s">
        <v>23</v>
      </c>
      <c r="E1870" s="5" t="s">
        <v>17</v>
      </c>
      <c r="F1870" s="5">
        <v>3739</v>
      </c>
      <c r="G1870" s="5" t="str">
        <f>VLOOKUP(C1870,Sheet2!$C$3:$D$12,2,0)</f>
        <v>Variable</v>
      </c>
      <c r="H1870" s="5" t="str">
        <f>IFERROR(VLOOKUP(E1870,Sheet2!$G$3:$H$8,2,0),"unkwon")</f>
        <v>online</v>
      </c>
      <c r="I1870" s="5">
        <f>VLOOKUP(B1870,Sheet2!$J$4:$K$15,2,0)</f>
        <v>4</v>
      </c>
      <c r="J1870" s="5">
        <f>IFERROR(VLOOKUP(C1870,Sheet2!$M$4:$N$12,2,0),0)</f>
        <v>10000</v>
      </c>
      <c r="K1870" s="5" t="str">
        <f t="shared" si="29"/>
        <v>within budget</v>
      </c>
    </row>
    <row r="1871" spans="1:11" x14ac:dyDescent="0.3">
      <c r="A1871" s="6">
        <v>45642</v>
      </c>
      <c r="B1871" s="5" t="s">
        <v>16</v>
      </c>
      <c r="C1871" s="5" t="s">
        <v>36</v>
      </c>
      <c r="D1871" s="5" t="s">
        <v>20</v>
      </c>
      <c r="E1871" s="5" t="s">
        <v>9</v>
      </c>
      <c r="F1871" s="5">
        <v>4730</v>
      </c>
      <c r="G1871" s="5" t="str">
        <f>VLOOKUP(C1871,Sheet2!$C$3:$D$12,2,0)</f>
        <v>Variable</v>
      </c>
      <c r="H1871" s="5" t="str">
        <f>IFERROR(VLOOKUP(E1871,Sheet2!$G$3:$H$8,2,0),"unkwon")</f>
        <v>online</v>
      </c>
      <c r="I1871" s="5">
        <f>VLOOKUP(B1871,Sheet2!$J$4:$K$15,2,0)</f>
        <v>12</v>
      </c>
      <c r="J1871" s="5">
        <f>IFERROR(VLOOKUP(C1871,Sheet2!$M$4:$N$12,2,0),0)</f>
        <v>10000</v>
      </c>
      <c r="K1871" s="5" t="str">
        <f t="shared" si="29"/>
        <v>within budget</v>
      </c>
    </row>
    <row r="1872" spans="1:11" x14ac:dyDescent="0.3">
      <c r="A1872" s="6">
        <v>45249</v>
      </c>
      <c r="B1872" s="5" t="s">
        <v>40</v>
      </c>
      <c r="C1872" s="5" t="s">
        <v>41</v>
      </c>
      <c r="D1872" s="5" t="s">
        <v>23</v>
      </c>
      <c r="E1872" s="5" t="s">
        <v>32</v>
      </c>
      <c r="F1872" s="5">
        <v>590</v>
      </c>
      <c r="G1872" s="5" t="str">
        <f>VLOOKUP(C1872,Sheet2!$C$3:$D$12,2,0)</f>
        <v>Variable</v>
      </c>
      <c r="H1872" s="5" t="str">
        <f>IFERROR(VLOOKUP(E1872,Sheet2!$G$3:$H$8,2,0),"unkwon")</f>
        <v>offline</v>
      </c>
      <c r="I1872" s="5">
        <f>VLOOKUP(B1872,Sheet2!$J$4:$K$15,2,0)</f>
        <v>11</v>
      </c>
      <c r="J1872" s="5">
        <f>IFERROR(VLOOKUP(C1872,Sheet2!$M$4:$N$12,2,0),0)</f>
        <v>7000</v>
      </c>
      <c r="K1872" s="5" t="str">
        <f t="shared" si="29"/>
        <v>within budget</v>
      </c>
    </row>
    <row r="1873" spans="1:11" x14ac:dyDescent="0.3">
      <c r="A1873" s="6">
        <v>45317</v>
      </c>
      <c r="B1873" s="5" t="s">
        <v>37</v>
      </c>
      <c r="C1873" s="5" t="s">
        <v>7</v>
      </c>
      <c r="D1873" s="5" t="s">
        <v>11</v>
      </c>
      <c r="E1873" s="5" t="s">
        <v>17</v>
      </c>
      <c r="F1873" s="5">
        <v>1210</v>
      </c>
      <c r="G1873" s="5" t="str">
        <f>VLOOKUP(C1873,Sheet2!$C$3:$D$12,2,0)</f>
        <v>Fixed</v>
      </c>
      <c r="H1873" s="5" t="str">
        <f>IFERROR(VLOOKUP(E1873,Sheet2!$G$3:$H$8,2,0),"unkwon")</f>
        <v>online</v>
      </c>
      <c r="I1873" s="5">
        <f>VLOOKUP(B1873,Sheet2!$J$4:$K$15,2,0)</f>
        <v>1</v>
      </c>
      <c r="J1873" s="5">
        <f>IFERROR(VLOOKUP(C1873,Sheet2!$M$4:$N$12,2,0),0)</f>
        <v>2000</v>
      </c>
      <c r="K1873" s="5" t="str">
        <f t="shared" si="29"/>
        <v>within budget</v>
      </c>
    </row>
    <row r="1874" spans="1:11" x14ac:dyDescent="0.3">
      <c r="A1874" s="6">
        <v>45095</v>
      </c>
      <c r="B1874" s="5" t="s">
        <v>39</v>
      </c>
      <c r="C1874" s="5" t="s">
        <v>41</v>
      </c>
      <c r="D1874" s="5" t="s">
        <v>23</v>
      </c>
      <c r="E1874" s="5" t="s">
        <v>17</v>
      </c>
      <c r="F1874" s="5">
        <v>652</v>
      </c>
      <c r="G1874" s="5" t="str">
        <f>VLOOKUP(C1874,Sheet2!$C$3:$D$12,2,0)</f>
        <v>Variable</v>
      </c>
      <c r="H1874" s="5" t="str">
        <f>IFERROR(VLOOKUP(E1874,Sheet2!$G$3:$H$8,2,0),"unkwon")</f>
        <v>online</v>
      </c>
      <c r="I1874" s="5">
        <f>VLOOKUP(B1874,Sheet2!$J$4:$K$15,2,0)</f>
        <v>6</v>
      </c>
      <c r="J1874" s="5">
        <f>IFERROR(VLOOKUP(C1874,Sheet2!$M$4:$N$12,2,0),0)</f>
        <v>7000</v>
      </c>
      <c r="K1874" s="5" t="str">
        <f t="shared" si="29"/>
        <v>within budget</v>
      </c>
    </row>
    <row r="1875" spans="1:11" x14ac:dyDescent="0.3">
      <c r="A1875" s="6">
        <v>45425</v>
      </c>
      <c r="B1875" s="5" t="s">
        <v>28</v>
      </c>
      <c r="C1875" s="5" t="s">
        <v>36</v>
      </c>
      <c r="D1875" s="5" t="s">
        <v>14</v>
      </c>
      <c r="E1875" s="5" t="s">
        <v>17</v>
      </c>
      <c r="F1875" s="5">
        <v>2983</v>
      </c>
      <c r="G1875" s="5" t="str">
        <f>VLOOKUP(C1875,Sheet2!$C$3:$D$12,2,0)</f>
        <v>Variable</v>
      </c>
      <c r="H1875" s="5" t="str">
        <f>IFERROR(VLOOKUP(E1875,Sheet2!$G$3:$H$8,2,0),"unkwon")</f>
        <v>online</v>
      </c>
      <c r="I1875" s="5">
        <f>VLOOKUP(B1875,Sheet2!$J$4:$K$15,2,0)</f>
        <v>5</v>
      </c>
      <c r="J1875" s="5">
        <f>IFERROR(VLOOKUP(C1875,Sheet2!$M$4:$N$12,2,0),0)</f>
        <v>10000</v>
      </c>
      <c r="K1875" s="5" t="str">
        <f t="shared" si="29"/>
        <v>within budget</v>
      </c>
    </row>
    <row r="1876" spans="1:11" x14ac:dyDescent="0.3">
      <c r="A1876" s="6">
        <v>45158</v>
      </c>
      <c r="B1876" s="5" t="s">
        <v>25</v>
      </c>
      <c r="C1876" s="5" t="s">
        <v>27</v>
      </c>
      <c r="D1876" s="5" t="s">
        <v>26</v>
      </c>
      <c r="E1876" s="5" t="s">
        <v>12</v>
      </c>
      <c r="F1876" s="5">
        <v>4063</v>
      </c>
      <c r="G1876" s="5" t="str">
        <f>VLOOKUP(C1876,Sheet2!$C$3:$D$12,2,0)</f>
        <v>Variable</v>
      </c>
      <c r="H1876" s="5" t="str">
        <f>IFERROR(VLOOKUP(E1876,Sheet2!$G$3:$H$8,2,0),"unkwon")</f>
        <v>online</v>
      </c>
      <c r="I1876" s="5">
        <f>VLOOKUP(B1876,Sheet2!$J$4:$K$15,2,0)</f>
        <v>8</v>
      </c>
      <c r="J1876" s="5">
        <f>IFERROR(VLOOKUP(C1876,Sheet2!$M$4:$N$12,2,0),0)</f>
        <v>4000</v>
      </c>
      <c r="K1876" s="5" t="str">
        <f t="shared" si="29"/>
        <v>over budget</v>
      </c>
    </row>
    <row r="1877" spans="1:11" x14ac:dyDescent="0.3">
      <c r="A1877" s="6">
        <v>45433</v>
      </c>
      <c r="B1877" s="5" t="s">
        <v>28</v>
      </c>
      <c r="C1877" s="5" t="s">
        <v>41</v>
      </c>
      <c r="D1877" s="5" t="s">
        <v>20</v>
      </c>
      <c r="E1877" s="5" t="s">
        <v>32</v>
      </c>
      <c r="F1877" s="5">
        <v>762</v>
      </c>
      <c r="G1877" s="5" t="str">
        <f>VLOOKUP(C1877,Sheet2!$C$3:$D$12,2,0)</f>
        <v>Variable</v>
      </c>
      <c r="H1877" s="5" t="str">
        <f>IFERROR(VLOOKUP(E1877,Sheet2!$G$3:$H$8,2,0),"unkwon")</f>
        <v>offline</v>
      </c>
      <c r="I1877" s="5">
        <f>VLOOKUP(B1877,Sheet2!$J$4:$K$15,2,0)</f>
        <v>5</v>
      </c>
      <c r="J1877" s="5">
        <f>IFERROR(VLOOKUP(C1877,Sheet2!$M$4:$N$12,2,0),0)</f>
        <v>7000</v>
      </c>
      <c r="K1877" s="5" t="str">
        <f t="shared" si="29"/>
        <v>within budget</v>
      </c>
    </row>
    <row r="1878" spans="1:11" x14ac:dyDescent="0.3">
      <c r="A1878" s="6">
        <v>45303</v>
      </c>
      <c r="B1878" s="5" t="s">
        <v>37</v>
      </c>
      <c r="C1878" s="5" t="s">
        <v>41</v>
      </c>
      <c r="D1878" s="5" t="s">
        <v>31</v>
      </c>
      <c r="E1878" s="5" t="s">
        <v>15</v>
      </c>
      <c r="F1878" s="5">
        <v>1364</v>
      </c>
      <c r="G1878" s="5" t="str">
        <f>VLOOKUP(C1878,Sheet2!$C$3:$D$12,2,0)</f>
        <v>Variable</v>
      </c>
      <c r="H1878" s="5" t="str">
        <f>IFERROR(VLOOKUP(E1878,Sheet2!$G$3:$H$8,2,0),"unkwon")</f>
        <v>online</v>
      </c>
      <c r="I1878" s="5">
        <f>VLOOKUP(B1878,Sheet2!$J$4:$K$15,2,0)</f>
        <v>1</v>
      </c>
      <c r="J1878" s="5">
        <f>IFERROR(VLOOKUP(C1878,Sheet2!$M$4:$N$12,2,0),0)</f>
        <v>7000</v>
      </c>
      <c r="K1878" s="5" t="str">
        <f t="shared" si="29"/>
        <v>within budget</v>
      </c>
    </row>
    <row r="1879" spans="1:11" x14ac:dyDescent="0.3">
      <c r="A1879" s="6">
        <v>45311</v>
      </c>
      <c r="B1879" s="5" t="s">
        <v>37</v>
      </c>
      <c r="C1879" s="5" t="s">
        <v>22</v>
      </c>
      <c r="D1879" s="5" t="s">
        <v>26</v>
      </c>
      <c r="E1879" s="5" t="s">
        <v>17</v>
      </c>
      <c r="F1879" s="5">
        <v>4214</v>
      </c>
      <c r="G1879" s="5" t="str">
        <f>VLOOKUP(C1879,Sheet2!$C$3:$D$12,2,0)</f>
        <v>Variable</v>
      </c>
      <c r="H1879" s="5" t="str">
        <f>IFERROR(VLOOKUP(E1879,Sheet2!$G$3:$H$8,2,0),"unkwon")</f>
        <v>online</v>
      </c>
      <c r="I1879" s="5">
        <f>VLOOKUP(B1879,Sheet2!$J$4:$K$15,2,0)</f>
        <v>1</v>
      </c>
      <c r="J1879" s="5">
        <f>IFERROR(VLOOKUP(C1879,Sheet2!$M$4:$N$12,2,0),0)</f>
        <v>1000</v>
      </c>
      <c r="K1879" s="5" t="str">
        <f t="shared" si="29"/>
        <v>over budget</v>
      </c>
    </row>
    <row r="1880" spans="1:11" x14ac:dyDescent="0.3">
      <c r="A1880" s="6">
        <v>44955</v>
      </c>
      <c r="B1880" s="5" t="s">
        <v>37</v>
      </c>
      <c r="C1880" s="5" t="s">
        <v>36</v>
      </c>
      <c r="D1880" s="5" t="s">
        <v>23</v>
      </c>
      <c r="E1880" s="5" t="s">
        <v>32</v>
      </c>
      <c r="F1880" s="5">
        <v>2592</v>
      </c>
      <c r="G1880" s="5" t="str">
        <f>VLOOKUP(C1880,Sheet2!$C$3:$D$12,2,0)</f>
        <v>Variable</v>
      </c>
      <c r="H1880" s="5" t="str">
        <f>IFERROR(VLOOKUP(E1880,Sheet2!$G$3:$H$8,2,0),"unkwon")</f>
        <v>offline</v>
      </c>
      <c r="I1880" s="5">
        <f>VLOOKUP(B1880,Sheet2!$J$4:$K$15,2,0)</f>
        <v>1</v>
      </c>
      <c r="J1880" s="5">
        <f>IFERROR(VLOOKUP(C1880,Sheet2!$M$4:$N$12,2,0),0)</f>
        <v>10000</v>
      </c>
      <c r="K1880" s="5" t="str">
        <f t="shared" si="29"/>
        <v>within budget</v>
      </c>
    </row>
    <row r="1881" spans="1:11" x14ac:dyDescent="0.3">
      <c r="A1881" s="6">
        <v>45209</v>
      </c>
      <c r="B1881" s="5" t="s">
        <v>6</v>
      </c>
      <c r="C1881" s="5" t="s">
        <v>7</v>
      </c>
      <c r="D1881" s="5" t="s">
        <v>23</v>
      </c>
      <c r="E1881" s="5" t="s">
        <v>12</v>
      </c>
      <c r="F1881" s="5">
        <v>553</v>
      </c>
      <c r="G1881" s="5" t="str">
        <f>VLOOKUP(C1881,Sheet2!$C$3:$D$12,2,0)</f>
        <v>Fixed</v>
      </c>
      <c r="H1881" s="5" t="str">
        <f>IFERROR(VLOOKUP(E1881,Sheet2!$G$3:$H$8,2,0),"unkwon")</f>
        <v>online</v>
      </c>
      <c r="I1881" s="5">
        <f>VLOOKUP(B1881,Sheet2!$J$4:$K$15,2,0)</f>
        <v>10</v>
      </c>
      <c r="J1881" s="5">
        <f>IFERROR(VLOOKUP(C1881,Sheet2!$M$4:$N$12,2,0),0)</f>
        <v>2000</v>
      </c>
      <c r="K1881" s="5" t="str">
        <f t="shared" si="29"/>
        <v>within budget</v>
      </c>
    </row>
    <row r="1882" spans="1:11" x14ac:dyDescent="0.3">
      <c r="A1882" s="6">
        <v>45649</v>
      </c>
      <c r="B1882" s="5" t="s">
        <v>16</v>
      </c>
      <c r="C1882" s="5" t="s">
        <v>13</v>
      </c>
      <c r="D1882" s="5" t="s">
        <v>31</v>
      </c>
      <c r="E1882" s="5" t="s">
        <v>15</v>
      </c>
      <c r="F1882" s="5">
        <v>1237</v>
      </c>
      <c r="G1882" s="5" t="str">
        <f>VLOOKUP(C1882,Sheet2!$C$3:$D$12,2,0)</f>
        <v>Variable</v>
      </c>
      <c r="H1882" s="5" t="str">
        <f>IFERROR(VLOOKUP(E1882,Sheet2!$G$3:$H$8,2,0),"unkwon")</f>
        <v>online</v>
      </c>
      <c r="I1882" s="5">
        <f>VLOOKUP(B1882,Sheet2!$J$4:$K$15,2,0)</f>
        <v>12</v>
      </c>
      <c r="J1882" s="5">
        <f>IFERROR(VLOOKUP(C1882,Sheet2!$M$4:$N$12,2,0),0)</f>
        <v>5000</v>
      </c>
      <c r="K1882" s="5" t="str">
        <f t="shared" si="29"/>
        <v>within budget</v>
      </c>
    </row>
    <row r="1883" spans="1:11" x14ac:dyDescent="0.3">
      <c r="A1883" s="6">
        <v>45530</v>
      </c>
      <c r="B1883" s="5" t="s">
        <v>25</v>
      </c>
      <c r="C1883" s="5" t="s">
        <v>13</v>
      </c>
      <c r="D1883" s="5" t="s">
        <v>20</v>
      </c>
      <c r="E1883" s="5" t="s">
        <v>15</v>
      </c>
      <c r="F1883" s="5">
        <v>2763</v>
      </c>
      <c r="G1883" s="5" t="str">
        <f>VLOOKUP(C1883,Sheet2!$C$3:$D$12,2,0)</f>
        <v>Variable</v>
      </c>
      <c r="H1883" s="5" t="str">
        <f>IFERROR(VLOOKUP(E1883,Sheet2!$G$3:$H$8,2,0),"unkwon")</f>
        <v>online</v>
      </c>
      <c r="I1883" s="5">
        <f>VLOOKUP(B1883,Sheet2!$J$4:$K$15,2,0)</f>
        <v>8</v>
      </c>
      <c r="J1883" s="5">
        <f>IFERROR(VLOOKUP(C1883,Sheet2!$M$4:$N$12,2,0),0)</f>
        <v>5000</v>
      </c>
      <c r="K1883" s="5" t="str">
        <f t="shared" si="29"/>
        <v>within budget</v>
      </c>
    </row>
    <row r="1884" spans="1:11" x14ac:dyDescent="0.3">
      <c r="A1884" s="6">
        <v>45274</v>
      </c>
      <c r="B1884" s="5" t="s">
        <v>16</v>
      </c>
      <c r="C1884" s="5" t="s">
        <v>36</v>
      </c>
      <c r="D1884" s="5" t="s">
        <v>18</v>
      </c>
      <c r="E1884" s="5" t="s">
        <v>12</v>
      </c>
      <c r="F1884" s="5">
        <v>1731</v>
      </c>
      <c r="G1884" s="5" t="str">
        <f>VLOOKUP(C1884,Sheet2!$C$3:$D$12,2,0)</f>
        <v>Variable</v>
      </c>
      <c r="H1884" s="5" t="str">
        <f>IFERROR(VLOOKUP(E1884,Sheet2!$G$3:$H$8,2,0),"unkwon")</f>
        <v>online</v>
      </c>
      <c r="I1884" s="5">
        <f>VLOOKUP(B1884,Sheet2!$J$4:$K$15,2,0)</f>
        <v>12</v>
      </c>
      <c r="J1884" s="5">
        <f>IFERROR(VLOOKUP(C1884,Sheet2!$M$4:$N$12,2,0),0)</f>
        <v>10000</v>
      </c>
      <c r="K1884" s="5" t="str">
        <f t="shared" si="29"/>
        <v>within budget</v>
      </c>
    </row>
    <row r="1885" spans="1:11" x14ac:dyDescent="0.3">
      <c r="A1885" s="6">
        <v>45617</v>
      </c>
      <c r="B1885" s="5" t="s">
        <v>40</v>
      </c>
      <c r="C1885" s="5" t="s">
        <v>13</v>
      </c>
      <c r="D1885" s="5" t="s">
        <v>18</v>
      </c>
      <c r="E1885" s="5" t="s">
        <v>17</v>
      </c>
      <c r="F1885" s="5">
        <v>1142</v>
      </c>
      <c r="G1885" s="5" t="str">
        <f>VLOOKUP(C1885,Sheet2!$C$3:$D$12,2,0)</f>
        <v>Variable</v>
      </c>
      <c r="H1885" s="5" t="str">
        <f>IFERROR(VLOOKUP(E1885,Sheet2!$G$3:$H$8,2,0),"unkwon")</f>
        <v>online</v>
      </c>
      <c r="I1885" s="5">
        <f>VLOOKUP(B1885,Sheet2!$J$4:$K$15,2,0)</f>
        <v>11</v>
      </c>
      <c r="J1885" s="5">
        <f>IFERROR(VLOOKUP(C1885,Sheet2!$M$4:$N$12,2,0),0)</f>
        <v>5000</v>
      </c>
      <c r="K1885" s="5" t="str">
        <f t="shared" si="29"/>
        <v>within budget</v>
      </c>
    </row>
    <row r="1886" spans="1:11" x14ac:dyDescent="0.3">
      <c r="A1886" s="6">
        <v>45343</v>
      </c>
      <c r="B1886" s="5" t="s">
        <v>33</v>
      </c>
      <c r="C1886" s="5" t="s">
        <v>30</v>
      </c>
      <c r="D1886" s="5" t="s">
        <v>34</v>
      </c>
      <c r="E1886" s="5" t="s">
        <v>15</v>
      </c>
      <c r="F1886" s="5">
        <v>4146</v>
      </c>
      <c r="G1886" s="5" t="str">
        <f>VLOOKUP(C1886,Sheet2!$C$3:$D$12,2,0)</f>
        <v>Fixed</v>
      </c>
      <c r="H1886" s="5" t="str">
        <f>IFERROR(VLOOKUP(E1886,Sheet2!$G$3:$H$8,2,0),"unkwon")</f>
        <v>online</v>
      </c>
      <c r="I1886" s="5">
        <f>VLOOKUP(B1886,Sheet2!$J$4:$K$15,2,0)</f>
        <v>2</v>
      </c>
      <c r="J1886" s="5">
        <f>IFERROR(VLOOKUP(C1886,Sheet2!$M$4:$N$12,2,0),0)</f>
        <v>3000</v>
      </c>
      <c r="K1886" s="5" t="str">
        <f t="shared" si="29"/>
        <v>over budget</v>
      </c>
    </row>
    <row r="1887" spans="1:11" x14ac:dyDescent="0.3">
      <c r="A1887" s="6">
        <v>45221</v>
      </c>
      <c r="B1887" s="5" t="s">
        <v>6</v>
      </c>
      <c r="C1887" s="5" t="s">
        <v>41</v>
      </c>
      <c r="D1887" s="5" t="s">
        <v>11</v>
      </c>
      <c r="E1887" s="5" t="s">
        <v>9</v>
      </c>
      <c r="F1887" s="5">
        <v>2369</v>
      </c>
      <c r="G1887" s="5" t="str">
        <f>VLOOKUP(C1887,Sheet2!$C$3:$D$12,2,0)</f>
        <v>Variable</v>
      </c>
      <c r="H1887" s="5" t="str">
        <f>IFERROR(VLOOKUP(E1887,Sheet2!$G$3:$H$8,2,0),"unkwon")</f>
        <v>online</v>
      </c>
      <c r="I1887" s="5">
        <f>VLOOKUP(B1887,Sheet2!$J$4:$K$15,2,0)</f>
        <v>10</v>
      </c>
      <c r="J1887" s="5">
        <f>IFERROR(VLOOKUP(C1887,Sheet2!$M$4:$N$12,2,0),0)</f>
        <v>7000</v>
      </c>
      <c r="K1887" s="5" t="str">
        <f t="shared" si="29"/>
        <v>within budget</v>
      </c>
    </row>
    <row r="1888" spans="1:11" x14ac:dyDescent="0.3">
      <c r="A1888" s="6">
        <v>45564</v>
      </c>
      <c r="B1888" s="5" t="s">
        <v>38</v>
      </c>
      <c r="C1888" s="5" t="s">
        <v>36</v>
      </c>
      <c r="D1888" s="5" t="s">
        <v>26</v>
      </c>
      <c r="E1888" s="5" t="s">
        <v>32</v>
      </c>
      <c r="F1888" s="5">
        <v>1682</v>
      </c>
      <c r="G1888" s="5" t="str">
        <f>VLOOKUP(C1888,Sheet2!$C$3:$D$12,2,0)</f>
        <v>Variable</v>
      </c>
      <c r="H1888" s="5" t="str">
        <f>IFERROR(VLOOKUP(E1888,Sheet2!$G$3:$H$8,2,0),"unkwon")</f>
        <v>offline</v>
      </c>
      <c r="I1888" s="5">
        <f>VLOOKUP(B1888,Sheet2!$J$4:$K$15,2,0)</f>
        <v>9</v>
      </c>
      <c r="J1888" s="5">
        <f>IFERROR(VLOOKUP(C1888,Sheet2!$M$4:$N$12,2,0),0)</f>
        <v>10000</v>
      </c>
      <c r="K1888" s="5" t="str">
        <f t="shared" si="29"/>
        <v>within budget</v>
      </c>
    </row>
    <row r="1889" spans="1:11" x14ac:dyDescent="0.3">
      <c r="A1889" s="6">
        <v>45631</v>
      </c>
      <c r="B1889" s="5" t="s">
        <v>16</v>
      </c>
      <c r="C1889" s="5" t="s">
        <v>22</v>
      </c>
      <c r="D1889" s="5" t="s">
        <v>14</v>
      </c>
      <c r="E1889" s="5" t="s">
        <v>9</v>
      </c>
      <c r="F1889" s="5">
        <v>419</v>
      </c>
      <c r="G1889" s="5" t="str">
        <f>VLOOKUP(C1889,Sheet2!$C$3:$D$12,2,0)</f>
        <v>Variable</v>
      </c>
      <c r="H1889" s="5" t="str">
        <f>IFERROR(VLOOKUP(E1889,Sheet2!$G$3:$H$8,2,0),"unkwon")</f>
        <v>online</v>
      </c>
      <c r="I1889" s="5">
        <f>VLOOKUP(B1889,Sheet2!$J$4:$K$15,2,0)</f>
        <v>12</v>
      </c>
      <c r="J1889" s="5">
        <f>IFERROR(VLOOKUP(C1889,Sheet2!$M$4:$N$12,2,0),0)</f>
        <v>1000</v>
      </c>
      <c r="K1889" s="5" t="str">
        <f t="shared" si="29"/>
        <v>within budget</v>
      </c>
    </row>
    <row r="1890" spans="1:11" x14ac:dyDescent="0.3">
      <c r="A1890" s="6">
        <v>45180</v>
      </c>
      <c r="B1890" s="5" t="s">
        <v>38</v>
      </c>
      <c r="C1890" s="5" t="s">
        <v>10</v>
      </c>
      <c r="D1890" s="5" t="s">
        <v>14</v>
      </c>
      <c r="E1890" s="5" t="s">
        <v>12</v>
      </c>
      <c r="F1890" s="5">
        <v>3001</v>
      </c>
      <c r="G1890" s="5" t="str">
        <f>VLOOKUP(C1890,Sheet2!$C$3:$D$12,2,0)</f>
        <v>Variable</v>
      </c>
      <c r="H1890" s="5" t="str">
        <f>IFERROR(VLOOKUP(E1890,Sheet2!$G$3:$H$8,2,0),"unkwon")</f>
        <v>online</v>
      </c>
      <c r="I1890" s="5">
        <f>VLOOKUP(B1890,Sheet2!$J$4:$K$15,2,0)</f>
        <v>9</v>
      </c>
      <c r="J1890" s="5">
        <f>IFERROR(VLOOKUP(C1890,Sheet2!$M$4:$N$12,2,0),0)</f>
        <v>5000</v>
      </c>
      <c r="K1890" s="5" t="str">
        <f t="shared" si="29"/>
        <v>within budget</v>
      </c>
    </row>
    <row r="1891" spans="1:11" x14ac:dyDescent="0.3">
      <c r="A1891" s="6">
        <v>45650</v>
      </c>
      <c r="B1891" s="5" t="s">
        <v>16</v>
      </c>
      <c r="C1891" s="5" t="s">
        <v>27</v>
      </c>
      <c r="D1891" s="5" t="s">
        <v>14</v>
      </c>
      <c r="E1891" s="5" t="s">
        <v>15</v>
      </c>
      <c r="F1891" s="5">
        <v>4349</v>
      </c>
      <c r="G1891" s="5" t="str">
        <f>VLOOKUP(C1891,Sheet2!$C$3:$D$12,2,0)</f>
        <v>Variable</v>
      </c>
      <c r="H1891" s="5" t="str">
        <f>IFERROR(VLOOKUP(E1891,Sheet2!$G$3:$H$8,2,0),"unkwon")</f>
        <v>online</v>
      </c>
      <c r="I1891" s="5">
        <f>VLOOKUP(B1891,Sheet2!$J$4:$K$15,2,0)</f>
        <v>12</v>
      </c>
      <c r="J1891" s="5">
        <f>IFERROR(VLOOKUP(C1891,Sheet2!$M$4:$N$12,2,0),0)</f>
        <v>4000</v>
      </c>
      <c r="K1891" s="5" t="str">
        <f t="shared" si="29"/>
        <v>over budget</v>
      </c>
    </row>
    <row r="1892" spans="1:11" x14ac:dyDescent="0.3">
      <c r="A1892" s="6">
        <v>45610</v>
      </c>
      <c r="B1892" s="5" t="s">
        <v>40</v>
      </c>
      <c r="C1892" s="5" t="s">
        <v>10</v>
      </c>
      <c r="D1892" s="5" t="s">
        <v>11</v>
      </c>
      <c r="E1892" s="5" t="s">
        <v>17</v>
      </c>
      <c r="F1892" s="5">
        <v>2359</v>
      </c>
      <c r="G1892" s="5" t="str">
        <f>VLOOKUP(C1892,Sheet2!$C$3:$D$12,2,0)</f>
        <v>Variable</v>
      </c>
      <c r="H1892" s="5" t="str">
        <f>IFERROR(VLOOKUP(E1892,Sheet2!$G$3:$H$8,2,0),"unkwon")</f>
        <v>online</v>
      </c>
      <c r="I1892" s="5">
        <f>VLOOKUP(B1892,Sheet2!$J$4:$K$15,2,0)</f>
        <v>11</v>
      </c>
      <c r="J1892" s="5">
        <f>IFERROR(VLOOKUP(C1892,Sheet2!$M$4:$N$12,2,0),0)</f>
        <v>5000</v>
      </c>
      <c r="K1892" s="5" t="str">
        <f t="shared" si="29"/>
        <v>within budget</v>
      </c>
    </row>
    <row r="1893" spans="1:11" x14ac:dyDescent="0.3">
      <c r="A1893" s="6">
        <v>45010</v>
      </c>
      <c r="B1893" s="5" t="s">
        <v>19</v>
      </c>
      <c r="C1893" s="5" t="s">
        <v>36</v>
      </c>
      <c r="D1893" s="5" t="s">
        <v>34</v>
      </c>
      <c r="E1893" s="5" t="s">
        <v>12</v>
      </c>
      <c r="F1893" s="5">
        <v>4358</v>
      </c>
      <c r="G1893" s="5" t="str">
        <f>VLOOKUP(C1893,Sheet2!$C$3:$D$12,2,0)</f>
        <v>Variable</v>
      </c>
      <c r="H1893" s="5" t="str">
        <f>IFERROR(VLOOKUP(E1893,Sheet2!$G$3:$H$8,2,0),"unkwon")</f>
        <v>online</v>
      </c>
      <c r="I1893" s="5">
        <f>VLOOKUP(B1893,Sheet2!$J$4:$K$15,2,0)</f>
        <v>3</v>
      </c>
      <c r="J1893" s="5">
        <f>IFERROR(VLOOKUP(C1893,Sheet2!$M$4:$N$12,2,0),0)</f>
        <v>10000</v>
      </c>
      <c r="K1893" s="5" t="str">
        <f t="shared" si="29"/>
        <v>within budget</v>
      </c>
    </row>
    <row r="1894" spans="1:11" x14ac:dyDescent="0.3">
      <c r="A1894" s="6">
        <v>45575</v>
      </c>
      <c r="B1894" s="5" t="s">
        <v>6</v>
      </c>
      <c r="C1894" s="5" t="s">
        <v>7</v>
      </c>
      <c r="D1894" s="5" t="s">
        <v>18</v>
      </c>
      <c r="E1894" s="5" t="s">
        <v>15</v>
      </c>
      <c r="F1894" s="5">
        <v>2059</v>
      </c>
      <c r="G1894" s="5" t="str">
        <f>VLOOKUP(C1894,Sheet2!$C$3:$D$12,2,0)</f>
        <v>Fixed</v>
      </c>
      <c r="H1894" s="5" t="str">
        <f>IFERROR(VLOOKUP(E1894,Sheet2!$G$3:$H$8,2,0),"unkwon")</f>
        <v>online</v>
      </c>
      <c r="I1894" s="5">
        <f>VLOOKUP(B1894,Sheet2!$J$4:$K$15,2,0)</f>
        <v>10</v>
      </c>
      <c r="J1894" s="5">
        <f>IFERROR(VLOOKUP(C1894,Sheet2!$M$4:$N$12,2,0),0)</f>
        <v>2000</v>
      </c>
      <c r="K1894" s="5" t="str">
        <f t="shared" si="29"/>
        <v>over budget</v>
      </c>
    </row>
    <row r="1895" spans="1:11" x14ac:dyDescent="0.3">
      <c r="A1895" s="6">
        <v>45158</v>
      </c>
      <c r="B1895" s="5" t="s">
        <v>25</v>
      </c>
      <c r="C1895" s="5" t="s">
        <v>36</v>
      </c>
      <c r="D1895" s="5" t="s">
        <v>24</v>
      </c>
      <c r="E1895" s="5" t="s">
        <v>17</v>
      </c>
      <c r="F1895" s="5">
        <v>1312</v>
      </c>
      <c r="G1895" s="5" t="str">
        <f>VLOOKUP(C1895,Sheet2!$C$3:$D$12,2,0)</f>
        <v>Variable</v>
      </c>
      <c r="H1895" s="5" t="str">
        <f>IFERROR(VLOOKUP(E1895,Sheet2!$G$3:$H$8,2,0),"unkwon")</f>
        <v>online</v>
      </c>
      <c r="I1895" s="5">
        <f>VLOOKUP(B1895,Sheet2!$J$4:$K$15,2,0)</f>
        <v>8</v>
      </c>
      <c r="J1895" s="5">
        <f>IFERROR(VLOOKUP(C1895,Sheet2!$M$4:$N$12,2,0),0)</f>
        <v>10000</v>
      </c>
      <c r="K1895" s="5" t="str">
        <f t="shared" si="29"/>
        <v>within budget</v>
      </c>
    </row>
    <row r="1896" spans="1:11" x14ac:dyDescent="0.3">
      <c r="A1896" s="6">
        <v>45554</v>
      </c>
      <c r="B1896" s="5" t="s">
        <v>38</v>
      </c>
      <c r="C1896" s="5" t="s">
        <v>22</v>
      </c>
      <c r="D1896" s="5" t="s">
        <v>20</v>
      </c>
      <c r="E1896" s="5" t="s">
        <v>32</v>
      </c>
      <c r="F1896" s="5">
        <v>783</v>
      </c>
      <c r="G1896" s="5" t="str">
        <f>VLOOKUP(C1896,Sheet2!$C$3:$D$12,2,0)</f>
        <v>Variable</v>
      </c>
      <c r="H1896" s="5" t="str">
        <f>IFERROR(VLOOKUP(E1896,Sheet2!$G$3:$H$8,2,0),"unkwon")</f>
        <v>offline</v>
      </c>
      <c r="I1896" s="5">
        <f>VLOOKUP(B1896,Sheet2!$J$4:$K$15,2,0)</f>
        <v>9</v>
      </c>
      <c r="J1896" s="5">
        <f>IFERROR(VLOOKUP(C1896,Sheet2!$M$4:$N$12,2,0),0)</f>
        <v>1000</v>
      </c>
      <c r="K1896" s="5" t="str">
        <f t="shared" si="29"/>
        <v>within budget</v>
      </c>
    </row>
    <row r="1897" spans="1:11" x14ac:dyDescent="0.3">
      <c r="A1897" s="6">
        <v>45380</v>
      </c>
      <c r="B1897" s="5" t="s">
        <v>19</v>
      </c>
      <c r="C1897" s="5" t="s">
        <v>41</v>
      </c>
      <c r="D1897" s="5" t="s">
        <v>34</v>
      </c>
      <c r="E1897" s="5" t="s">
        <v>17</v>
      </c>
      <c r="F1897" s="5">
        <v>73</v>
      </c>
      <c r="G1897" s="5" t="str">
        <f>VLOOKUP(C1897,Sheet2!$C$3:$D$12,2,0)</f>
        <v>Variable</v>
      </c>
      <c r="H1897" s="5" t="str">
        <f>IFERROR(VLOOKUP(E1897,Sheet2!$G$3:$H$8,2,0),"unkwon")</f>
        <v>online</v>
      </c>
      <c r="I1897" s="5">
        <f>VLOOKUP(B1897,Sheet2!$J$4:$K$15,2,0)</f>
        <v>3</v>
      </c>
      <c r="J1897" s="5">
        <f>IFERROR(VLOOKUP(C1897,Sheet2!$M$4:$N$12,2,0),0)</f>
        <v>7000</v>
      </c>
      <c r="K1897" s="5" t="str">
        <f t="shared" si="29"/>
        <v>within budget</v>
      </c>
    </row>
    <row r="1898" spans="1:11" x14ac:dyDescent="0.3">
      <c r="A1898" s="6">
        <v>45176</v>
      </c>
      <c r="B1898" s="5" t="s">
        <v>38</v>
      </c>
      <c r="C1898" s="5" t="s">
        <v>10</v>
      </c>
      <c r="D1898" s="5" t="s">
        <v>14</v>
      </c>
      <c r="E1898" s="5" t="s">
        <v>12</v>
      </c>
      <c r="F1898" s="5">
        <v>784</v>
      </c>
      <c r="G1898" s="5" t="str">
        <f>VLOOKUP(C1898,Sheet2!$C$3:$D$12,2,0)</f>
        <v>Variable</v>
      </c>
      <c r="H1898" s="5" t="str">
        <f>IFERROR(VLOOKUP(E1898,Sheet2!$G$3:$H$8,2,0),"unkwon")</f>
        <v>online</v>
      </c>
      <c r="I1898" s="5">
        <f>VLOOKUP(B1898,Sheet2!$J$4:$K$15,2,0)</f>
        <v>9</v>
      </c>
      <c r="J1898" s="5">
        <f>IFERROR(VLOOKUP(C1898,Sheet2!$M$4:$N$12,2,0),0)</f>
        <v>5000</v>
      </c>
      <c r="K1898" s="5" t="str">
        <f t="shared" si="29"/>
        <v>within budget</v>
      </c>
    </row>
    <row r="1899" spans="1:11" x14ac:dyDescent="0.3">
      <c r="A1899" s="6">
        <v>45569</v>
      </c>
      <c r="B1899" s="5" t="s">
        <v>6</v>
      </c>
      <c r="C1899" s="5" t="s">
        <v>7</v>
      </c>
      <c r="D1899" s="5" t="s">
        <v>34</v>
      </c>
      <c r="E1899" s="5" t="s">
        <v>17</v>
      </c>
      <c r="F1899" s="5">
        <v>4857</v>
      </c>
      <c r="G1899" s="5" t="str">
        <f>VLOOKUP(C1899,Sheet2!$C$3:$D$12,2,0)</f>
        <v>Fixed</v>
      </c>
      <c r="H1899" s="5" t="str">
        <f>IFERROR(VLOOKUP(E1899,Sheet2!$G$3:$H$8,2,0),"unkwon")</f>
        <v>online</v>
      </c>
      <c r="I1899" s="5">
        <f>VLOOKUP(B1899,Sheet2!$J$4:$K$15,2,0)</f>
        <v>10</v>
      </c>
      <c r="J1899" s="5">
        <f>IFERROR(VLOOKUP(C1899,Sheet2!$M$4:$N$12,2,0),0)</f>
        <v>2000</v>
      </c>
      <c r="K1899" s="5" t="str">
        <f t="shared" si="29"/>
        <v>over budget</v>
      </c>
    </row>
    <row r="1900" spans="1:11" x14ac:dyDescent="0.3">
      <c r="A1900" s="6">
        <v>45608</v>
      </c>
      <c r="B1900" s="5" t="s">
        <v>40</v>
      </c>
      <c r="C1900" s="5" t="s">
        <v>30</v>
      </c>
      <c r="D1900" s="5" t="s">
        <v>31</v>
      </c>
      <c r="E1900" s="5" t="s">
        <v>17</v>
      </c>
      <c r="F1900" s="5">
        <v>3867</v>
      </c>
      <c r="G1900" s="5" t="str">
        <f>VLOOKUP(C1900,Sheet2!$C$3:$D$12,2,0)</f>
        <v>Fixed</v>
      </c>
      <c r="H1900" s="5" t="str">
        <f>IFERROR(VLOOKUP(E1900,Sheet2!$G$3:$H$8,2,0),"unkwon")</f>
        <v>online</v>
      </c>
      <c r="I1900" s="5">
        <f>VLOOKUP(B1900,Sheet2!$J$4:$K$15,2,0)</f>
        <v>11</v>
      </c>
      <c r="J1900" s="5">
        <f>IFERROR(VLOOKUP(C1900,Sheet2!$M$4:$N$12,2,0),0)</f>
        <v>3000</v>
      </c>
      <c r="K1900" s="5" t="str">
        <f t="shared" si="29"/>
        <v>over budget</v>
      </c>
    </row>
    <row r="1901" spans="1:11" x14ac:dyDescent="0.3">
      <c r="A1901" s="6">
        <v>45268</v>
      </c>
      <c r="B1901" s="5" t="s">
        <v>16</v>
      </c>
      <c r="C1901" s="5" t="s">
        <v>41</v>
      </c>
      <c r="D1901" s="5" t="s">
        <v>31</v>
      </c>
      <c r="E1901" s="5" t="s">
        <v>32</v>
      </c>
      <c r="F1901" s="5">
        <v>4654</v>
      </c>
      <c r="G1901" s="5" t="str">
        <f>VLOOKUP(C1901,Sheet2!$C$3:$D$12,2,0)</f>
        <v>Variable</v>
      </c>
      <c r="H1901" s="5" t="str">
        <f>IFERROR(VLOOKUP(E1901,Sheet2!$G$3:$H$8,2,0),"unkwon")</f>
        <v>offline</v>
      </c>
      <c r="I1901" s="5">
        <f>VLOOKUP(B1901,Sheet2!$J$4:$K$15,2,0)</f>
        <v>12</v>
      </c>
      <c r="J1901" s="5">
        <f>IFERROR(VLOOKUP(C1901,Sheet2!$M$4:$N$12,2,0),0)</f>
        <v>7000</v>
      </c>
      <c r="K1901" s="5" t="str">
        <f t="shared" si="29"/>
        <v>within budget</v>
      </c>
    </row>
    <row r="1902" spans="1:11" x14ac:dyDescent="0.3">
      <c r="A1902" s="6">
        <v>45512</v>
      </c>
      <c r="B1902" s="5" t="s">
        <v>25</v>
      </c>
      <c r="C1902" s="5" t="s">
        <v>27</v>
      </c>
      <c r="D1902" s="5" t="s">
        <v>24</v>
      </c>
      <c r="E1902" s="5" t="s">
        <v>9</v>
      </c>
      <c r="F1902" s="5">
        <v>580</v>
      </c>
      <c r="G1902" s="5" t="str">
        <f>VLOOKUP(C1902,Sheet2!$C$3:$D$12,2,0)</f>
        <v>Variable</v>
      </c>
      <c r="H1902" s="5" t="str">
        <f>IFERROR(VLOOKUP(E1902,Sheet2!$G$3:$H$8,2,0),"unkwon")</f>
        <v>online</v>
      </c>
      <c r="I1902" s="5">
        <f>VLOOKUP(B1902,Sheet2!$J$4:$K$15,2,0)</f>
        <v>8</v>
      </c>
      <c r="J1902" s="5">
        <f>IFERROR(VLOOKUP(C1902,Sheet2!$M$4:$N$12,2,0),0)</f>
        <v>4000</v>
      </c>
      <c r="K1902" s="5" t="str">
        <f t="shared" si="29"/>
        <v>within budget</v>
      </c>
    </row>
    <row r="1903" spans="1:11" x14ac:dyDescent="0.3">
      <c r="A1903" s="6">
        <v>45304</v>
      </c>
      <c r="B1903" s="5" t="s">
        <v>37</v>
      </c>
      <c r="C1903" s="5" t="s">
        <v>27</v>
      </c>
      <c r="D1903" s="5" t="s">
        <v>26</v>
      </c>
      <c r="E1903" s="5" t="s">
        <v>9</v>
      </c>
      <c r="F1903" s="5">
        <v>825</v>
      </c>
      <c r="G1903" s="5" t="str">
        <f>VLOOKUP(C1903,Sheet2!$C$3:$D$12,2,0)</f>
        <v>Variable</v>
      </c>
      <c r="H1903" s="5" t="str">
        <f>IFERROR(VLOOKUP(E1903,Sheet2!$G$3:$H$8,2,0),"unkwon")</f>
        <v>online</v>
      </c>
      <c r="I1903" s="5">
        <f>VLOOKUP(B1903,Sheet2!$J$4:$K$15,2,0)</f>
        <v>1</v>
      </c>
      <c r="J1903" s="5">
        <f>IFERROR(VLOOKUP(C1903,Sheet2!$M$4:$N$12,2,0),0)</f>
        <v>4000</v>
      </c>
      <c r="K1903" s="5" t="str">
        <f t="shared" si="29"/>
        <v>within budget</v>
      </c>
    </row>
    <row r="1904" spans="1:11" x14ac:dyDescent="0.3">
      <c r="A1904" s="6">
        <v>45140</v>
      </c>
      <c r="B1904" s="5" t="s">
        <v>25</v>
      </c>
      <c r="C1904" s="5" t="s">
        <v>35</v>
      </c>
      <c r="D1904" s="5" t="s">
        <v>34</v>
      </c>
      <c r="E1904" s="5" t="s">
        <v>9</v>
      </c>
      <c r="F1904" s="5">
        <v>1537</v>
      </c>
      <c r="G1904" s="5" t="str">
        <f>VLOOKUP(C1904,Sheet2!$C$3:$D$12,2,0)</f>
        <v>Fixed</v>
      </c>
      <c r="H1904" s="5" t="str">
        <f>IFERROR(VLOOKUP(E1904,Sheet2!$G$3:$H$8,2,0),"unkwon")</f>
        <v>online</v>
      </c>
      <c r="I1904" s="5">
        <f>VLOOKUP(B1904,Sheet2!$J$4:$K$15,2,0)</f>
        <v>8</v>
      </c>
      <c r="J1904" s="5">
        <f>IFERROR(VLOOKUP(C1904,Sheet2!$M$4:$N$12,2,0),0)</f>
        <v>5500</v>
      </c>
      <c r="K1904" s="5" t="str">
        <f t="shared" si="29"/>
        <v>within budget</v>
      </c>
    </row>
    <row r="1905" spans="1:11" x14ac:dyDescent="0.3">
      <c r="A1905" s="6">
        <v>45146</v>
      </c>
      <c r="B1905" s="5" t="s">
        <v>25</v>
      </c>
      <c r="C1905" s="5" t="s">
        <v>13</v>
      </c>
      <c r="D1905" s="5" t="s">
        <v>26</v>
      </c>
      <c r="E1905" s="5" t="s">
        <v>17</v>
      </c>
      <c r="F1905" s="5">
        <v>897</v>
      </c>
      <c r="G1905" s="5" t="str">
        <f>VLOOKUP(C1905,Sheet2!$C$3:$D$12,2,0)</f>
        <v>Variable</v>
      </c>
      <c r="H1905" s="5" t="str">
        <f>IFERROR(VLOOKUP(E1905,Sheet2!$G$3:$H$8,2,0),"unkwon")</f>
        <v>online</v>
      </c>
      <c r="I1905" s="5">
        <f>VLOOKUP(B1905,Sheet2!$J$4:$K$15,2,0)</f>
        <v>8</v>
      </c>
      <c r="J1905" s="5">
        <f>IFERROR(VLOOKUP(C1905,Sheet2!$M$4:$N$12,2,0),0)</f>
        <v>5000</v>
      </c>
      <c r="K1905" s="5" t="str">
        <f t="shared" si="29"/>
        <v>within budget</v>
      </c>
    </row>
    <row r="1906" spans="1:11" x14ac:dyDescent="0.3">
      <c r="A1906" s="6">
        <v>45483</v>
      </c>
      <c r="B1906" s="5" t="s">
        <v>21</v>
      </c>
      <c r="C1906" s="5" t="s">
        <v>22</v>
      </c>
      <c r="D1906" s="5" t="s">
        <v>20</v>
      </c>
      <c r="E1906" s="5" t="s">
        <v>17</v>
      </c>
      <c r="F1906" s="5">
        <v>1477</v>
      </c>
      <c r="G1906" s="5" t="str">
        <f>VLOOKUP(C1906,Sheet2!$C$3:$D$12,2,0)</f>
        <v>Variable</v>
      </c>
      <c r="H1906" s="5" t="str">
        <f>IFERROR(VLOOKUP(E1906,Sheet2!$G$3:$H$8,2,0),"unkwon")</f>
        <v>online</v>
      </c>
      <c r="I1906" s="5">
        <f>VLOOKUP(B1906,Sheet2!$J$4:$K$15,2,0)</f>
        <v>7</v>
      </c>
      <c r="J1906" s="5">
        <f>IFERROR(VLOOKUP(C1906,Sheet2!$M$4:$N$12,2,0),0)</f>
        <v>1000</v>
      </c>
      <c r="K1906" s="5" t="str">
        <f t="shared" si="29"/>
        <v>over budget</v>
      </c>
    </row>
    <row r="1907" spans="1:11" x14ac:dyDescent="0.3">
      <c r="A1907" s="6">
        <v>45102</v>
      </c>
      <c r="B1907" s="5" t="s">
        <v>39</v>
      </c>
      <c r="C1907" s="5" t="s">
        <v>36</v>
      </c>
      <c r="D1907" s="5" t="s">
        <v>8</v>
      </c>
      <c r="E1907" s="5" t="s">
        <v>32</v>
      </c>
      <c r="F1907" s="5">
        <v>373</v>
      </c>
      <c r="G1907" s="5" t="str">
        <f>VLOOKUP(C1907,Sheet2!$C$3:$D$12,2,0)</f>
        <v>Variable</v>
      </c>
      <c r="H1907" s="5" t="str">
        <f>IFERROR(VLOOKUP(E1907,Sheet2!$G$3:$H$8,2,0),"unkwon")</f>
        <v>offline</v>
      </c>
      <c r="I1907" s="5">
        <f>VLOOKUP(B1907,Sheet2!$J$4:$K$15,2,0)</f>
        <v>6</v>
      </c>
      <c r="J1907" s="5">
        <f>IFERROR(VLOOKUP(C1907,Sheet2!$M$4:$N$12,2,0),0)</f>
        <v>10000</v>
      </c>
      <c r="K1907" s="5" t="str">
        <f t="shared" si="29"/>
        <v>within budget</v>
      </c>
    </row>
    <row r="1908" spans="1:11" x14ac:dyDescent="0.3">
      <c r="A1908" s="6">
        <v>45247</v>
      </c>
      <c r="B1908" s="5" t="s">
        <v>40</v>
      </c>
      <c r="C1908" s="5" t="s">
        <v>27</v>
      </c>
      <c r="D1908" s="5" t="s">
        <v>31</v>
      </c>
      <c r="E1908" s="5" t="s">
        <v>15</v>
      </c>
      <c r="F1908" s="5">
        <v>1300</v>
      </c>
      <c r="G1908" s="5" t="str">
        <f>VLOOKUP(C1908,Sheet2!$C$3:$D$12,2,0)</f>
        <v>Variable</v>
      </c>
      <c r="H1908" s="5" t="str">
        <f>IFERROR(VLOOKUP(E1908,Sheet2!$G$3:$H$8,2,0),"unkwon")</f>
        <v>online</v>
      </c>
      <c r="I1908" s="5">
        <f>VLOOKUP(B1908,Sheet2!$J$4:$K$15,2,0)</f>
        <v>11</v>
      </c>
      <c r="J1908" s="5">
        <f>IFERROR(VLOOKUP(C1908,Sheet2!$M$4:$N$12,2,0),0)</f>
        <v>4000</v>
      </c>
      <c r="K1908" s="5" t="str">
        <f t="shared" si="29"/>
        <v>within budget</v>
      </c>
    </row>
    <row r="1909" spans="1:11" x14ac:dyDescent="0.3">
      <c r="A1909" s="6">
        <v>45594</v>
      </c>
      <c r="B1909" s="5" t="s">
        <v>6</v>
      </c>
      <c r="C1909" s="5" t="s">
        <v>36</v>
      </c>
      <c r="D1909" s="5" t="s">
        <v>34</v>
      </c>
      <c r="E1909" s="5" t="s">
        <v>9</v>
      </c>
      <c r="F1909" s="5">
        <v>4053</v>
      </c>
      <c r="G1909" s="5" t="str">
        <f>VLOOKUP(C1909,Sheet2!$C$3:$D$12,2,0)</f>
        <v>Variable</v>
      </c>
      <c r="H1909" s="5" t="str">
        <f>IFERROR(VLOOKUP(E1909,Sheet2!$G$3:$H$8,2,0),"unkwon")</f>
        <v>online</v>
      </c>
      <c r="I1909" s="5">
        <f>VLOOKUP(B1909,Sheet2!$J$4:$K$15,2,0)</f>
        <v>10</v>
      </c>
      <c r="J1909" s="5">
        <f>IFERROR(VLOOKUP(C1909,Sheet2!$M$4:$N$12,2,0),0)</f>
        <v>10000</v>
      </c>
      <c r="K1909" s="5" t="str">
        <f t="shared" si="29"/>
        <v>within budget</v>
      </c>
    </row>
    <row r="1910" spans="1:11" x14ac:dyDescent="0.3">
      <c r="A1910" s="6">
        <v>45423</v>
      </c>
      <c r="B1910" s="5" t="s">
        <v>28</v>
      </c>
      <c r="C1910" s="5" t="s">
        <v>7</v>
      </c>
      <c r="D1910" s="5" t="s">
        <v>31</v>
      </c>
      <c r="E1910" s="5" t="s">
        <v>12</v>
      </c>
      <c r="F1910" s="5">
        <v>2685</v>
      </c>
      <c r="G1910" s="5" t="str">
        <f>VLOOKUP(C1910,Sheet2!$C$3:$D$12,2,0)</f>
        <v>Fixed</v>
      </c>
      <c r="H1910" s="5" t="str">
        <f>IFERROR(VLOOKUP(E1910,Sheet2!$G$3:$H$8,2,0),"unkwon")</f>
        <v>online</v>
      </c>
      <c r="I1910" s="5">
        <f>VLOOKUP(B1910,Sheet2!$J$4:$K$15,2,0)</f>
        <v>5</v>
      </c>
      <c r="J1910" s="5">
        <f>IFERROR(VLOOKUP(C1910,Sheet2!$M$4:$N$12,2,0),0)</f>
        <v>2000</v>
      </c>
      <c r="K1910" s="5" t="str">
        <f t="shared" si="29"/>
        <v>over budget</v>
      </c>
    </row>
    <row r="1911" spans="1:11" x14ac:dyDescent="0.3">
      <c r="A1911" s="6">
        <v>45475</v>
      </c>
      <c r="B1911" s="5" t="s">
        <v>21</v>
      </c>
      <c r="C1911" s="5" t="s">
        <v>41</v>
      </c>
      <c r="D1911" s="5" t="s">
        <v>23</v>
      </c>
      <c r="E1911" s="5" t="s">
        <v>17</v>
      </c>
      <c r="F1911" s="5">
        <v>53</v>
      </c>
      <c r="G1911" s="5" t="str">
        <f>VLOOKUP(C1911,Sheet2!$C$3:$D$12,2,0)</f>
        <v>Variable</v>
      </c>
      <c r="H1911" s="5" t="str">
        <f>IFERROR(VLOOKUP(E1911,Sheet2!$G$3:$H$8,2,0),"unkwon")</f>
        <v>online</v>
      </c>
      <c r="I1911" s="5">
        <f>VLOOKUP(B1911,Sheet2!$J$4:$K$15,2,0)</f>
        <v>7</v>
      </c>
      <c r="J1911" s="5">
        <f>IFERROR(VLOOKUP(C1911,Sheet2!$M$4:$N$12,2,0),0)</f>
        <v>7000</v>
      </c>
      <c r="K1911" s="5" t="str">
        <f t="shared" si="29"/>
        <v>within budget</v>
      </c>
    </row>
    <row r="1912" spans="1:11" x14ac:dyDescent="0.3">
      <c r="A1912" s="6">
        <v>45457</v>
      </c>
      <c r="B1912" s="5" t="s">
        <v>39</v>
      </c>
      <c r="C1912" s="5" t="s">
        <v>41</v>
      </c>
      <c r="D1912" s="5" t="s">
        <v>24</v>
      </c>
      <c r="E1912" s="5" t="s">
        <v>12</v>
      </c>
      <c r="F1912" s="5">
        <v>967</v>
      </c>
      <c r="G1912" s="5" t="str">
        <f>VLOOKUP(C1912,Sheet2!$C$3:$D$12,2,0)</f>
        <v>Variable</v>
      </c>
      <c r="H1912" s="5" t="str">
        <f>IFERROR(VLOOKUP(E1912,Sheet2!$G$3:$H$8,2,0),"unkwon")</f>
        <v>online</v>
      </c>
      <c r="I1912" s="5">
        <f>VLOOKUP(B1912,Sheet2!$J$4:$K$15,2,0)</f>
        <v>6</v>
      </c>
      <c r="J1912" s="5">
        <f>IFERROR(VLOOKUP(C1912,Sheet2!$M$4:$N$12,2,0),0)</f>
        <v>7000</v>
      </c>
      <c r="K1912" s="5" t="str">
        <f t="shared" si="29"/>
        <v>within budget</v>
      </c>
    </row>
    <row r="1913" spans="1:11" x14ac:dyDescent="0.3">
      <c r="A1913" s="6">
        <v>45449</v>
      </c>
      <c r="B1913" s="5" t="s">
        <v>39</v>
      </c>
      <c r="C1913" s="5" t="s">
        <v>35</v>
      </c>
      <c r="D1913" s="5" t="s">
        <v>26</v>
      </c>
      <c r="E1913" s="5" t="s">
        <v>12</v>
      </c>
      <c r="F1913" s="5">
        <v>1892</v>
      </c>
      <c r="G1913" s="5" t="str">
        <f>VLOOKUP(C1913,Sheet2!$C$3:$D$12,2,0)</f>
        <v>Fixed</v>
      </c>
      <c r="H1913" s="5" t="str">
        <f>IFERROR(VLOOKUP(E1913,Sheet2!$G$3:$H$8,2,0),"unkwon")</f>
        <v>online</v>
      </c>
      <c r="I1913" s="5">
        <f>VLOOKUP(B1913,Sheet2!$J$4:$K$15,2,0)</f>
        <v>6</v>
      </c>
      <c r="J1913" s="5">
        <f>IFERROR(VLOOKUP(C1913,Sheet2!$M$4:$N$12,2,0),0)</f>
        <v>5500</v>
      </c>
      <c r="K1913" s="5" t="str">
        <f t="shared" si="29"/>
        <v>within budget</v>
      </c>
    </row>
    <row r="1914" spans="1:11" x14ac:dyDescent="0.3">
      <c r="A1914" s="6">
        <v>45342</v>
      </c>
      <c r="B1914" s="5" t="s">
        <v>33</v>
      </c>
      <c r="C1914" s="5" t="s">
        <v>41</v>
      </c>
      <c r="D1914" s="5" t="s">
        <v>14</v>
      </c>
      <c r="E1914" s="5" t="s">
        <v>12</v>
      </c>
      <c r="F1914" s="5">
        <v>2018</v>
      </c>
      <c r="G1914" s="5" t="str">
        <f>VLOOKUP(C1914,Sheet2!$C$3:$D$12,2,0)</f>
        <v>Variable</v>
      </c>
      <c r="H1914" s="5" t="str">
        <f>IFERROR(VLOOKUP(E1914,Sheet2!$G$3:$H$8,2,0),"unkwon")</f>
        <v>online</v>
      </c>
      <c r="I1914" s="5">
        <f>VLOOKUP(B1914,Sheet2!$J$4:$K$15,2,0)</f>
        <v>2</v>
      </c>
      <c r="J1914" s="5">
        <f>IFERROR(VLOOKUP(C1914,Sheet2!$M$4:$N$12,2,0),0)</f>
        <v>7000</v>
      </c>
      <c r="K1914" s="5" t="str">
        <f t="shared" si="29"/>
        <v>within budget</v>
      </c>
    </row>
    <row r="1915" spans="1:11" x14ac:dyDescent="0.3">
      <c r="A1915" s="6">
        <v>45292</v>
      </c>
      <c r="B1915" s="5" t="s">
        <v>37</v>
      </c>
      <c r="C1915" s="5" t="s">
        <v>7</v>
      </c>
      <c r="D1915" s="5" t="s">
        <v>18</v>
      </c>
      <c r="E1915" s="5" t="s">
        <v>15</v>
      </c>
      <c r="F1915" s="5">
        <v>3071</v>
      </c>
      <c r="G1915" s="5" t="str">
        <f>VLOOKUP(C1915,Sheet2!$C$3:$D$12,2,0)</f>
        <v>Fixed</v>
      </c>
      <c r="H1915" s="5" t="str">
        <f>IFERROR(VLOOKUP(E1915,Sheet2!$G$3:$H$8,2,0),"unkwon")</f>
        <v>online</v>
      </c>
      <c r="I1915" s="5">
        <f>VLOOKUP(B1915,Sheet2!$J$4:$K$15,2,0)</f>
        <v>1</v>
      </c>
      <c r="J1915" s="5">
        <f>IFERROR(VLOOKUP(C1915,Sheet2!$M$4:$N$12,2,0),0)</f>
        <v>2000</v>
      </c>
      <c r="K1915" s="5" t="str">
        <f t="shared" si="29"/>
        <v>over budget</v>
      </c>
    </row>
    <row r="1916" spans="1:11" x14ac:dyDescent="0.3">
      <c r="A1916" s="6">
        <v>45089</v>
      </c>
      <c r="B1916" s="5" t="s">
        <v>39</v>
      </c>
      <c r="C1916" s="5" t="s">
        <v>22</v>
      </c>
      <c r="D1916" s="5" t="s">
        <v>34</v>
      </c>
      <c r="E1916" s="5" t="s">
        <v>15</v>
      </c>
      <c r="F1916" s="5">
        <v>2738</v>
      </c>
      <c r="G1916" s="5" t="str">
        <f>VLOOKUP(C1916,Sheet2!$C$3:$D$12,2,0)</f>
        <v>Variable</v>
      </c>
      <c r="H1916" s="5" t="str">
        <f>IFERROR(VLOOKUP(E1916,Sheet2!$G$3:$H$8,2,0),"unkwon")</f>
        <v>online</v>
      </c>
      <c r="I1916" s="5">
        <f>VLOOKUP(B1916,Sheet2!$J$4:$K$15,2,0)</f>
        <v>6</v>
      </c>
      <c r="J1916" s="5">
        <f>IFERROR(VLOOKUP(C1916,Sheet2!$M$4:$N$12,2,0),0)</f>
        <v>1000</v>
      </c>
      <c r="K1916" s="5" t="str">
        <f t="shared" si="29"/>
        <v>over budget</v>
      </c>
    </row>
    <row r="1917" spans="1:11" x14ac:dyDescent="0.3">
      <c r="A1917" s="6">
        <v>45387</v>
      </c>
      <c r="B1917" s="5" t="s">
        <v>29</v>
      </c>
      <c r="C1917" s="5" t="s">
        <v>35</v>
      </c>
      <c r="D1917" s="5" t="s">
        <v>34</v>
      </c>
      <c r="E1917" s="5" t="s">
        <v>32</v>
      </c>
      <c r="F1917" s="5">
        <v>4757</v>
      </c>
      <c r="G1917" s="5" t="str">
        <f>VLOOKUP(C1917,Sheet2!$C$3:$D$12,2,0)</f>
        <v>Fixed</v>
      </c>
      <c r="H1917" s="5" t="str">
        <f>IFERROR(VLOOKUP(E1917,Sheet2!$G$3:$H$8,2,0),"unkwon")</f>
        <v>offline</v>
      </c>
      <c r="I1917" s="5">
        <f>VLOOKUP(B1917,Sheet2!$J$4:$K$15,2,0)</f>
        <v>4</v>
      </c>
      <c r="J1917" s="5">
        <f>IFERROR(VLOOKUP(C1917,Sheet2!$M$4:$N$12,2,0),0)</f>
        <v>5500</v>
      </c>
      <c r="K1917" s="5" t="str">
        <f t="shared" si="29"/>
        <v>within budget</v>
      </c>
    </row>
    <row r="1918" spans="1:11" x14ac:dyDescent="0.3">
      <c r="A1918" s="6">
        <v>44999</v>
      </c>
      <c r="B1918" s="5" t="s">
        <v>19</v>
      </c>
      <c r="C1918" s="5" t="s">
        <v>36</v>
      </c>
      <c r="D1918" s="5" t="s">
        <v>24</v>
      </c>
      <c r="E1918" s="5" t="s">
        <v>15</v>
      </c>
      <c r="F1918" s="5">
        <v>1532</v>
      </c>
      <c r="G1918" s="5" t="str">
        <f>VLOOKUP(C1918,Sheet2!$C$3:$D$12,2,0)</f>
        <v>Variable</v>
      </c>
      <c r="H1918" s="5" t="str">
        <f>IFERROR(VLOOKUP(E1918,Sheet2!$G$3:$H$8,2,0),"unkwon")</f>
        <v>online</v>
      </c>
      <c r="I1918" s="5">
        <f>VLOOKUP(B1918,Sheet2!$J$4:$K$15,2,0)</f>
        <v>3</v>
      </c>
      <c r="J1918" s="5">
        <f>IFERROR(VLOOKUP(C1918,Sheet2!$M$4:$N$12,2,0),0)</f>
        <v>10000</v>
      </c>
      <c r="K1918" s="5" t="str">
        <f t="shared" si="29"/>
        <v>within budget</v>
      </c>
    </row>
    <row r="1919" spans="1:11" x14ac:dyDescent="0.3">
      <c r="A1919" s="6">
        <v>45030</v>
      </c>
      <c r="B1919" s="5" t="s">
        <v>29</v>
      </c>
      <c r="C1919" s="5" t="s">
        <v>7</v>
      </c>
      <c r="D1919" s="5" t="s">
        <v>31</v>
      </c>
      <c r="E1919" s="5" t="s">
        <v>17</v>
      </c>
      <c r="F1919" s="5">
        <v>1379</v>
      </c>
      <c r="G1919" s="5" t="str">
        <f>VLOOKUP(C1919,Sheet2!$C$3:$D$12,2,0)</f>
        <v>Fixed</v>
      </c>
      <c r="H1919" s="5" t="str">
        <f>IFERROR(VLOOKUP(E1919,Sheet2!$G$3:$H$8,2,0),"unkwon")</f>
        <v>online</v>
      </c>
      <c r="I1919" s="5">
        <f>VLOOKUP(B1919,Sheet2!$J$4:$K$15,2,0)</f>
        <v>4</v>
      </c>
      <c r="J1919" s="5">
        <f>IFERROR(VLOOKUP(C1919,Sheet2!$M$4:$N$12,2,0),0)</f>
        <v>2000</v>
      </c>
      <c r="K1919" s="5" t="str">
        <f t="shared" si="29"/>
        <v>within budget</v>
      </c>
    </row>
    <row r="1920" spans="1:11" x14ac:dyDescent="0.3">
      <c r="A1920" s="6">
        <v>44976</v>
      </c>
      <c r="B1920" s="5" t="s">
        <v>33</v>
      </c>
      <c r="C1920" s="5" t="s">
        <v>10</v>
      </c>
      <c r="D1920" s="5" t="s">
        <v>34</v>
      </c>
      <c r="E1920" s="5" t="s">
        <v>17</v>
      </c>
      <c r="F1920" s="5">
        <v>3327</v>
      </c>
      <c r="G1920" s="5" t="str">
        <f>VLOOKUP(C1920,Sheet2!$C$3:$D$12,2,0)</f>
        <v>Variable</v>
      </c>
      <c r="H1920" s="5" t="str">
        <f>IFERROR(VLOOKUP(E1920,Sheet2!$G$3:$H$8,2,0),"unkwon")</f>
        <v>online</v>
      </c>
      <c r="I1920" s="5">
        <f>VLOOKUP(B1920,Sheet2!$J$4:$K$15,2,0)</f>
        <v>2</v>
      </c>
      <c r="J1920" s="5">
        <f>IFERROR(VLOOKUP(C1920,Sheet2!$M$4:$N$12,2,0),0)</f>
        <v>5000</v>
      </c>
      <c r="K1920" s="5" t="str">
        <f t="shared" si="29"/>
        <v>within budget</v>
      </c>
    </row>
    <row r="1921" spans="1:11" x14ac:dyDescent="0.3">
      <c r="A1921" s="6">
        <v>45237</v>
      </c>
      <c r="B1921" s="5" t="s">
        <v>40</v>
      </c>
      <c r="C1921" s="5" t="s">
        <v>27</v>
      </c>
      <c r="D1921" s="5" t="s">
        <v>11</v>
      </c>
      <c r="E1921" s="5" t="s">
        <v>12</v>
      </c>
      <c r="F1921" s="5">
        <v>2663</v>
      </c>
      <c r="G1921" s="5" t="str">
        <f>VLOOKUP(C1921,Sheet2!$C$3:$D$12,2,0)</f>
        <v>Variable</v>
      </c>
      <c r="H1921" s="5" t="str">
        <f>IFERROR(VLOOKUP(E1921,Sheet2!$G$3:$H$8,2,0),"unkwon")</f>
        <v>online</v>
      </c>
      <c r="I1921" s="5">
        <f>VLOOKUP(B1921,Sheet2!$J$4:$K$15,2,0)</f>
        <v>11</v>
      </c>
      <c r="J1921" s="5">
        <f>IFERROR(VLOOKUP(C1921,Sheet2!$M$4:$N$12,2,0),0)</f>
        <v>4000</v>
      </c>
      <c r="K1921" s="5" t="str">
        <f t="shared" si="29"/>
        <v>within budget</v>
      </c>
    </row>
    <row r="1922" spans="1:11" x14ac:dyDescent="0.3">
      <c r="A1922" s="6">
        <v>45517</v>
      </c>
      <c r="B1922" s="5" t="s">
        <v>25</v>
      </c>
      <c r="C1922" s="5" t="s">
        <v>10</v>
      </c>
      <c r="D1922" s="5" t="s">
        <v>11</v>
      </c>
      <c r="E1922" s="5" t="s">
        <v>17</v>
      </c>
      <c r="F1922" s="5">
        <v>4138</v>
      </c>
      <c r="G1922" s="5" t="str">
        <f>VLOOKUP(C1922,Sheet2!$C$3:$D$12,2,0)</f>
        <v>Variable</v>
      </c>
      <c r="H1922" s="5" t="str">
        <f>IFERROR(VLOOKUP(E1922,Sheet2!$G$3:$H$8,2,0),"unkwon")</f>
        <v>online</v>
      </c>
      <c r="I1922" s="5">
        <f>VLOOKUP(B1922,Sheet2!$J$4:$K$15,2,0)</f>
        <v>8</v>
      </c>
      <c r="J1922" s="5">
        <f>IFERROR(VLOOKUP(C1922,Sheet2!$M$4:$N$12,2,0),0)</f>
        <v>5000</v>
      </c>
      <c r="K1922" s="5" t="str">
        <f t="shared" si="29"/>
        <v>within budget</v>
      </c>
    </row>
    <row r="1923" spans="1:11" x14ac:dyDescent="0.3">
      <c r="A1923" s="6">
        <v>45480</v>
      </c>
      <c r="B1923" s="5" t="s">
        <v>21</v>
      </c>
      <c r="C1923" s="5" t="s">
        <v>27</v>
      </c>
      <c r="D1923" s="5" t="s">
        <v>26</v>
      </c>
      <c r="E1923" s="5" t="s">
        <v>17</v>
      </c>
      <c r="F1923" s="5">
        <v>1347</v>
      </c>
      <c r="G1923" s="5" t="str">
        <f>VLOOKUP(C1923,Sheet2!$C$3:$D$12,2,0)</f>
        <v>Variable</v>
      </c>
      <c r="H1923" s="5" t="str">
        <f>IFERROR(VLOOKUP(E1923,Sheet2!$G$3:$H$8,2,0),"unkwon")</f>
        <v>online</v>
      </c>
      <c r="I1923" s="5">
        <f>VLOOKUP(B1923,Sheet2!$J$4:$K$15,2,0)</f>
        <v>7</v>
      </c>
      <c r="J1923" s="5">
        <f>IFERROR(VLOOKUP(C1923,Sheet2!$M$4:$N$12,2,0),0)</f>
        <v>4000</v>
      </c>
      <c r="K1923" s="5" t="str">
        <f t="shared" ref="K1923:K1986" si="30">IF(F1923&gt;J1923,"over budget","within budget")</f>
        <v>within budget</v>
      </c>
    </row>
    <row r="1924" spans="1:11" x14ac:dyDescent="0.3">
      <c r="A1924" s="6">
        <v>45580</v>
      </c>
      <c r="B1924" s="5" t="s">
        <v>6</v>
      </c>
      <c r="C1924" s="5" t="s">
        <v>13</v>
      </c>
      <c r="D1924" s="5" t="s">
        <v>14</v>
      </c>
      <c r="E1924" s="5" t="s">
        <v>9</v>
      </c>
      <c r="F1924" s="5">
        <v>1138</v>
      </c>
      <c r="G1924" s="5" t="str">
        <f>VLOOKUP(C1924,Sheet2!$C$3:$D$12,2,0)</f>
        <v>Variable</v>
      </c>
      <c r="H1924" s="5" t="str">
        <f>IFERROR(VLOOKUP(E1924,Sheet2!$G$3:$H$8,2,0),"unkwon")</f>
        <v>online</v>
      </c>
      <c r="I1924" s="5">
        <f>VLOOKUP(B1924,Sheet2!$J$4:$K$15,2,0)</f>
        <v>10</v>
      </c>
      <c r="J1924" s="5">
        <f>IFERROR(VLOOKUP(C1924,Sheet2!$M$4:$N$12,2,0),0)</f>
        <v>5000</v>
      </c>
      <c r="K1924" s="5" t="str">
        <f t="shared" si="30"/>
        <v>within budget</v>
      </c>
    </row>
    <row r="1925" spans="1:11" x14ac:dyDescent="0.3">
      <c r="A1925" s="6">
        <v>45335</v>
      </c>
      <c r="B1925" s="5" t="s">
        <v>33</v>
      </c>
      <c r="C1925" s="5" t="s">
        <v>35</v>
      </c>
      <c r="D1925" s="5" t="s">
        <v>18</v>
      </c>
      <c r="E1925" s="5" t="s">
        <v>32</v>
      </c>
      <c r="F1925" s="5">
        <v>4303</v>
      </c>
      <c r="G1925" s="5" t="str">
        <f>VLOOKUP(C1925,Sheet2!$C$3:$D$12,2,0)</f>
        <v>Fixed</v>
      </c>
      <c r="H1925" s="5" t="str">
        <f>IFERROR(VLOOKUP(E1925,Sheet2!$G$3:$H$8,2,0),"unkwon")</f>
        <v>offline</v>
      </c>
      <c r="I1925" s="5">
        <f>VLOOKUP(B1925,Sheet2!$J$4:$K$15,2,0)</f>
        <v>2</v>
      </c>
      <c r="J1925" s="5">
        <f>IFERROR(VLOOKUP(C1925,Sheet2!$M$4:$N$12,2,0),0)</f>
        <v>5500</v>
      </c>
      <c r="K1925" s="5" t="str">
        <f t="shared" si="30"/>
        <v>within budget</v>
      </c>
    </row>
    <row r="1926" spans="1:11" x14ac:dyDescent="0.3">
      <c r="A1926" s="6">
        <v>45288</v>
      </c>
      <c r="B1926" s="5" t="s">
        <v>16</v>
      </c>
      <c r="C1926" s="5" t="s">
        <v>27</v>
      </c>
      <c r="D1926" s="5" t="s">
        <v>34</v>
      </c>
      <c r="E1926" s="5" t="s">
        <v>17</v>
      </c>
      <c r="F1926" s="5">
        <v>4087</v>
      </c>
      <c r="G1926" s="5" t="str">
        <f>VLOOKUP(C1926,Sheet2!$C$3:$D$12,2,0)</f>
        <v>Variable</v>
      </c>
      <c r="H1926" s="5" t="str">
        <f>IFERROR(VLOOKUP(E1926,Sheet2!$G$3:$H$8,2,0),"unkwon")</f>
        <v>online</v>
      </c>
      <c r="I1926" s="5">
        <f>VLOOKUP(B1926,Sheet2!$J$4:$K$15,2,0)</f>
        <v>12</v>
      </c>
      <c r="J1926" s="5">
        <f>IFERROR(VLOOKUP(C1926,Sheet2!$M$4:$N$12,2,0),0)</f>
        <v>4000</v>
      </c>
      <c r="K1926" s="5" t="str">
        <f t="shared" si="30"/>
        <v>over budget</v>
      </c>
    </row>
    <row r="1927" spans="1:11" x14ac:dyDescent="0.3">
      <c r="A1927" s="6">
        <v>45536</v>
      </c>
      <c r="B1927" s="5" t="s">
        <v>38</v>
      </c>
      <c r="C1927" s="5" t="s">
        <v>35</v>
      </c>
      <c r="D1927" s="5" t="s">
        <v>14</v>
      </c>
      <c r="E1927" s="5" t="s">
        <v>12</v>
      </c>
      <c r="F1927" s="5">
        <v>2998</v>
      </c>
      <c r="G1927" s="5" t="str">
        <f>VLOOKUP(C1927,Sheet2!$C$3:$D$12,2,0)</f>
        <v>Fixed</v>
      </c>
      <c r="H1927" s="5" t="str">
        <f>IFERROR(VLOOKUP(E1927,Sheet2!$G$3:$H$8,2,0),"unkwon")</f>
        <v>online</v>
      </c>
      <c r="I1927" s="5">
        <f>VLOOKUP(B1927,Sheet2!$J$4:$K$15,2,0)</f>
        <v>9</v>
      </c>
      <c r="J1927" s="5">
        <f>IFERROR(VLOOKUP(C1927,Sheet2!$M$4:$N$12,2,0),0)</f>
        <v>5500</v>
      </c>
      <c r="K1927" s="5" t="str">
        <f t="shared" si="30"/>
        <v>within budget</v>
      </c>
    </row>
    <row r="1928" spans="1:11" x14ac:dyDescent="0.3">
      <c r="A1928" s="6">
        <v>45293</v>
      </c>
      <c r="B1928" s="5" t="s">
        <v>37</v>
      </c>
      <c r="C1928" s="5" t="s">
        <v>10</v>
      </c>
      <c r="D1928" s="5" t="s">
        <v>20</v>
      </c>
      <c r="E1928" s="5" t="s">
        <v>17</v>
      </c>
      <c r="F1928" s="5">
        <v>1472</v>
      </c>
      <c r="G1928" s="5" t="str">
        <f>VLOOKUP(C1928,Sheet2!$C$3:$D$12,2,0)</f>
        <v>Variable</v>
      </c>
      <c r="H1928" s="5" t="str">
        <f>IFERROR(VLOOKUP(E1928,Sheet2!$G$3:$H$8,2,0),"unkwon")</f>
        <v>online</v>
      </c>
      <c r="I1928" s="5">
        <f>VLOOKUP(B1928,Sheet2!$J$4:$K$15,2,0)</f>
        <v>1</v>
      </c>
      <c r="J1928" s="5">
        <f>IFERROR(VLOOKUP(C1928,Sheet2!$M$4:$N$12,2,0),0)</f>
        <v>5000</v>
      </c>
      <c r="K1928" s="5" t="str">
        <f t="shared" si="30"/>
        <v>within budget</v>
      </c>
    </row>
    <row r="1929" spans="1:11" x14ac:dyDescent="0.3">
      <c r="A1929" s="6">
        <v>45473</v>
      </c>
      <c r="B1929" s="5" t="s">
        <v>39</v>
      </c>
      <c r="C1929" s="5" t="s">
        <v>36</v>
      </c>
      <c r="D1929" s="5" t="s">
        <v>14</v>
      </c>
      <c r="E1929" s="5" t="s">
        <v>9</v>
      </c>
      <c r="F1929" s="5">
        <v>1643</v>
      </c>
      <c r="G1929" s="5" t="str">
        <f>VLOOKUP(C1929,Sheet2!$C$3:$D$12,2,0)</f>
        <v>Variable</v>
      </c>
      <c r="H1929" s="5" t="str">
        <f>IFERROR(VLOOKUP(E1929,Sheet2!$G$3:$H$8,2,0),"unkwon")</f>
        <v>online</v>
      </c>
      <c r="I1929" s="5">
        <f>VLOOKUP(B1929,Sheet2!$J$4:$K$15,2,0)</f>
        <v>6</v>
      </c>
      <c r="J1929" s="5">
        <f>IFERROR(VLOOKUP(C1929,Sheet2!$M$4:$N$12,2,0),0)</f>
        <v>10000</v>
      </c>
      <c r="K1929" s="5" t="str">
        <f t="shared" si="30"/>
        <v>within budget</v>
      </c>
    </row>
    <row r="1930" spans="1:11" x14ac:dyDescent="0.3">
      <c r="A1930" s="6">
        <v>45203</v>
      </c>
      <c r="B1930" s="5" t="s">
        <v>6</v>
      </c>
      <c r="C1930" s="5" t="s">
        <v>27</v>
      </c>
      <c r="D1930" s="5" t="s">
        <v>11</v>
      </c>
      <c r="E1930" s="5" t="s">
        <v>9</v>
      </c>
      <c r="F1930" s="5">
        <v>2119</v>
      </c>
      <c r="G1930" s="5" t="str">
        <f>VLOOKUP(C1930,Sheet2!$C$3:$D$12,2,0)</f>
        <v>Variable</v>
      </c>
      <c r="H1930" s="5" t="str">
        <f>IFERROR(VLOOKUP(E1930,Sheet2!$G$3:$H$8,2,0),"unkwon")</f>
        <v>online</v>
      </c>
      <c r="I1930" s="5">
        <f>VLOOKUP(B1930,Sheet2!$J$4:$K$15,2,0)</f>
        <v>10</v>
      </c>
      <c r="J1930" s="5">
        <f>IFERROR(VLOOKUP(C1930,Sheet2!$M$4:$N$12,2,0),0)</f>
        <v>4000</v>
      </c>
      <c r="K1930" s="5" t="str">
        <f t="shared" si="30"/>
        <v>within budget</v>
      </c>
    </row>
    <row r="1931" spans="1:11" x14ac:dyDescent="0.3">
      <c r="A1931" s="6">
        <v>45093</v>
      </c>
      <c r="B1931" s="5" t="s">
        <v>39</v>
      </c>
      <c r="C1931" s="5" t="s">
        <v>36</v>
      </c>
      <c r="D1931" s="5" t="s">
        <v>34</v>
      </c>
      <c r="E1931" s="5" t="s">
        <v>15</v>
      </c>
      <c r="F1931" s="5">
        <v>4030</v>
      </c>
      <c r="G1931" s="5" t="str">
        <f>VLOOKUP(C1931,Sheet2!$C$3:$D$12,2,0)</f>
        <v>Variable</v>
      </c>
      <c r="H1931" s="5" t="str">
        <f>IFERROR(VLOOKUP(E1931,Sheet2!$G$3:$H$8,2,0),"unkwon")</f>
        <v>online</v>
      </c>
      <c r="I1931" s="5">
        <f>VLOOKUP(B1931,Sheet2!$J$4:$K$15,2,0)</f>
        <v>6</v>
      </c>
      <c r="J1931" s="5">
        <f>IFERROR(VLOOKUP(C1931,Sheet2!$M$4:$N$12,2,0),0)</f>
        <v>10000</v>
      </c>
      <c r="K1931" s="5" t="str">
        <f t="shared" si="30"/>
        <v>within budget</v>
      </c>
    </row>
    <row r="1932" spans="1:11" x14ac:dyDescent="0.3">
      <c r="A1932" s="6">
        <v>45221</v>
      </c>
      <c r="B1932" s="5" t="s">
        <v>6</v>
      </c>
      <c r="C1932" s="5" t="s">
        <v>22</v>
      </c>
      <c r="D1932" s="5" t="s">
        <v>31</v>
      </c>
      <c r="E1932" s="5" t="s">
        <v>9</v>
      </c>
      <c r="F1932" s="5">
        <v>4652</v>
      </c>
      <c r="G1932" s="5" t="str">
        <f>VLOOKUP(C1932,Sheet2!$C$3:$D$12,2,0)</f>
        <v>Variable</v>
      </c>
      <c r="H1932" s="5" t="str">
        <f>IFERROR(VLOOKUP(E1932,Sheet2!$G$3:$H$8,2,0),"unkwon")</f>
        <v>online</v>
      </c>
      <c r="I1932" s="5">
        <f>VLOOKUP(B1932,Sheet2!$J$4:$K$15,2,0)</f>
        <v>10</v>
      </c>
      <c r="J1932" s="5">
        <f>IFERROR(VLOOKUP(C1932,Sheet2!$M$4:$N$12,2,0),0)</f>
        <v>1000</v>
      </c>
      <c r="K1932" s="5" t="str">
        <f t="shared" si="30"/>
        <v>over budget</v>
      </c>
    </row>
    <row r="1933" spans="1:11" x14ac:dyDescent="0.3">
      <c r="A1933" s="6">
        <v>45346</v>
      </c>
      <c r="B1933" s="5" t="s">
        <v>33</v>
      </c>
      <c r="C1933" s="5" t="s">
        <v>36</v>
      </c>
      <c r="D1933" s="5" t="s">
        <v>34</v>
      </c>
      <c r="E1933" s="5" t="s">
        <v>9</v>
      </c>
      <c r="F1933" s="5">
        <v>4332</v>
      </c>
      <c r="G1933" s="5" t="str">
        <f>VLOOKUP(C1933,Sheet2!$C$3:$D$12,2,0)</f>
        <v>Variable</v>
      </c>
      <c r="H1933" s="5" t="str">
        <f>IFERROR(VLOOKUP(E1933,Sheet2!$G$3:$H$8,2,0),"unkwon")</f>
        <v>online</v>
      </c>
      <c r="I1933" s="5">
        <f>VLOOKUP(B1933,Sheet2!$J$4:$K$15,2,0)</f>
        <v>2</v>
      </c>
      <c r="J1933" s="5">
        <f>IFERROR(VLOOKUP(C1933,Sheet2!$M$4:$N$12,2,0),0)</f>
        <v>10000</v>
      </c>
      <c r="K1933" s="5" t="str">
        <f t="shared" si="30"/>
        <v>within budget</v>
      </c>
    </row>
    <row r="1934" spans="1:11" x14ac:dyDescent="0.3">
      <c r="A1934" s="6">
        <v>45503</v>
      </c>
      <c r="B1934" s="5" t="s">
        <v>21</v>
      </c>
      <c r="C1934" s="5" t="s">
        <v>36</v>
      </c>
      <c r="D1934" s="5" t="s">
        <v>8</v>
      </c>
      <c r="E1934" s="5" t="s">
        <v>9</v>
      </c>
      <c r="F1934" s="5">
        <v>2573</v>
      </c>
      <c r="G1934" s="5" t="str">
        <f>VLOOKUP(C1934,Sheet2!$C$3:$D$12,2,0)</f>
        <v>Variable</v>
      </c>
      <c r="H1934" s="5" t="str">
        <f>IFERROR(VLOOKUP(E1934,Sheet2!$G$3:$H$8,2,0),"unkwon")</f>
        <v>online</v>
      </c>
      <c r="I1934" s="5">
        <f>VLOOKUP(B1934,Sheet2!$J$4:$K$15,2,0)</f>
        <v>7</v>
      </c>
      <c r="J1934" s="5">
        <f>IFERROR(VLOOKUP(C1934,Sheet2!$M$4:$N$12,2,0),0)</f>
        <v>10000</v>
      </c>
      <c r="K1934" s="5" t="str">
        <f t="shared" si="30"/>
        <v>within budget</v>
      </c>
    </row>
    <row r="1935" spans="1:11" x14ac:dyDescent="0.3">
      <c r="A1935" s="6">
        <v>45397</v>
      </c>
      <c r="B1935" s="5" t="s">
        <v>29</v>
      </c>
      <c r="C1935" s="5" t="s">
        <v>36</v>
      </c>
      <c r="D1935" s="5" t="s">
        <v>31</v>
      </c>
      <c r="E1935" s="5" t="s">
        <v>9</v>
      </c>
      <c r="F1935" s="5">
        <v>2446</v>
      </c>
      <c r="G1935" s="5" t="str">
        <f>VLOOKUP(C1935,Sheet2!$C$3:$D$12,2,0)</f>
        <v>Variable</v>
      </c>
      <c r="H1935" s="5" t="str">
        <f>IFERROR(VLOOKUP(E1935,Sheet2!$G$3:$H$8,2,0),"unkwon")</f>
        <v>online</v>
      </c>
      <c r="I1935" s="5">
        <f>VLOOKUP(B1935,Sheet2!$J$4:$K$15,2,0)</f>
        <v>4</v>
      </c>
      <c r="J1935" s="5">
        <f>IFERROR(VLOOKUP(C1935,Sheet2!$M$4:$N$12,2,0),0)</f>
        <v>10000</v>
      </c>
      <c r="K1935" s="5" t="str">
        <f t="shared" si="30"/>
        <v>within budget</v>
      </c>
    </row>
    <row r="1936" spans="1:11" x14ac:dyDescent="0.3">
      <c r="A1936" s="6">
        <v>45461</v>
      </c>
      <c r="B1936" s="5" t="s">
        <v>39</v>
      </c>
      <c r="C1936" s="5" t="s">
        <v>35</v>
      </c>
      <c r="D1936" s="5" t="s">
        <v>34</v>
      </c>
      <c r="E1936" s="5" t="s">
        <v>17</v>
      </c>
      <c r="F1936" s="5">
        <v>4759</v>
      </c>
      <c r="G1936" s="5" t="str">
        <f>VLOOKUP(C1936,Sheet2!$C$3:$D$12,2,0)</f>
        <v>Fixed</v>
      </c>
      <c r="H1936" s="5" t="str">
        <f>IFERROR(VLOOKUP(E1936,Sheet2!$G$3:$H$8,2,0),"unkwon")</f>
        <v>online</v>
      </c>
      <c r="I1936" s="5">
        <f>VLOOKUP(B1936,Sheet2!$J$4:$K$15,2,0)</f>
        <v>6</v>
      </c>
      <c r="J1936" s="5">
        <f>IFERROR(VLOOKUP(C1936,Sheet2!$M$4:$N$12,2,0),0)</f>
        <v>5500</v>
      </c>
      <c r="K1936" s="5" t="str">
        <f t="shared" si="30"/>
        <v>within budget</v>
      </c>
    </row>
    <row r="1937" spans="1:11" x14ac:dyDescent="0.3">
      <c r="A1937" s="6">
        <v>44933</v>
      </c>
      <c r="B1937" s="5" t="s">
        <v>37</v>
      </c>
      <c r="C1937" s="5" t="s">
        <v>36</v>
      </c>
      <c r="D1937" s="5" t="s">
        <v>31</v>
      </c>
      <c r="E1937" s="5" t="s">
        <v>15</v>
      </c>
      <c r="F1937" s="5">
        <v>2940</v>
      </c>
      <c r="G1937" s="5" t="str">
        <f>VLOOKUP(C1937,Sheet2!$C$3:$D$12,2,0)</f>
        <v>Variable</v>
      </c>
      <c r="H1937" s="5" t="str">
        <f>IFERROR(VLOOKUP(E1937,Sheet2!$G$3:$H$8,2,0),"unkwon")</f>
        <v>online</v>
      </c>
      <c r="I1937" s="5">
        <f>VLOOKUP(B1937,Sheet2!$J$4:$K$15,2,0)</f>
        <v>1</v>
      </c>
      <c r="J1937" s="5">
        <f>IFERROR(VLOOKUP(C1937,Sheet2!$M$4:$N$12,2,0),0)</f>
        <v>10000</v>
      </c>
      <c r="K1937" s="5" t="str">
        <f t="shared" si="30"/>
        <v>within budget</v>
      </c>
    </row>
    <row r="1938" spans="1:11" x14ac:dyDescent="0.3">
      <c r="A1938" s="6">
        <v>45470</v>
      </c>
      <c r="B1938" s="5" t="s">
        <v>39</v>
      </c>
      <c r="C1938" s="5" t="s">
        <v>10</v>
      </c>
      <c r="D1938" s="5" t="s">
        <v>23</v>
      </c>
      <c r="E1938" s="5" t="s">
        <v>15</v>
      </c>
      <c r="F1938" s="5">
        <v>571</v>
      </c>
      <c r="G1938" s="5" t="str">
        <f>VLOOKUP(C1938,Sheet2!$C$3:$D$12,2,0)</f>
        <v>Variable</v>
      </c>
      <c r="H1938" s="5" t="str">
        <f>IFERROR(VLOOKUP(E1938,Sheet2!$G$3:$H$8,2,0),"unkwon")</f>
        <v>online</v>
      </c>
      <c r="I1938" s="5">
        <f>VLOOKUP(B1938,Sheet2!$J$4:$K$15,2,0)</f>
        <v>6</v>
      </c>
      <c r="J1938" s="5">
        <f>IFERROR(VLOOKUP(C1938,Sheet2!$M$4:$N$12,2,0),0)</f>
        <v>5000</v>
      </c>
      <c r="K1938" s="5" t="str">
        <f t="shared" si="30"/>
        <v>within budget</v>
      </c>
    </row>
    <row r="1939" spans="1:11" x14ac:dyDescent="0.3">
      <c r="A1939" s="6">
        <v>45082</v>
      </c>
      <c r="B1939" s="5" t="s">
        <v>39</v>
      </c>
      <c r="C1939" s="5" t="s">
        <v>13</v>
      </c>
      <c r="D1939" s="5" t="s">
        <v>11</v>
      </c>
      <c r="E1939" s="5" t="s">
        <v>15</v>
      </c>
      <c r="F1939" s="5">
        <v>989</v>
      </c>
      <c r="G1939" s="5" t="str">
        <f>VLOOKUP(C1939,Sheet2!$C$3:$D$12,2,0)</f>
        <v>Variable</v>
      </c>
      <c r="H1939" s="5" t="str">
        <f>IFERROR(VLOOKUP(E1939,Sheet2!$G$3:$H$8,2,0),"unkwon")</f>
        <v>online</v>
      </c>
      <c r="I1939" s="5">
        <f>VLOOKUP(B1939,Sheet2!$J$4:$K$15,2,0)</f>
        <v>6</v>
      </c>
      <c r="J1939" s="5">
        <f>IFERROR(VLOOKUP(C1939,Sheet2!$M$4:$N$12,2,0),0)</f>
        <v>5000</v>
      </c>
      <c r="K1939" s="5" t="str">
        <f t="shared" si="30"/>
        <v>within budget</v>
      </c>
    </row>
    <row r="1940" spans="1:11" x14ac:dyDescent="0.3">
      <c r="A1940" s="6">
        <v>45334</v>
      </c>
      <c r="B1940" s="5" t="s">
        <v>33</v>
      </c>
      <c r="C1940" s="5" t="s">
        <v>22</v>
      </c>
      <c r="D1940" s="5" t="s">
        <v>34</v>
      </c>
      <c r="E1940" s="5" t="s">
        <v>17</v>
      </c>
      <c r="F1940" s="5">
        <v>2011</v>
      </c>
      <c r="G1940" s="5" t="str">
        <f>VLOOKUP(C1940,Sheet2!$C$3:$D$12,2,0)</f>
        <v>Variable</v>
      </c>
      <c r="H1940" s="5" t="str">
        <f>IFERROR(VLOOKUP(E1940,Sheet2!$G$3:$H$8,2,0),"unkwon")</f>
        <v>online</v>
      </c>
      <c r="I1940" s="5">
        <f>VLOOKUP(B1940,Sheet2!$J$4:$K$15,2,0)</f>
        <v>2</v>
      </c>
      <c r="J1940" s="5">
        <f>IFERROR(VLOOKUP(C1940,Sheet2!$M$4:$N$12,2,0),0)</f>
        <v>1000</v>
      </c>
      <c r="K1940" s="5" t="str">
        <f t="shared" si="30"/>
        <v>over budget</v>
      </c>
    </row>
    <row r="1941" spans="1:11" x14ac:dyDescent="0.3">
      <c r="A1941" s="6">
        <v>45101</v>
      </c>
      <c r="B1941" s="5" t="s">
        <v>39</v>
      </c>
      <c r="C1941" s="5" t="s">
        <v>27</v>
      </c>
      <c r="D1941" s="5" t="s">
        <v>23</v>
      </c>
      <c r="E1941" s="5" t="s">
        <v>17</v>
      </c>
      <c r="F1941" s="5">
        <v>1732</v>
      </c>
      <c r="G1941" s="5" t="str">
        <f>VLOOKUP(C1941,Sheet2!$C$3:$D$12,2,0)</f>
        <v>Variable</v>
      </c>
      <c r="H1941" s="5" t="str">
        <f>IFERROR(VLOOKUP(E1941,Sheet2!$G$3:$H$8,2,0),"unkwon")</f>
        <v>online</v>
      </c>
      <c r="I1941" s="5">
        <f>VLOOKUP(B1941,Sheet2!$J$4:$K$15,2,0)</f>
        <v>6</v>
      </c>
      <c r="J1941" s="5">
        <f>IFERROR(VLOOKUP(C1941,Sheet2!$M$4:$N$12,2,0),0)</f>
        <v>4000</v>
      </c>
      <c r="K1941" s="5" t="str">
        <f t="shared" si="30"/>
        <v>within budget</v>
      </c>
    </row>
    <row r="1942" spans="1:11" x14ac:dyDescent="0.3">
      <c r="A1942" s="6">
        <v>45150</v>
      </c>
      <c r="B1942" s="5" t="s">
        <v>25</v>
      </c>
      <c r="C1942" s="5" t="s">
        <v>41</v>
      </c>
      <c r="D1942" s="5" t="s">
        <v>24</v>
      </c>
      <c r="E1942" s="5" t="s">
        <v>17</v>
      </c>
      <c r="F1942" s="5">
        <v>3837</v>
      </c>
      <c r="G1942" s="5" t="str">
        <f>VLOOKUP(C1942,Sheet2!$C$3:$D$12,2,0)</f>
        <v>Variable</v>
      </c>
      <c r="H1942" s="5" t="str">
        <f>IFERROR(VLOOKUP(E1942,Sheet2!$G$3:$H$8,2,0),"unkwon")</f>
        <v>online</v>
      </c>
      <c r="I1942" s="5">
        <f>VLOOKUP(B1942,Sheet2!$J$4:$K$15,2,0)</f>
        <v>8</v>
      </c>
      <c r="J1942" s="5">
        <f>IFERROR(VLOOKUP(C1942,Sheet2!$M$4:$N$12,2,0),0)</f>
        <v>7000</v>
      </c>
      <c r="K1942" s="5" t="str">
        <f t="shared" si="30"/>
        <v>within budget</v>
      </c>
    </row>
    <row r="1943" spans="1:11" x14ac:dyDescent="0.3">
      <c r="A1943" s="6">
        <v>45059</v>
      </c>
      <c r="B1943" s="5" t="s">
        <v>28</v>
      </c>
      <c r="C1943" s="5" t="s">
        <v>7</v>
      </c>
      <c r="D1943" s="5" t="s">
        <v>8</v>
      </c>
      <c r="E1943" s="5" t="s">
        <v>17</v>
      </c>
      <c r="F1943" s="5">
        <v>2481</v>
      </c>
      <c r="G1943" s="5" t="str">
        <f>VLOOKUP(C1943,Sheet2!$C$3:$D$12,2,0)</f>
        <v>Fixed</v>
      </c>
      <c r="H1943" s="5" t="str">
        <f>IFERROR(VLOOKUP(E1943,Sheet2!$G$3:$H$8,2,0),"unkwon")</f>
        <v>online</v>
      </c>
      <c r="I1943" s="5">
        <f>VLOOKUP(B1943,Sheet2!$J$4:$K$15,2,0)</f>
        <v>5</v>
      </c>
      <c r="J1943" s="5">
        <f>IFERROR(VLOOKUP(C1943,Sheet2!$M$4:$N$12,2,0),0)</f>
        <v>2000</v>
      </c>
      <c r="K1943" s="5" t="str">
        <f t="shared" si="30"/>
        <v>over budget</v>
      </c>
    </row>
    <row r="1944" spans="1:11" x14ac:dyDescent="0.3">
      <c r="A1944" s="6">
        <v>45234</v>
      </c>
      <c r="B1944" s="5" t="s">
        <v>40</v>
      </c>
      <c r="C1944" s="5" t="s">
        <v>36</v>
      </c>
      <c r="D1944" s="5" t="s">
        <v>26</v>
      </c>
      <c r="E1944" s="5" t="s">
        <v>9</v>
      </c>
      <c r="F1944" s="5">
        <v>2650</v>
      </c>
      <c r="G1944" s="5" t="str">
        <f>VLOOKUP(C1944,Sheet2!$C$3:$D$12,2,0)</f>
        <v>Variable</v>
      </c>
      <c r="H1944" s="5" t="str">
        <f>IFERROR(VLOOKUP(E1944,Sheet2!$G$3:$H$8,2,0),"unkwon")</f>
        <v>online</v>
      </c>
      <c r="I1944" s="5">
        <f>VLOOKUP(B1944,Sheet2!$J$4:$K$15,2,0)</f>
        <v>11</v>
      </c>
      <c r="J1944" s="5">
        <f>IFERROR(VLOOKUP(C1944,Sheet2!$M$4:$N$12,2,0),0)</f>
        <v>10000</v>
      </c>
      <c r="K1944" s="5" t="str">
        <f t="shared" si="30"/>
        <v>within budget</v>
      </c>
    </row>
    <row r="1945" spans="1:11" x14ac:dyDescent="0.3">
      <c r="A1945" s="6">
        <v>45268</v>
      </c>
      <c r="B1945" s="5" t="s">
        <v>16</v>
      </c>
      <c r="C1945" s="5" t="s">
        <v>13</v>
      </c>
      <c r="D1945" s="5" t="s">
        <v>31</v>
      </c>
      <c r="E1945" s="5" t="s">
        <v>32</v>
      </c>
      <c r="F1945" s="5">
        <v>432</v>
      </c>
      <c r="G1945" s="5" t="str">
        <f>VLOOKUP(C1945,Sheet2!$C$3:$D$12,2,0)</f>
        <v>Variable</v>
      </c>
      <c r="H1945" s="5" t="str">
        <f>IFERROR(VLOOKUP(E1945,Sheet2!$G$3:$H$8,2,0),"unkwon")</f>
        <v>offline</v>
      </c>
      <c r="I1945" s="5">
        <f>VLOOKUP(B1945,Sheet2!$J$4:$K$15,2,0)</f>
        <v>12</v>
      </c>
      <c r="J1945" s="5">
        <f>IFERROR(VLOOKUP(C1945,Sheet2!$M$4:$N$12,2,0),0)</f>
        <v>5000</v>
      </c>
      <c r="K1945" s="5" t="str">
        <f t="shared" si="30"/>
        <v>within budget</v>
      </c>
    </row>
    <row r="1946" spans="1:11" x14ac:dyDescent="0.3">
      <c r="A1946" s="6">
        <v>44989</v>
      </c>
      <c r="B1946" s="5" t="s">
        <v>19</v>
      </c>
      <c r="C1946" s="5" t="s">
        <v>10</v>
      </c>
      <c r="D1946" s="5" t="s">
        <v>24</v>
      </c>
      <c r="E1946" s="5" t="s">
        <v>12</v>
      </c>
      <c r="F1946" s="5">
        <v>3175</v>
      </c>
      <c r="G1946" s="5" t="str">
        <f>VLOOKUP(C1946,Sheet2!$C$3:$D$12,2,0)</f>
        <v>Variable</v>
      </c>
      <c r="H1946" s="5" t="str">
        <f>IFERROR(VLOOKUP(E1946,Sheet2!$G$3:$H$8,2,0),"unkwon")</f>
        <v>online</v>
      </c>
      <c r="I1946" s="5">
        <f>VLOOKUP(B1946,Sheet2!$J$4:$K$15,2,0)</f>
        <v>3</v>
      </c>
      <c r="J1946" s="5">
        <f>IFERROR(VLOOKUP(C1946,Sheet2!$M$4:$N$12,2,0),0)</f>
        <v>5000</v>
      </c>
      <c r="K1946" s="5" t="str">
        <f t="shared" si="30"/>
        <v>within budget</v>
      </c>
    </row>
    <row r="1947" spans="1:11" x14ac:dyDescent="0.3">
      <c r="A1947" s="6">
        <v>44948</v>
      </c>
      <c r="B1947" s="5" t="s">
        <v>37</v>
      </c>
      <c r="C1947" s="5" t="s">
        <v>7</v>
      </c>
      <c r="D1947" s="5" t="s">
        <v>14</v>
      </c>
      <c r="E1947" s="5" t="s">
        <v>9</v>
      </c>
      <c r="F1947" s="5">
        <v>4012</v>
      </c>
      <c r="G1947" s="5" t="str">
        <f>VLOOKUP(C1947,Sheet2!$C$3:$D$12,2,0)</f>
        <v>Fixed</v>
      </c>
      <c r="H1947" s="5" t="str">
        <f>IFERROR(VLOOKUP(E1947,Sheet2!$G$3:$H$8,2,0),"unkwon")</f>
        <v>online</v>
      </c>
      <c r="I1947" s="5">
        <f>VLOOKUP(B1947,Sheet2!$J$4:$K$15,2,0)</f>
        <v>1</v>
      </c>
      <c r="J1947" s="5">
        <f>IFERROR(VLOOKUP(C1947,Sheet2!$M$4:$N$12,2,0),0)</f>
        <v>2000</v>
      </c>
      <c r="K1947" s="5" t="str">
        <f t="shared" si="30"/>
        <v>over budget</v>
      </c>
    </row>
    <row r="1948" spans="1:11" x14ac:dyDescent="0.3">
      <c r="A1948" s="6">
        <v>45238</v>
      </c>
      <c r="B1948" s="5" t="s">
        <v>40</v>
      </c>
      <c r="C1948" s="5" t="s">
        <v>10</v>
      </c>
      <c r="D1948" s="5" t="s">
        <v>18</v>
      </c>
      <c r="E1948" s="5" t="s">
        <v>17</v>
      </c>
      <c r="F1948" s="5">
        <v>3175</v>
      </c>
      <c r="G1948" s="5" t="str">
        <f>VLOOKUP(C1948,Sheet2!$C$3:$D$12,2,0)</f>
        <v>Variable</v>
      </c>
      <c r="H1948" s="5" t="str">
        <f>IFERROR(VLOOKUP(E1948,Sheet2!$G$3:$H$8,2,0),"unkwon")</f>
        <v>online</v>
      </c>
      <c r="I1948" s="5">
        <f>VLOOKUP(B1948,Sheet2!$J$4:$K$15,2,0)</f>
        <v>11</v>
      </c>
      <c r="J1948" s="5">
        <f>IFERROR(VLOOKUP(C1948,Sheet2!$M$4:$N$12,2,0),0)</f>
        <v>5000</v>
      </c>
      <c r="K1948" s="5" t="str">
        <f t="shared" si="30"/>
        <v>within budget</v>
      </c>
    </row>
    <row r="1949" spans="1:11" x14ac:dyDescent="0.3">
      <c r="A1949" s="6">
        <v>45061</v>
      </c>
      <c r="B1949" s="5" t="s">
        <v>28</v>
      </c>
      <c r="C1949" s="5" t="s">
        <v>13</v>
      </c>
      <c r="D1949" s="5" t="s">
        <v>34</v>
      </c>
      <c r="E1949" s="5" t="s">
        <v>32</v>
      </c>
      <c r="F1949" s="5">
        <v>833</v>
      </c>
      <c r="G1949" s="5" t="str">
        <f>VLOOKUP(C1949,Sheet2!$C$3:$D$12,2,0)</f>
        <v>Variable</v>
      </c>
      <c r="H1949" s="5" t="str">
        <f>IFERROR(VLOOKUP(E1949,Sheet2!$G$3:$H$8,2,0),"unkwon")</f>
        <v>offline</v>
      </c>
      <c r="I1949" s="5">
        <f>VLOOKUP(B1949,Sheet2!$J$4:$K$15,2,0)</f>
        <v>5</v>
      </c>
      <c r="J1949" s="5">
        <f>IFERROR(VLOOKUP(C1949,Sheet2!$M$4:$N$12,2,0),0)</f>
        <v>5000</v>
      </c>
      <c r="K1949" s="5" t="str">
        <f t="shared" si="30"/>
        <v>within budget</v>
      </c>
    </row>
    <row r="1950" spans="1:11" x14ac:dyDescent="0.3">
      <c r="A1950" s="6">
        <v>44932</v>
      </c>
      <c r="B1950" s="5" t="s">
        <v>37</v>
      </c>
      <c r="C1950" s="5" t="s">
        <v>30</v>
      </c>
      <c r="D1950" s="5" t="s">
        <v>24</v>
      </c>
      <c r="E1950" s="5" t="s">
        <v>15</v>
      </c>
      <c r="F1950" s="5">
        <v>330</v>
      </c>
      <c r="G1950" s="5" t="str">
        <f>VLOOKUP(C1950,Sheet2!$C$3:$D$12,2,0)</f>
        <v>Fixed</v>
      </c>
      <c r="H1950" s="5" t="str">
        <f>IFERROR(VLOOKUP(E1950,Sheet2!$G$3:$H$8,2,0),"unkwon")</f>
        <v>online</v>
      </c>
      <c r="I1950" s="5">
        <f>VLOOKUP(B1950,Sheet2!$J$4:$K$15,2,0)</f>
        <v>1</v>
      </c>
      <c r="J1950" s="5">
        <f>IFERROR(VLOOKUP(C1950,Sheet2!$M$4:$N$12,2,0),0)</f>
        <v>3000</v>
      </c>
      <c r="K1950" s="5" t="str">
        <f t="shared" si="30"/>
        <v>within budget</v>
      </c>
    </row>
    <row r="1951" spans="1:11" x14ac:dyDescent="0.3">
      <c r="A1951" s="6">
        <v>44967</v>
      </c>
      <c r="B1951" s="5" t="s">
        <v>33</v>
      </c>
      <c r="C1951" s="5" t="s">
        <v>22</v>
      </c>
      <c r="D1951" s="5" t="s">
        <v>18</v>
      </c>
      <c r="E1951" s="5" t="s">
        <v>12</v>
      </c>
      <c r="F1951" s="5">
        <v>2096</v>
      </c>
      <c r="G1951" s="5" t="str">
        <f>VLOOKUP(C1951,Sheet2!$C$3:$D$12,2,0)</f>
        <v>Variable</v>
      </c>
      <c r="H1951" s="5" t="str">
        <f>IFERROR(VLOOKUP(E1951,Sheet2!$G$3:$H$8,2,0),"unkwon")</f>
        <v>online</v>
      </c>
      <c r="I1951" s="5">
        <f>VLOOKUP(B1951,Sheet2!$J$4:$K$15,2,0)</f>
        <v>2</v>
      </c>
      <c r="J1951" s="5">
        <f>IFERROR(VLOOKUP(C1951,Sheet2!$M$4:$N$12,2,0),0)</f>
        <v>1000</v>
      </c>
      <c r="K1951" s="5" t="str">
        <f t="shared" si="30"/>
        <v>over budget</v>
      </c>
    </row>
    <row r="1952" spans="1:11" x14ac:dyDescent="0.3">
      <c r="A1952" s="6">
        <v>45117</v>
      </c>
      <c r="B1952" s="5" t="s">
        <v>21</v>
      </c>
      <c r="C1952" s="5" t="s">
        <v>7</v>
      </c>
      <c r="D1952" s="5" t="s">
        <v>20</v>
      </c>
      <c r="E1952" s="5" t="s">
        <v>15</v>
      </c>
      <c r="F1952" s="5">
        <v>2617</v>
      </c>
      <c r="G1952" s="5" t="str">
        <f>VLOOKUP(C1952,Sheet2!$C$3:$D$12,2,0)</f>
        <v>Fixed</v>
      </c>
      <c r="H1952" s="5" t="str">
        <f>IFERROR(VLOOKUP(E1952,Sheet2!$G$3:$H$8,2,0),"unkwon")</f>
        <v>online</v>
      </c>
      <c r="I1952" s="5">
        <f>VLOOKUP(B1952,Sheet2!$J$4:$K$15,2,0)</f>
        <v>7</v>
      </c>
      <c r="J1952" s="5">
        <f>IFERROR(VLOOKUP(C1952,Sheet2!$M$4:$N$12,2,0),0)</f>
        <v>2000</v>
      </c>
      <c r="K1952" s="5" t="str">
        <f t="shared" si="30"/>
        <v>over budget</v>
      </c>
    </row>
    <row r="1953" spans="1:11" x14ac:dyDescent="0.3">
      <c r="A1953" s="6">
        <v>45420</v>
      </c>
      <c r="B1953" s="5" t="s">
        <v>28</v>
      </c>
      <c r="C1953" s="5" t="s">
        <v>30</v>
      </c>
      <c r="D1953" s="5" t="s">
        <v>20</v>
      </c>
      <c r="E1953" s="5" t="s">
        <v>32</v>
      </c>
      <c r="F1953" s="5">
        <v>2496</v>
      </c>
      <c r="G1953" s="5" t="str">
        <f>VLOOKUP(C1953,Sheet2!$C$3:$D$12,2,0)</f>
        <v>Fixed</v>
      </c>
      <c r="H1953" s="5" t="str">
        <f>IFERROR(VLOOKUP(E1953,Sheet2!$G$3:$H$8,2,0),"unkwon")</f>
        <v>offline</v>
      </c>
      <c r="I1953" s="5">
        <f>VLOOKUP(B1953,Sheet2!$J$4:$K$15,2,0)</f>
        <v>5</v>
      </c>
      <c r="J1953" s="5">
        <f>IFERROR(VLOOKUP(C1953,Sheet2!$M$4:$N$12,2,0),0)</f>
        <v>3000</v>
      </c>
      <c r="K1953" s="5" t="str">
        <f t="shared" si="30"/>
        <v>within budget</v>
      </c>
    </row>
    <row r="1954" spans="1:11" x14ac:dyDescent="0.3">
      <c r="A1954" s="6">
        <v>45220</v>
      </c>
      <c r="B1954" s="5" t="s">
        <v>6</v>
      </c>
      <c r="C1954" s="5" t="s">
        <v>22</v>
      </c>
      <c r="D1954" s="5" t="s">
        <v>8</v>
      </c>
      <c r="E1954" s="5" t="s">
        <v>32</v>
      </c>
      <c r="F1954" s="5">
        <v>4002</v>
      </c>
      <c r="G1954" s="5" t="str">
        <f>VLOOKUP(C1954,Sheet2!$C$3:$D$12,2,0)</f>
        <v>Variable</v>
      </c>
      <c r="H1954" s="5" t="str">
        <f>IFERROR(VLOOKUP(E1954,Sheet2!$G$3:$H$8,2,0),"unkwon")</f>
        <v>offline</v>
      </c>
      <c r="I1954" s="5">
        <f>VLOOKUP(B1954,Sheet2!$J$4:$K$15,2,0)</f>
        <v>10</v>
      </c>
      <c r="J1954" s="5">
        <f>IFERROR(VLOOKUP(C1954,Sheet2!$M$4:$N$12,2,0),0)</f>
        <v>1000</v>
      </c>
      <c r="K1954" s="5" t="str">
        <f t="shared" si="30"/>
        <v>over budget</v>
      </c>
    </row>
    <row r="1955" spans="1:11" x14ac:dyDescent="0.3">
      <c r="A1955" s="6">
        <v>45026</v>
      </c>
      <c r="B1955" s="5" t="s">
        <v>29</v>
      </c>
      <c r="C1955" s="5" t="s">
        <v>41</v>
      </c>
      <c r="D1955" s="5" t="s">
        <v>20</v>
      </c>
      <c r="E1955" s="5" t="s">
        <v>15</v>
      </c>
      <c r="F1955" s="5">
        <v>1024</v>
      </c>
      <c r="G1955" s="5" t="str">
        <f>VLOOKUP(C1955,Sheet2!$C$3:$D$12,2,0)</f>
        <v>Variable</v>
      </c>
      <c r="H1955" s="5" t="str">
        <f>IFERROR(VLOOKUP(E1955,Sheet2!$G$3:$H$8,2,0),"unkwon")</f>
        <v>online</v>
      </c>
      <c r="I1955" s="5">
        <f>VLOOKUP(B1955,Sheet2!$J$4:$K$15,2,0)</f>
        <v>4</v>
      </c>
      <c r="J1955" s="5">
        <f>IFERROR(VLOOKUP(C1955,Sheet2!$M$4:$N$12,2,0),0)</f>
        <v>7000</v>
      </c>
      <c r="K1955" s="5" t="str">
        <f t="shared" si="30"/>
        <v>within budget</v>
      </c>
    </row>
    <row r="1956" spans="1:11" x14ac:dyDescent="0.3">
      <c r="A1956" s="6">
        <v>45056</v>
      </c>
      <c r="B1956" s="5" t="s">
        <v>28</v>
      </c>
      <c r="C1956" s="5" t="s">
        <v>30</v>
      </c>
      <c r="D1956" s="5" t="s">
        <v>24</v>
      </c>
      <c r="E1956" s="5" t="s">
        <v>12</v>
      </c>
      <c r="F1956" s="5">
        <v>3191</v>
      </c>
      <c r="G1956" s="5" t="str">
        <f>VLOOKUP(C1956,Sheet2!$C$3:$D$12,2,0)</f>
        <v>Fixed</v>
      </c>
      <c r="H1956" s="5" t="str">
        <f>IFERROR(VLOOKUP(E1956,Sheet2!$G$3:$H$8,2,0),"unkwon")</f>
        <v>online</v>
      </c>
      <c r="I1956" s="5">
        <f>VLOOKUP(B1956,Sheet2!$J$4:$K$15,2,0)</f>
        <v>5</v>
      </c>
      <c r="J1956" s="5">
        <f>IFERROR(VLOOKUP(C1956,Sheet2!$M$4:$N$12,2,0),0)</f>
        <v>3000</v>
      </c>
      <c r="K1956" s="5" t="str">
        <f t="shared" si="30"/>
        <v>over budget</v>
      </c>
    </row>
    <row r="1957" spans="1:11" x14ac:dyDescent="0.3">
      <c r="A1957" s="6">
        <v>45057</v>
      </c>
      <c r="B1957" s="5" t="s">
        <v>28</v>
      </c>
      <c r="C1957" s="5" t="s">
        <v>13</v>
      </c>
      <c r="D1957" s="5" t="s">
        <v>23</v>
      </c>
      <c r="E1957" s="5" t="s">
        <v>17</v>
      </c>
      <c r="F1957" s="5">
        <v>4670</v>
      </c>
      <c r="G1957" s="5" t="str">
        <f>VLOOKUP(C1957,Sheet2!$C$3:$D$12,2,0)</f>
        <v>Variable</v>
      </c>
      <c r="H1957" s="5" t="str">
        <f>IFERROR(VLOOKUP(E1957,Sheet2!$G$3:$H$8,2,0),"unkwon")</f>
        <v>online</v>
      </c>
      <c r="I1957" s="5">
        <f>VLOOKUP(B1957,Sheet2!$J$4:$K$15,2,0)</f>
        <v>5</v>
      </c>
      <c r="J1957" s="5">
        <f>IFERROR(VLOOKUP(C1957,Sheet2!$M$4:$N$12,2,0),0)</f>
        <v>5000</v>
      </c>
      <c r="K1957" s="5" t="str">
        <f t="shared" si="30"/>
        <v>within budget</v>
      </c>
    </row>
    <row r="1958" spans="1:11" x14ac:dyDescent="0.3">
      <c r="A1958" s="6">
        <v>45616</v>
      </c>
      <c r="B1958" s="5" t="s">
        <v>40</v>
      </c>
      <c r="C1958" s="5" t="s">
        <v>7</v>
      </c>
      <c r="D1958" s="5" t="s">
        <v>26</v>
      </c>
      <c r="E1958" s="5" t="s">
        <v>15</v>
      </c>
      <c r="F1958" s="5">
        <v>1429</v>
      </c>
      <c r="G1958" s="5" t="str">
        <f>VLOOKUP(C1958,Sheet2!$C$3:$D$12,2,0)</f>
        <v>Fixed</v>
      </c>
      <c r="H1958" s="5" t="str">
        <f>IFERROR(VLOOKUP(E1958,Sheet2!$G$3:$H$8,2,0),"unkwon")</f>
        <v>online</v>
      </c>
      <c r="I1958" s="5">
        <f>VLOOKUP(B1958,Sheet2!$J$4:$K$15,2,0)</f>
        <v>11</v>
      </c>
      <c r="J1958" s="5">
        <f>IFERROR(VLOOKUP(C1958,Sheet2!$M$4:$N$12,2,0),0)</f>
        <v>2000</v>
      </c>
      <c r="K1958" s="5" t="str">
        <f t="shared" si="30"/>
        <v>within budget</v>
      </c>
    </row>
    <row r="1959" spans="1:11" x14ac:dyDescent="0.3">
      <c r="A1959" s="6">
        <v>45567</v>
      </c>
      <c r="B1959" s="5" t="s">
        <v>6</v>
      </c>
      <c r="C1959" s="5" t="s">
        <v>41</v>
      </c>
      <c r="D1959" s="5" t="s">
        <v>14</v>
      </c>
      <c r="E1959" s="5" t="s">
        <v>12</v>
      </c>
      <c r="F1959" s="5">
        <v>4521</v>
      </c>
      <c r="G1959" s="5" t="str">
        <f>VLOOKUP(C1959,Sheet2!$C$3:$D$12,2,0)</f>
        <v>Variable</v>
      </c>
      <c r="H1959" s="5" t="str">
        <f>IFERROR(VLOOKUP(E1959,Sheet2!$G$3:$H$8,2,0),"unkwon")</f>
        <v>online</v>
      </c>
      <c r="I1959" s="5">
        <f>VLOOKUP(B1959,Sheet2!$J$4:$K$15,2,0)</f>
        <v>10</v>
      </c>
      <c r="J1959" s="5">
        <f>IFERROR(VLOOKUP(C1959,Sheet2!$M$4:$N$12,2,0),0)</f>
        <v>7000</v>
      </c>
      <c r="K1959" s="5" t="str">
        <f t="shared" si="30"/>
        <v>within budget</v>
      </c>
    </row>
    <row r="1960" spans="1:11" x14ac:dyDescent="0.3">
      <c r="A1960" s="6">
        <v>45259</v>
      </c>
      <c r="B1960" s="5" t="s">
        <v>40</v>
      </c>
      <c r="C1960" s="5" t="s">
        <v>27</v>
      </c>
      <c r="D1960" s="5" t="s">
        <v>31</v>
      </c>
      <c r="E1960" s="5" t="s">
        <v>32</v>
      </c>
      <c r="F1960" s="5">
        <v>4119</v>
      </c>
      <c r="G1960" s="5" t="str">
        <f>VLOOKUP(C1960,Sheet2!$C$3:$D$12,2,0)</f>
        <v>Variable</v>
      </c>
      <c r="H1960" s="5" t="str">
        <f>IFERROR(VLOOKUP(E1960,Sheet2!$G$3:$H$8,2,0),"unkwon")</f>
        <v>offline</v>
      </c>
      <c r="I1960" s="5">
        <f>VLOOKUP(B1960,Sheet2!$J$4:$K$15,2,0)</f>
        <v>11</v>
      </c>
      <c r="J1960" s="5">
        <f>IFERROR(VLOOKUP(C1960,Sheet2!$M$4:$N$12,2,0),0)</f>
        <v>4000</v>
      </c>
      <c r="K1960" s="5" t="str">
        <f t="shared" si="30"/>
        <v>over budget</v>
      </c>
    </row>
    <row r="1961" spans="1:11" x14ac:dyDescent="0.3">
      <c r="A1961" s="6">
        <v>45375</v>
      </c>
      <c r="B1961" s="5" t="s">
        <v>19</v>
      </c>
      <c r="C1961" s="5" t="s">
        <v>7</v>
      </c>
      <c r="D1961" s="5" t="s">
        <v>24</v>
      </c>
      <c r="E1961" s="5" t="s">
        <v>12</v>
      </c>
      <c r="F1961" s="5">
        <v>2316</v>
      </c>
      <c r="G1961" s="5" t="str">
        <f>VLOOKUP(C1961,Sheet2!$C$3:$D$12,2,0)</f>
        <v>Fixed</v>
      </c>
      <c r="H1961" s="5" t="str">
        <f>IFERROR(VLOOKUP(E1961,Sheet2!$G$3:$H$8,2,0),"unkwon")</f>
        <v>online</v>
      </c>
      <c r="I1961" s="5">
        <f>VLOOKUP(B1961,Sheet2!$J$4:$K$15,2,0)</f>
        <v>3</v>
      </c>
      <c r="J1961" s="5">
        <f>IFERROR(VLOOKUP(C1961,Sheet2!$M$4:$N$12,2,0),0)</f>
        <v>2000</v>
      </c>
      <c r="K1961" s="5" t="str">
        <f t="shared" si="30"/>
        <v>over budget</v>
      </c>
    </row>
    <row r="1962" spans="1:11" x14ac:dyDescent="0.3">
      <c r="A1962" s="6">
        <v>45114</v>
      </c>
      <c r="B1962" s="5" t="s">
        <v>21</v>
      </c>
      <c r="C1962" s="5" t="s">
        <v>35</v>
      </c>
      <c r="D1962" s="5" t="s">
        <v>24</v>
      </c>
      <c r="E1962" s="5" t="s">
        <v>17</v>
      </c>
      <c r="F1962" s="5">
        <v>3330</v>
      </c>
      <c r="G1962" s="5" t="str">
        <f>VLOOKUP(C1962,Sheet2!$C$3:$D$12,2,0)</f>
        <v>Fixed</v>
      </c>
      <c r="H1962" s="5" t="str">
        <f>IFERROR(VLOOKUP(E1962,Sheet2!$G$3:$H$8,2,0),"unkwon")</f>
        <v>online</v>
      </c>
      <c r="I1962" s="5">
        <f>VLOOKUP(B1962,Sheet2!$J$4:$K$15,2,0)</f>
        <v>7</v>
      </c>
      <c r="J1962" s="5">
        <f>IFERROR(VLOOKUP(C1962,Sheet2!$M$4:$N$12,2,0),0)</f>
        <v>5500</v>
      </c>
      <c r="K1962" s="5" t="str">
        <f t="shared" si="30"/>
        <v>within budget</v>
      </c>
    </row>
    <row r="1963" spans="1:11" x14ac:dyDescent="0.3">
      <c r="A1963" s="6">
        <v>45194</v>
      </c>
      <c r="B1963" s="5" t="s">
        <v>38</v>
      </c>
      <c r="C1963" s="5" t="s">
        <v>36</v>
      </c>
      <c r="D1963" s="5" t="s">
        <v>18</v>
      </c>
      <c r="E1963" s="5" t="s">
        <v>17</v>
      </c>
      <c r="F1963" s="5">
        <v>3431</v>
      </c>
      <c r="G1963" s="5" t="str">
        <f>VLOOKUP(C1963,Sheet2!$C$3:$D$12,2,0)</f>
        <v>Variable</v>
      </c>
      <c r="H1963" s="5" t="str">
        <f>IFERROR(VLOOKUP(E1963,Sheet2!$G$3:$H$8,2,0),"unkwon")</f>
        <v>online</v>
      </c>
      <c r="I1963" s="5">
        <f>VLOOKUP(B1963,Sheet2!$J$4:$K$15,2,0)</f>
        <v>9</v>
      </c>
      <c r="J1963" s="5">
        <f>IFERROR(VLOOKUP(C1963,Sheet2!$M$4:$N$12,2,0),0)</f>
        <v>10000</v>
      </c>
      <c r="K1963" s="5" t="str">
        <f t="shared" si="30"/>
        <v>within budget</v>
      </c>
    </row>
    <row r="1964" spans="1:11" x14ac:dyDescent="0.3">
      <c r="A1964" s="6">
        <v>45623</v>
      </c>
      <c r="B1964" s="5" t="s">
        <v>40</v>
      </c>
      <c r="C1964" s="5" t="s">
        <v>10</v>
      </c>
      <c r="D1964" s="5" t="s">
        <v>31</v>
      </c>
      <c r="E1964" s="5" t="s">
        <v>12</v>
      </c>
      <c r="F1964" s="5">
        <v>2748</v>
      </c>
      <c r="G1964" s="5" t="str">
        <f>VLOOKUP(C1964,Sheet2!$C$3:$D$12,2,0)</f>
        <v>Variable</v>
      </c>
      <c r="H1964" s="5" t="str">
        <f>IFERROR(VLOOKUP(E1964,Sheet2!$G$3:$H$8,2,0),"unkwon")</f>
        <v>online</v>
      </c>
      <c r="I1964" s="5">
        <f>VLOOKUP(B1964,Sheet2!$J$4:$K$15,2,0)</f>
        <v>11</v>
      </c>
      <c r="J1964" s="5">
        <f>IFERROR(VLOOKUP(C1964,Sheet2!$M$4:$N$12,2,0),0)</f>
        <v>5000</v>
      </c>
      <c r="K1964" s="5" t="str">
        <f t="shared" si="30"/>
        <v>within budget</v>
      </c>
    </row>
    <row r="1965" spans="1:11" x14ac:dyDescent="0.3">
      <c r="A1965" s="6">
        <v>45336</v>
      </c>
      <c r="B1965" s="5" t="s">
        <v>33</v>
      </c>
      <c r="C1965" s="5" t="s">
        <v>13</v>
      </c>
      <c r="D1965" s="5" t="s">
        <v>14</v>
      </c>
      <c r="E1965" s="5" t="s">
        <v>12</v>
      </c>
      <c r="F1965" s="5">
        <v>3294</v>
      </c>
      <c r="G1965" s="5" t="str">
        <f>VLOOKUP(C1965,Sheet2!$C$3:$D$12,2,0)</f>
        <v>Variable</v>
      </c>
      <c r="H1965" s="5" t="str">
        <f>IFERROR(VLOOKUP(E1965,Sheet2!$G$3:$H$8,2,0),"unkwon")</f>
        <v>online</v>
      </c>
      <c r="I1965" s="5">
        <f>VLOOKUP(B1965,Sheet2!$J$4:$K$15,2,0)</f>
        <v>2</v>
      </c>
      <c r="J1965" s="5">
        <f>IFERROR(VLOOKUP(C1965,Sheet2!$M$4:$N$12,2,0),0)</f>
        <v>5000</v>
      </c>
      <c r="K1965" s="5" t="str">
        <f t="shared" si="30"/>
        <v>within budget</v>
      </c>
    </row>
    <row r="1966" spans="1:11" x14ac:dyDescent="0.3">
      <c r="A1966" s="6">
        <v>45051</v>
      </c>
      <c r="B1966" s="5" t="s">
        <v>28</v>
      </c>
      <c r="C1966" s="5" t="s">
        <v>30</v>
      </c>
      <c r="D1966" s="5" t="s">
        <v>24</v>
      </c>
      <c r="E1966" s="5" t="s">
        <v>15</v>
      </c>
      <c r="F1966" s="5">
        <v>4328</v>
      </c>
      <c r="G1966" s="5" t="str">
        <f>VLOOKUP(C1966,Sheet2!$C$3:$D$12,2,0)</f>
        <v>Fixed</v>
      </c>
      <c r="H1966" s="5" t="str">
        <f>IFERROR(VLOOKUP(E1966,Sheet2!$G$3:$H$8,2,0),"unkwon")</f>
        <v>online</v>
      </c>
      <c r="I1966" s="5">
        <f>VLOOKUP(B1966,Sheet2!$J$4:$K$15,2,0)</f>
        <v>5</v>
      </c>
      <c r="J1966" s="5">
        <f>IFERROR(VLOOKUP(C1966,Sheet2!$M$4:$N$12,2,0),0)</f>
        <v>3000</v>
      </c>
      <c r="K1966" s="5" t="str">
        <f t="shared" si="30"/>
        <v>over budget</v>
      </c>
    </row>
    <row r="1967" spans="1:11" x14ac:dyDescent="0.3">
      <c r="A1967" s="6">
        <v>45396</v>
      </c>
      <c r="B1967" s="5" t="s">
        <v>29</v>
      </c>
      <c r="C1967" s="5" t="s">
        <v>41</v>
      </c>
      <c r="D1967" s="5" t="s">
        <v>26</v>
      </c>
      <c r="E1967" s="5" t="s">
        <v>9</v>
      </c>
      <c r="F1967" s="5">
        <v>4759</v>
      </c>
      <c r="G1967" s="5" t="str">
        <f>VLOOKUP(C1967,Sheet2!$C$3:$D$12,2,0)</f>
        <v>Variable</v>
      </c>
      <c r="H1967" s="5" t="str">
        <f>IFERROR(VLOOKUP(E1967,Sheet2!$G$3:$H$8,2,0),"unkwon")</f>
        <v>online</v>
      </c>
      <c r="I1967" s="5">
        <f>VLOOKUP(B1967,Sheet2!$J$4:$K$15,2,0)</f>
        <v>4</v>
      </c>
      <c r="J1967" s="5">
        <f>IFERROR(VLOOKUP(C1967,Sheet2!$M$4:$N$12,2,0),0)</f>
        <v>7000</v>
      </c>
      <c r="K1967" s="5" t="str">
        <f t="shared" si="30"/>
        <v>within budget</v>
      </c>
    </row>
    <row r="1968" spans="1:11" x14ac:dyDescent="0.3">
      <c r="A1968" s="6">
        <v>45380</v>
      </c>
      <c r="B1968" s="5" t="s">
        <v>19</v>
      </c>
      <c r="C1968" s="5" t="s">
        <v>10</v>
      </c>
      <c r="D1968" s="5" t="s">
        <v>34</v>
      </c>
      <c r="E1968" s="5" t="s">
        <v>32</v>
      </c>
      <c r="F1968" s="5">
        <v>1111</v>
      </c>
      <c r="G1968" s="5" t="str">
        <f>VLOOKUP(C1968,Sheet2!$C$3:$D$12,2,0)</f>
        <v>Variable</v>
      </c>
      <c r="H1968" s="5" t="str">
        <f>IFERROR(VLOOKUP(E1968,Sheet2!$G$3:$H$8,2,0),"unkwon")</f>
        <v>offline</v>
      </c>
      <c r="I1968" s="5">
        <f>VLOOKUP(B1968,Sheet2!$J$4:$K$15,2,0)</f>
        <v>3</v>
      </c>
      <c r="J1968" s="5">
        <f>IFERROR(VLOOKUP(C1968,Sheet2!$M$4:$N$12,2,0),0)</f>
        <v>5000</v>
      </c>
      <c r="K1968" s="5" t="str">
        <f t="shared" si="30"/>
        <v>within budget</v>
      </c>
    </row>
    <row r="1969" spans="1:11" x14ac:dyDescent="0.3">
      <c r="A1969" s="6">
        <v>45516</v>
      </c>
      <c r="B1969" s="5" t="s">
        <v>25</v>
      </c>
      <c r="C1969" s="5" t="s">
        <v>13</v>
      </c>
      <c r="D1969" s="5" t="s">
        <v>26</v>
      </c>
      <c r="E1969" s="5" t="s">
        <v>32</v>
      </c>
      <c r="F1969" s="5">
        <v>1747</v>
      </c>
      <c r="G1969" s="5" t="str">
        <f>VLOOKUP(C1969,Sheet2!$C$3:$D$12,2,0)</f>
        <v>Variable</v>
      </c>
      <c r="H1969" s="5" t="str">
        <f>IFERROR(VLOOKUP(E1969,Sheet2!$G$3:$H$8,2,0),"unkwon")</f>
        <v>offline</v>
      </c>
      <c r="I1969" s="5">
        <f>VLOOKUP(B1969,Sheet2!$J$4:$K$15,2,0)</f>
        <v>8</v>
      </c>
      <c r="J1969" s="5">
        <f>IFERROR(VLOOKUP(C1969,Sheet2!$M$4:$N$12,2,0),0)</f>
        <v>5000</v>
      </c>
      <c r="K1969" s="5" t="str">
        <f t="shared" si="30"/>
        <v>within budget</v>
      </c>
    </row>
    <row r="1970" spans="1:11" x14ac:dyDescent="0.3">
      <c r="A1970" s="6">
        <v>45538</v>
      </c>
      <c r="B1970" s="5" t="s">
        <v>38</v>
      </c>
      <c r="C1970" s="5" t="s">
        <v>7</v>
      </c>
      <c r="D1970" s="5" t="s">
        <v>31</v>
      </c>
      <c r="E1970" s="5" t="s">
        <v>12</v>
      </c>
      <c r="F1970" s="5">
        <v>2450</v>
      </c>
      <c r="G1970" s="5" t="str">
        <f>VLOOKUP(C1970,Sheet2!$C$3:$D$12,2,0)</f>
        <v>Fixed</v>
      </c>
      <c r="H1970" s="5" t="str">
        <f>IFERROR(VLOOKUP(E1970,Sheet2!$G$3:$H$8,2,0),"unkwon")</f>
        <v>online</v>
      </c>
      <c r="I1970" s="5">
        <f>VLOOKUP(B1970,Sheet2!$J$4:$K$15,2,0)</f>
        <v>9</v>
      </c>
      <c r="J1970" s="5">
        <f>IFERROR(VLOOKUP(C1970,Sheet2!$M$4:$N$12,2,0),0)</f>
        <v>2000</v>
      </c>
      <c r="K1970" s="5" t="str">
        <f t="shared" si="30"/>
        <v>over budget</v>
      </c>
    </row>
    <row r="1971" spans="1:11" x14ac:dyDescent="0.3">
      <c r="A1971" s="6">
        <v>45408</v>
      </c>
      <c r="B1971" s="5" t="s">
        <v>29</v>
      </c>
      <c r="C1971" s="5" t="s">
        <v>35</v>
      </c>
      <c r="D1971" s="5" t="s">
        <v>20</v>
      </c>
      <c r="E1971" s="5" t="s">
        <v>15</v>
      </c>
      <c r="F1971" s="5">
        <v>3487</v>
      </c>
      <c r="G1971" s="5" t="str">
        <f>VLOOKUP(C1971,Sheet2!$C$3:$D$12,2,0)</f>
        <v>Fixed</v>
      </c>
      <c r="H1971" s="5" t="str">
        <f>IFERROR(VLOOKUP(E1971,Sheet2!$G$3:$H$8,2,0),"unkwon")</f>
        <v>online</v>
      </c>
      <c r="I1971" s="5">
        <f>VLOOKUP(B1971,Sheet2!$J$4:$K$15,2,0)</f>
        <v>4</v>
      </c>
      <c r="J1971" s="5">
        <f>IFERROR(VLOOKUP(C1971,Sheet2!$M$4:$N$12,2,0),0)</f>
        <v>5500</v>
      </c>
      <c r="K1971" s="5" t="str">
        <f t="shared" si="30"/>
        <v>within budget</v>
      </c>
    </row>
    <row r="1972" spans="1:11" x14ac:dyDescent="0.3">
      <c r="A1972" s="6">
        <v>45310</v>
      </c>
      <c r="B1972" s="5" t="s">
        <v>37</v>
      </c>
      <c r="C1972" s="5" t="s">
        <v>7</v>
      </c>
      <c r="D1972" s="5" t="s">
        <v>11</v>
      </c>
      <c r="E1972" s="5" t="s">
        <v>17</v>
      </c>
      <c r="F1972" s="5">
        <v>2138</v>
      </c>
      <c r="G1972" s="5" t="str">
        <f>VLOOKUP(C1972,Sheet2!$C$3:$D$12,2,0)</f>
        <v>Fixed</v>
      </c>
      <c r="H1972" s="5" t="str">
        <f>IFERROR(VLOOKUP(E1972,Sheet2!$G$3:$H$8,2,0),"unkwon")</f>
        <v>online</v>
      </c>
      <c r="I1972" s="5">
        <f>VLOOKUP(B1972,Sheet2!$J$4:$K$15,2,0)</f>
        <v>1</v>
      </c>
      <c r="J1972" s="5">
        <f>IFERROR(VLOOKUP(C1972,Sheet2!$M$4:$N$12,2,0),0)</f>
        <v>2000</v>
      </c>
      <c r="K1972" s="5" t="str">
        <f t="shared" si="30"/>
        <v>over budget</v>
      </c>
    </row>
    <row r="1973" spans="1:11" x14ac:dyDescent="0.3">
      <c r="A1973" s="6">
        <v>45420</v>
      </c>
      <c r="B1973" s="5" t="s">
        <v>28</v>
      </c>
      <c r="C1973" s="5" t="s">
        <v>10</v>
      </c>
      <c r="D1973" s="5" t="s">
        <v>31</v>
      </c>
      <c r="E1973" s="5" t="s">
        <v>32</v>
      </c>
      <c r="F1973" s="5">
        <v>702</v>
      </c>
      <c r="G1973" s="5" t="str">
        <f>VLOOKUP(C1973,Sheet2!$C$3:$D$12,2,0)</f>
        <v>Variable</v>
      </c>
      <c r="H1973" s="5" t="str">
        <f>IFERROR(VLOOKUP(E1973,Sheet2!$G$3:$H$8,2,0),"unkwon")</f>
        <v>offline</v>
      </c>
      <c r="I1973" s="5">
        <f>VLOOKUP(B1973,Sheet2!$J$4:$K$15,2,0)</f>
        <v>5</v>
      </c>
      <c r="J1973" s="5">
        <f>IFERROR(VLOOKUP(C1973,Sheet2!$M$4:$N$12,2,0),0)</f>
        <v>5000</v>
      </c>
      <c r="K1973" s="5" t="str">
        <f t="shared" si="30"/>
        <v>within budget</v>
      </c>
    </row>
    <row r="1974" spans="1:11" x14ac:dyDescent="0.3">
      <c r="A1974" s="6">
        <v>45233</v>
      </c>
      <c r="B1974" s="5" t="s">
        <v>40</v>
      </c>
      <c r="C1974" s="5" t="s">
        <v>36</v>
      </c>
      <c r="D1974" s="5" t="s">
        <v>20</v>
      </c>
      <c r="E1974" s="5" t="s">
        <v>32</v>
      </c>
      <c r="F1974" s="5">
        <v>2687</v>
      </c>
      <c r="G1974" s="5" t="str">
        <f>VLOOKUP(C1974,Sheet2!$C$3:$D$12,2,0)</f>
        <v>Variable</v>
      </c>
      <c r="H1974" s="5" t="str">
        <f>IFERROR(VLOOKUP(E1974,Sheet2!$G$3:$H$8,2,0),"unkwon")</f>
        <v>offline</v>
      </c>
      <c r="I1974" s="5">
        <f>VLOOKUP(B1974,Sheet2!$J$4:$K$15,2,0)</f>
        <v>11</v>
      </c>
      <c r="J1974" s="5">
        <f>IFERROR(VLOOKUP(C1974,Sheet2!$M$4:$N$12,2,0),0)</f>
        <v>10000</v>
      </c>
      <c r="K1974" s="5" t="str">
        <f t="shared" si="30"/>
        <v>within budget</v>
      </c>
    </row>
    <row r="1975" spans="1:11" x14ac:dyDescent="0.3">
      <c r="A1975" s="6">
        <v>44975</v>
      </c>
      <c r="B1975" s="5" t="s">
        <v>33</v>
      </c>
      <c r="C1975" s="5" t="s">
        <v>27</v>
      </c>
      <c r="D1975" s="5" t="s">
        <v>18</v>
      </c>
      <c r="E1975" s="5" t="s">
        <v>15</v>
      </c>
      <c r="F1975" s="5">
        <v>2958</v>
      </c>
      <c r="G1975" s="5" t="str">
        <f>VLOOKUP(C1975,Sheet2!$C$3:$D$12,2,0)</f>
        <v>Variable</v>
      </c>
      <c r="H1975" s="5" t="str">
        <f>IFERROR(VLOOKUP(E1975,Sheet2!$G$3:$H$8,2,0),"unkwon")</f>
        <v>online</v>
      </c>
      <c r="I1975" s="5">
        <f>VLOOKUP(B1975,Sheet2!$J$4:$K$15,2,0)</f>
        <v>2</v>
      </c>
      <c r="J1975" s="5">
        <f>IFERROR(VLOOKUP(C1975,Sheet2!$M$4:$N$12,2,0),0)</f>
        <v>4000</v>
      </c>
      <c r="K1975" s="5" t="str">
        <f t="shared" si="30"/>
        <v>within budget</v>
      </c>
    </row>
    <row r="1976" spans="1:11" x14ac:dyDescent="0.3">
      <c r="A1976" s="6">
        <v>45442</v>
      </c>
      <c r="B1976" s="5" t="s">
        <v>28</v>
      </c>
      <c r="C1976" s="5" t="s">
        <v>41</v>
      </c>
      <c r="D1976" s="5" t="s">
        <v>23</v>
      </c>
      <c r="E1976" s="5" t="s">
        <v>17</v>
      </c>
      <c r="F1976" s="5">
        <v>2308</v>
      </c>
      <c r="G1976" s="5" t="str">
        <f>VLOOKUP(C1976,Sheet2!$C$3:$D$12,2,0)</f>
        <v>Variable</v>
      </c>
      <c r="H1976" s="5" t="str">
        <f>IFERROR(VLOOKUP(E1976,Sheet2!$G$3:$H$8,2,0),"unkwon")</f>
        <v>online</v>
      </c>
      <c r="I1976" s="5">
        <f>VLOOKUP(B1976,Sheet2!$J$4:$K$15,2,0)</f>
        <v>5</v>
      </c>
      <c r="J1976" s="5">
        <f>IFERROR(VLOOKUP(C1976,Sheet2!$M$4:$N$12,2,0),0)</f>
        <v>7000</v>
      </c>
      <c r="K1976" s="5" t="str">
        <f t="shared" si="30"/>
        <v>within budget</v>
      </c>
    </row>
    <row r="1977" spans="1:11" x14ac:dyDescent="0.3">
      <c r="A1977" s="6">
        <v>45121</v>
      </c>
      <c r="B1977" s="5" t="s">
        <v>21</v>
      </c>
      <c r="C1977" s="5" t="s">
        <v>10</v>
      </c>
      <c r="D1977" s="5" t="s">
        <v>18</v>
      </c>
      <c r="E1977" s="5" t="s">
        <v>12</v>
      </c>
      <c r="F1977" s="5">
        <v>3659</v>
      </c>
      <c r="G1977" s="5" t="str">
        <f>VLOOKUP(C1977,Sheet2!$C$3:$D$12,2,0)</f>
        <v>Variable</v>
      </c>
      <c r="H1977" s="5" t="str">
        <f>IFERROR(VLOOKUP(E1977,Sheet2!$G$3:$H$8,2,0),"unkwon")</f>
        <v>online</v>
      </c>
      <c r="I1977" s="5">
        <f>VLOOKUP(B1977,Sheet2!$J$4:$K$15,2,0)</f>
        <v>7</v>
      </c>
      <c r="J1977" s="5">
        <f>IFERROR(VLOOKUP(C1977,Sheet2!$M$4:$N$12,2,0),0)</f>
        <v>5000</v>
      </c>
      <c r="K1977" s="5" t="str">
        <f t="shared" si="30"/>
        <v>within budget</v>
      </c>
    </row>
    <row r="1978" spans="1:11" x14ac:dyDescent="0.3">
      <c r="A1978" s="6">
        <v>45317</v>
      </c>
      <c r="B1978" s="5" t="s">
        <v>37</v>
      </c>
      <c r="C1978" s="5" t="s">
        <v>7</v>
      </c>
      <c r="D1978" s="5" t="s">
        <v>34</v>
      </c>
      <c r="E1978" s="5" t="s">
        <v>32</v>
      </c>
      <c r="F1978" s="5">
        <v>3800</v>
      </c>
      <c r="G1978" s="5" t="str">
        <f>VLOOKUP(C1978,Sheet2!$C$3:$D$12,2,0)</f>
        <v>Fixed</v>
      </c>
      <c r="H1978" s="5" t="str">
        <f>IFERROR(VLOOKUP(E1978,Sheet2!$G$3:$H$8,2,0),"unkwon")</f>
        <v>offline</v>
      </c>
      <c r="I1978" s="5">
        <f>VLOOKUP(B1978,Sheet2!$J$4:$K$15,2,0)</f>
        <v>1</v>
      </c>
      <c r="J1978" s="5">
        <f>IFERROR(VLOOKUP(C1978,Sheet2!$M$4:$N$12,2,0),0)</f>
        <v>2000</v>
      </c>
      <c r="K1978" s="5" t="str">
        <f t="shared" si="30"/>
        <v>over budget</v>
      </c>
    </row>
    <row r="1979" spans="1:11" x14ac:dyDescent="0.3">
      <c r="A1979" s="6">
        <v>45633</v>
      </c>
      <c r="B1979" s="5" t="s">
        <v>16</v>
      </c>
      <c r="C1979" s="5" t="s">
        <v>35</v>
      </c>
      <c r="D1979" s="5" t="s">
        <v>14</v>
      </c>
      <c r="E1979" s="5" t="s">
        <v>12</v>
      </c>
      <c r="F1979" s="5">
        <v>2288</v>
      </c>
      <c r="G1979" s="5" t="str">
        <f>VLOOKUP(C1979,Sheet2!$C$3:$D$12,2,0)</f>
        <v>Fixed</v>
      </c>
      <c r="H1979" s="5" t="str">
        <f>IFERROR(VLOOKUP(E1979,Sheet2!$G$3:$H$8,2,0),"unkwon")</f>
        <v>online</v>
      </c>
      <c r="I1979" s="5">
        <f>VLOOKUP(B1979,Sheet2!$J$4:$K$15,2,0)</f>
        <v>12</v>
      </c>
      <c r="J1979" s="5">
        <f>IFERROR(VLOOKUP(C1979,Sheet2!$M$4:$N$12,2,0),0)</f>
        <v>5500</v>
      </c>
      <c r="K1979" s="5" t="str">
        <f t="shared" si="30"/>
        <v>within budget</v>
      </c>
    </row>
    <row r="1980" spans="1:11" x14ac:dyDescent="0.3">
      <c r="A1980" s="6">
        <v>45431</v>
      </c>
      <c r="B1980" s="5" t="s">
        <v>28</v>
      </c>
      <c r="C1980" s="5" t="s">
        <v>7</v>
      </c>
      <c r="D1980" s="5" t="s">
        <v>23</v>
      </c>
      <c r="E1980" s="5" t="s">
        <v>32</v>
      </c>
      <c r="F1980" s="5">
        <v>4272</v>
      </c>
      <c r="G1980" s="5" t="str">
        <f>VLOOKUP(C1980,Sheet2!$C$3:$D$12,2,0)</f>
        <v>Fixed</v>
      </c>
      <c r="H1980" s="5" t="str">
        <f>IFERROR(VLOOKUP(E1980,Sheet2!$G$3:$H$8,2,0),"unkwon")</f>
        <v>offline</v>
      </c>
      <c r="I1980" s="5">
        <f>VLOOKUP(B1980,Sheet2!$J$4:$K$15,2,0)</f>
        <v>5</v>
      </c>
      <c r="J1980" s="5">
        <f>IFERROR(VLOOKUP(C1980,Sheet2!$M$4:$N$12,2,0),0)</f>
        <v>2000</v>
      </c>
      <c r="K1980" s="5" t="str">
        <f t="shared" si="30"/>
        <v>over budget</v>
      </c>
    </row>
    <row r="1981" spans="1:11" x14ac:dyDescent="0.3">
      <c r="A1981" s="6">
        <v>45587</v>
      </c>
      <c r="B1981" s="5" t="s">
        <v>6</v>
      </c>
      <c r="C1981" s="5" t="s">
        <v>41</v>
      </c>
      <c r="D1981" s="5" t="s">
        <v>24</v>
      </c>
      <c r="E1981" s="5" t="s">
        <v>9</v>
      </c>
      <c r="F1981" s="5">
        <v>1687</v>
      </c>
      <c r="G1981" s="5" t="str">
        <f>VLOOKUP(C1981,Sheet2!$C$3:$D$12,2,0)</f>
        <v>Variable</v>
      </c>
      <c r="H1981" s="5" t="str">
        <f>IFERROR(VLOOKUP(E1981,Sheet2!$G$3:$H$8,2,0),"unkwon")</f>
        <v>online</v>
      </c>
      <c r="I1981" s="5">
        <f>VLOOKUP(B1981,Sheet2!$J$4:$K$15,2,0)</f>
        <v>10</v>
      </c>
      <c r="J1981" s="5">
        <f>IFERROR(VLOOKUP(C1981,Sheet2!$M$4:$N$12,2,0),0)</f>
        <v>7000</v>
      </c>
      <c r="K1981" s="5" t="str">
        <f t="shared" si="30"/>
        <v>within budget</v>
      </c>
    </row>
    <row r="1982" spans="1:11" x14ac:dyDescent="0.3">
      <c r="A1982" s="6">
        <v>45322</v>
      </c>
      <c r="B1982" s="5" t="s">
        <v>37</v>
      </c>
      <c r="C1982" s="5" t="s">
        <v>30</v>
      </c>
      <c r="D1982" s="5" t="s">
        <v>8</v>
      </c>
      <c r="E1982" s="5" t="s">
        <v>15</v>
      </c>
      <c r="F1982" s="5">
        <v>2437</v>
      </c>
      <c r="G1982" s="5" t="str">
        <f>VLOOKUP(C1982,Sheet2!$C$3:$D$12,2,0)</f>
        <v>Fixed</v>
      </c>
      <c r="H1982" s="5" t="str">
        <f>IFERROR(VLOOKUP(E1982,Sheet2!$G$3:$H$8,2,0),"unkwon")</f>
        <v>online</v>
      </c>
      <c r="I1982" s="5">
        <f>VLOOKUP(B1982,Sheet2!$J$4:$K$15,2,0)</f>
        <v>1</v>
      </c>
      <c r="J1982" s="5">
        <f>IFERROR(VLOOKUP(C1982,Sheet2!$M$4:$N$12,2,0),0)</f>
        <v>3000</v>
      </c>
      <c r="K1982" s="5" t="str">
        <f t="shared" si="30"/>
        <v>within budget</v>
      </c>
    </row>
    <row r="1983" spans="1:11" x14ac:dyDescent="0.3">
      <c r="A1983" s="6">
        <v>44973</v>
      </c>
      <c r="B1983" s="5" t="s">
        <v>33</v>
      </c>
      <c r="C1983" s="5" t="s">
        <v>10</v>
      </c>
      <c r="D1983" s="5" t="s">
        <v>11</v>
      </c>
      <c r="E1983" s="5" t="s">
        <v>15</v>
      </c>
      <c r="F1983" s="5">
        <v>4279</v>
      </c>
      <c r="G1983" s="5" t="str">
        <f>VLOOKUP(C1983,Sheet2!$C$3:$D$12,2,0)</f>
        <v>Variable</v>
      </c>
      <c r="H1983" s="5" t="str">
        <f>IFERROR(VLOOKUP(E1983,Sheet2!$G$3:$H$8,2,0),"unkwon")</f>
        <v>online</v>
      </c>
      <c r="I1983" s="5">
        <f>VLOOKUP(B1983,Sheet2!$J$4:$K$15,2,0)</f>
        <v>2</v>
      </c>
      <c r="J1983" s="5">
        <f>IFERROR(VLOOKUP(C1983,Sheet2!$M$4:$N$12,2,0),0)</f>
        <v>5000</v>
      </c>
      <c r="K1983" s="5" t="str">
        <f t="shared" si="30"/>
        <v>within budget</v>
      </c>
    </row>
    <row r="1984" spans="1:11" x14ac:dyDescent="0.3">
      <c r="A1984" s="6">
        <v>45126</v>
      </c>
      <c r="B1984" s="5" t="s">
        <v>21</v>
      </c>
      <c r="C1984" s="5" t="s">
        <v>41</v>
      </c>
      <c r="D1984" s="5" t="s">
        <v>11</v>
      </c>
      <c r="E1984" s="5" t="s">
        <v>9</v>
      </c>
      <c r="F1984" s="5">
        <v>2777</v>
      </c>
      <c r="G1984" s="5" t="str">
        <f>VLOOKUP(C1984,Sheet2!$C$3:$D$12,2,0)</f>
        <v>Variable</v>
      </c>
      <c r="H1984" s="5" t="str">
        <f>IFERROR(VLOOKUP(E1984,Sheet2!$G$3:$H$8,2,0),"unkwon")</f>
        <v>online</v>
      </c>
      <c r="I1984" s="5">
        <f>VLOOKUP(B1984,Sheet2!$J$4:$K$15,2,0)</f>
        <v>7</v>
      </c>
      <c r="J1984" s="5">
        <f>IFERROR(VLOOKUP(C1984,Sheet2!$M$4:$N$12,2,0),0)</f>
        <v>7000</v>
      </c>
      <c r="K1984" s="5" t="str">
        <f t="shared" si="30"/>
        <v>within budget</v>
      </c>
    </row>
    <row r="1985" spans="1:11" x14ac:dyDescent="0.3">
      <c r="A1985" s="6">
        <v>45291</v>
      </c>
      <c r="B1985" s="5" t="s">
        <v>16</v>
      </c>
      <c r="C1985" s="5" t="s">
        <v>30</v>
      </c>
      <c r="D1985" s="5" t="s">
        <v>26</v>
      </c>
      <c r="E1985" s="5" t="s">
        <v>12</v>
      </c>
      <c r="F1985" s="5">
        <v>3545</v>
      </c>
      <c r="G1985" s="5" t="str">
        <f>VLOOKUP(C1985,Sheet2!$C$3:$D$12,2,0)</f>
        <v>Fixed</v>
      </c>
      <c r="H1985" s="5" t="str">
        <f>IFERROR(VLOOKUP(E1985,Sheet2!$G$3:$H$8,2,0),"unkwon")</f>
        <v>online</v>
      </c>
      <c r="I1985" s="5">
        <f>VLOOKUP(B1985,Sheet2!$J$4:$K$15,2,0)</f>
        <v>12</v>
      </c>
      <c r="J1985" s="5">
        <f>IFERROR(VLOOKUP(C1985,Sheet2!$M$4:$N$12,2,0),0)</f>
        <v>3000</v>
      </c>
      <c r="K1985" s="5" t="str">
        <f t="shared" si="30"/>
        <v>over budget</v>
      </c>
    </row>
    <row r="1986" spans="1:11" x14ac:dyDescent="0.3">
      <c r="A1986" s="6">
        <v>45129</v>
      </c>
      <c r="B1986" s="5" t="s">
        <v>21</v>
      </c>
      <c r="C1986" s="5" t="s">
        <v>10</v>
      </c>
      <c r="D1986" s="5" t="s">
        <v>18</v>
      </c>
      <c r="E1986" s="5" t="s">
        <v>17</v>
      </c>
      <c r="F1986" s="5">
        <v>2540</v>
      </c>
      <c r="G1986" s="5" t="str">
        <f>VLOOKUP(C1986,Sheet2!$C$3:$D$12,2,0)</f>
        <v>Variable</v>
      </c>
      <c r="H1986" s="5" t="str">
        <f>IFERROR(VLOOKUP(E1986,Sheet2!$G$3:$H$8,2,0),"unkwon")</f>
        <v>online</v>
      </c>
      <c r="I1986" s="5">
        <f>VLOOKUP(B1986,Sheet2!$J$4:$K$15,2,0)</f>
        <v>7</v>
      </c>
      <c r="J1986" s="5">
        <f>IFERROR(VLOOKUP(C1986,Sheet2!$M$4:$N$12,2,0),0)</f>
        <v>5000</v>
      </c>
      <c r="K1986" s="5" t="str">
        <f t="shared" si="30"/>
        <v>within budget</v>
      </c>
    </row>
    <row r="1987" spans="1:11" x14ac:dyDescent="0.3">
      <c r="A1987" s="6">
        <v>45051</v>
      </c>
      <c r="B1987" s="5" t="s">
        <v>28</v>
      </c>
      <c r="C1987" s="5" t="s">
        <v>7</v>
      </c>
      <c r="D1987" s="5" t="s">
        <v>8</v>
      </c>
      <c r="E1987" s="5" t="s">
        <v>17</v>
      </c>
      <c r="F1987" s="5">
        <v>2250</v>
      </c>
      <c r="G1987" s="5" t="str">
        <f>VLOOKUP(C1987,Sheet2!$C$3:$D$12,2,0)</f>
        <v>Fixed</v>
      </c>
      <c r="H1987" s="5" t="str">
        <f>IFERROR(VLOOKUP(E1987,Sheet2!$G$3:$H$8,2,0),"unkwon")</f>
        <v>online</v>
      </c>
      <c r="I1987" s="5">
        <f>VLOOKUP(B1987,Sheet2!$J$4:$K$15,2,0)</f>
        <v>5</v>
      </c>
      <c r="J1987" s="5">
        <f>IFERROR(VLOOKUP(C1987,Sheet2!$M$4:$N$12,2,0),0)</f>
        <v>2000</v>
      </c>
      <c r="K1987" s="5" t="str">
        <f t="shared" ref="K1987:K2050" si="31">IF(F1987&gt;J1987,"over budget","within budget")</f>
        <v>over budget</v>
      </c>
    </row>
    <row r="1988" spans="1:11" x14ac:dyDescent="0.3">
      <c r="A1988" s="6">
        <v>44976</v>
      </c>
      <c r="B1988" s="5" t="s">
        <v>33</v>
      </c>
      <c r="C1988" s="5" t="s">
        <v>7</v>
      </c>
      <c r="D1988" s="5" t="s">
        <v>23</v>
      </c>
      <c r="E1988" s="5" t="s">
        <v>9</v>
      </c>
      <c r="F1988" s="5">
        <v>1828</v>
      </c>
      <c r="G1988" s="5" t="str">
        <f>VLOOKUP(C1988,Sheet2!$C$3:$D$12,2,0)</f>
        <v>Fixed</v>
      </c>
      <c r="H1988" s="5" t="str">
        <f>IFERROR(VLOOKUP(E1988,Sheet2!$G$3:$H$8,2,0),"unkwon")</f>
        <v>online</v>
      </c>
      <c r="I1988" s="5">
        <f>VLOOKUP(B1988,Sheet2!$J$4:$K$15,2,0)</f>
        <v>2</v>
      </c>
      <c r="J1988" s="5">
        <f>IFERROR(VLOOKUP(C1988,Sheet2!$M$4:$N$12,2,0),0)</f>
        <v>2000</v>
      </c>
      <c r="K1988" s="5" t="str">
        <f t="shared" si="31"/>
        <v>within budget</v>
      </c>
    </row>
    <row r="1989" spans="1:11" x14ac:dyDescent="0.3">
      <c r="A1989" s="6">
        <v>45034</v>
      </c>
      <c r="B1989" s="5" t="s">
        <v>29</v>
      </c>
      <c r="C1989" s="5" t="s">
        <v>13</v>
      </c>
      <c r="D1989" s="5" t="s">
        <v>24</v>
      </c>
      <c r="E1989" s="5" t="s">
        <v>32</v>
      </c>
      <c r="F1989" s="5">
        <v>2145</v>
      </c>
      <c r="G1989" s="5" t="str">
        <f>VLOOKUP(C1989,Sheet2!$C$3:$D$12,2,0)</f>
        <v>Variable</v>
      </c>
      <c r="H1989" s="5" t="str">
        <f>IFERROR(VLOOKUP(E1989,Sheet2!$G$3:$H$8,2,0),"unkwon")</f>
        <v>offline</v>
      </c>
      <c r="I1989" s="5">
        <f>VLOOKUP(B1989,Sheet2!$J$4:$K$15,2,0)</f>
        <v>4</v>
      </c>
      <c r="J1989" s="5">
        <f>IFERROR(VLOOKUP(C1989,Sheet2!$M$4:$N$12,2,0),0)</f>
        <v>5000</v>
      </c>
      <c r="K1989" s="5" t="str">
        <f t="shared" si="31"/>
        <v>within budget</v>
      </c>
    </row>
    <row r="1990" spans="1:11" x14ac:dyDescent="0.3">
      <c r="A1990" s="6">
        <v>45263</v>
      </c>
      <c r="B1990" s="5" t="s">
        <v>16</v>
      </c>
      <c r="C1990" s="5" t="s">
        <v>41</v>
      </c>
      <c r="D1990" s="5" t="s">
        <v>8</v>
      </c>
      <c r="E1990" s="5" t="s">
        <v>9</v>
      </c>
      <c r="F1990" s="5">
        <v>4131</v>
      </c>
      <c r="G1990" s="5" t="str">
        <f>VLOOKUP(C1990,Sheet2!$C$3:$D$12,2,0)</f>
        <v>Variable</v>
      </c>
      <c r="H1990" s="5" t="str">
        <f>IFERROR(VLOOKUP(E1990,Sheet2!$G$3:$H$8,2,0),"unkwon")</f>
        <v>online</v>
      </c>
      <c r="I1990" s="5">
        <f>VLOOKUP(B1990,Sheet2!$J$4:$K$15,2,0)</f>
        <v>12</v>
      </c>
      <c r="J1990" s="5">
        <f>IFERROR(VLOOKUP(C1990,Sheet2!$M$4:$N$12,2,0),0)</f>
        <v>7000</v>
      </c>
      <c r="K1990" s="5" t="str">
        <f t="shared" si="31"/>
        <v>within budget</v>
      </c>
    </row>
    <row r="1991" spans="1:11" x14ac:dyDescent="0.3">
      <c r="A1991" s="6">
        <v>45121</v>
      </c>
      <c r="B1991" s="5" t="s">
        <v>21</v>
      </c>
      <c r="C1991" s="5" t="s">
        <v>35</v>
      </c>
      <c r="D1991" s="5" t="s">
        <v>18</v>
      </c>
      <c r="E1991" s="5" t="s">
        <v>32</v>
      </c>
      <c r="F1991" s="5">
        <v>2081</v>
      </c>
      <c r="G1991" s="5" t="str">
        <f>VLOOKUP(C1991,Sheet2!$C$3:$D$12,2,0)</f>
        <v>Fixed</v>
      </c>
      <c r="H1991" s="5" t="str">
        <f>IFERROR(VLOOKUP(E1991,Sheet2!$G$3:$H$8,2,0),"unkwon")</f>
        <v>offline</v>
      </c>
      <c r="I1991" s="5">
        <f>VLOOKUP(B1991,Sheet2!$J$4:$K$15,2,0)</f>
        <v>7</v>
      </c>
      <c r="J1991" s="5">
        <f>IFERROR(VLOOKUP(C1991,Sheet2!$M$4:$N$12,2,0),0)</f>
        <v>5500</v>
      </c>
      <c r="K1991" s="5" t="str">
        <f t="shared" si="31"/>
        <v>within budget</v>
      </c>
    </row>
    <row r="1992" spans="1:11" x14ac:dyDescent="0.3">
      <c r="A1992" s="6">
        <v>45127</v>
      </c>
      <c r="B1992" s="5" t="s">
        <v>21</v>
      </c>
      <c r="C1992" s="5" t="s">
        <v>27</v>
      </c>
      <c r="D1992" s="5" t="s">
        <v>23</v>
      </c>
      <c r="E1992" s="5" t="s">
        <v>32</v>
      </c>
      <c r="F1992" s="5">
        <v>4739</v>
      </c>
      <c r="G1992" s="5" t="str">
        <f>VLOOKUP(C1992,Sheet2!$C$3:$D$12,2,0)</f>
        <v>Variable</v>
      </c>
      <c r="H1992" s="5" t="str">
        <f>IFERROR(VLOOKUP(E1992,Sheet2!$G$3:$H$8,2,0),"unkwon")</f>
        <v>offline</v>
      </c>
      <c r="I1992" s="5">
        <f>VLOOKUP(B1992,Sheet2!$J$4:$K$15,2,0)</f>
        <v>7</v>
      </c>
      <c r="J1992" s="5">
        <f>IFERROR(VLOOKUP(C1992,Sheet2!$M$4:$N$12,2,0),0)</f>
        <v>4000</v>
      </c>
      <c r="K1992" s="5" t="str">
        <f t="shared" si="31"/>
        <v>over budget</v>
      </c>
    </row>
    <row r="1993" spans="1:11" x14ac:dyDescent="0.3">
      <c r="A1993" s="6">
        <v>45122</v>
      </c>
      <c r="B1993" s="5" t="s">
        <v>21</v>
      </c>
      <c r="C1993" s="5" t="s">
        <v>35</v>
      </c>
      <c r="D1993" s="5" t="s">
        <v>14</v>
      </c>
      <c r="E1993" s="5" t="s">
        <v>17</v>
      </c>
      <c r="F1993" s="5">
        <v>3429</v>
      </c>
      <c r="G1993" s="5" t="str">
        <f>VLOOKUP(C1993,Sheet2!$C$3:$D$12,2,0)</f>
        <v>Fixed</v>
      </c>
      <c r="H1993" s="5" t="str">
        <f>IFERROR(VLOOKUP(E1993,Sheet2!$G$3:$H$8,2,0),"unkwon")</f>
        <v>online</v>
      </c>
      <c r="I1993" s="5">
        <f>VLOOKUP(B1993,Sheet2!$J$4:$K$15,2,0)</f>
        <v>7</v>
      </c>
      <c r="J1993" s="5">
        <f>IFERROR(VLOOKUP(C1993,Sheet2!$M$4:$N$12,2,0),0)</f>
        <v>5500</v>
      </c>
      <c r="K1993" s="5" t="str">
        <f t="shared" si="31"/>
        <v>within budget</v>
      </c>
    </row>
    <row r="1994" spans="1:11" x14ac:dyDescent="0.3">
      <c r="A1994" s="6">
        <v>45153</v>
      </c>
      <c r="B1994" s="5" t="s">
        <v>25</v>
      </c>
      <c r="C1994" s="5" t="s">
        <v>35</v>
      </c>
      <c r="D1994" s="5" t="s">
        <v>18</v>
      </c>
      <c r="E1994" s="5" t="s">
        <v>17</v>
      </c>
      <c r="F1994" s="5">
        <v>2844</v>
      </c>
      <c r="G1994" s="5" t="str">
        <f>VLOOKUP(C1994,Sheet2!$C$3:$D$12,2,0)</f>
        <v>Fixed</v>
      </c>
      <c r="H1994" s="5" t="str">
        <f>IFERROR(VLOOKUP(E1994,Sheet2!$G$3:$H$8,2,0),"unkwon")</f>
        <v>online</v>
      </c>
      <c r="I1994" s="5">
        <f>VLOOKUP(B1994,Sheet2!$J$4:$K$15,2,0)</f>
        <v>8</v>
      </c>
      <c r="J1994" s="5">
        <f>IFERROR(VLOOKUP(C1994,Sheet2!$M$4:$N$12,2,0),0)</f>
        <v>5500</v>
      </c>
      <c r="K1994" s="5" t="str">
        <f t="shared" si="31"/>
        <v>within budget</v>
      </c>
    </row>
    <row r="1995" spans="1:11" x14ac:dyDescent="0.3">
      <c r="A1995" s="6">
        <v>45609</v>
      </c>
      <c r="B1995" s="5" t="s">
        <v>40</v>
      </c>
      <c r="C1995" s="5" t="s">
        <v>35</v>
      </c>
      <c r="D1995" s="5" t="s">
        <v>8</v>
      </c>
      <c r="E1995" s="5" t="s">
        <v>15</v>
      </c>
      <c r="F1995" s="5">
        <v>3416</v>
      </c>
      <c r="G1995" s="5" t="str">
        <f>VLOOKUP(C1995,Sheet2!$C$3:$D$12,2,0)</f>
        <v>Fixed</v>
      </c>
      <c r="H1995" s="5" t="str">
        <f>IFERROR(VLOOKUP(E1995,Sheet2!$G$3:$H$8,2,0),"unkwon")</f>
        <v>online</v>
      </c>
      <c r="I1995" s="5">
        <f>VLOOKUP(B1995,Sheet2!$J$4:$K$15,2,0)</f>
        <v>11</v>
      </c>
      <c r="J1995" s="5">
        <f>IFERROR(VLOOKUP(C1995,Sheet2!$M$4:$N$12,2,0),0)</f>
        <v>5500</v>
      </c>
      <c r="K1995" s="5" t="str">
        <f t="shared" si="31"/>
        <v>within budget</v>
      </c>
    </row>
    <row r="1996" spans="1:11" x14ac:dyDescent="0.3">
      <c r="A1996" s="6">
        <v>45414</v>
      </c>
      <c r="B1996" s="5" t="s">
        <v>28</v>
      </c>
      <c r="C1996" s="5" t="s">
        <v>36</v>
      </c>
      <c r="D1996" s="5" t="s">
        <v>31</v>
      </c>
      <c r="E1996" s="5" t="s">
        <v>17</v>
      </c>
      <c r="F1996" s="5">
        <v>192</v>
      </c>
      <c r="G1996" s="5" t="str">
        <f>VLOOKUP(C1996,Sheet2!$C$3:$D$12,2,0)</f>
        <v>Variable</v>
      </c>
      <c r="H1996" s="5" t="str">
        <f>IFERROR(VLOOKUP(E1996,Sheet2!$G$3:$H$8,2,0),"unkwon")</f>
        <v>online</v>
      </c>
      <c r="I1996" s="5">
        <f>VLOOKUP(B1996,Sheet2!$J$4:$K$15,2,0)</f>
        <v>5</v>
      </c>
      <c r="J1996" s="5">
        <f>IFERROR(VLOOKUP(C1996,Sheet2!$M$4:$N$12,2,0),0)</f>
        <v>10000</v>
      </c>
      <c r="K1996" s="5" t="str">
        <f t="shared" si="31"/>
        <v>within budget</v>
      </c>
    </row>
    <row r="1997" spans="1:11" x14ac:dyDescent="0.3">
      <c r="A1997" s="6">
        <v>45069</v>
      </c>
      <c r="B1997" s="5" t="s">
        <v>28</v>
      </c>
      <c r="C1997" s="5" t="s">
        <v>27</v>
      </c>
      <c r="D1997" s="5" t="s">
        <v>20</v>
      </c>
      <c r="E1997" s="5" t="s">
        <v>12</v>
      </c>
      <c r="F1997" s="5">
        <v>4745</v>
      </c>
      <c r="G1997" s="5" t="str">
        <f>VLOOKUP(C1997,Sheet2!$C$3:$D$12,2,0)</f>
        <v>Variable</v>
      </c>
      <c r="H1997" s="5" t="str">
        <f>IFERROR(VLOOKUP(E1997,Sheet2!$G$3:$H$8,2,0),"unkwon")</f>
        <v>online</v>
      </c>
      <c r="I1997" s="5">
        <f>VLOOKUP(B1997,Sheet2!$J$4:$K$15,2,0)</f>
        <v>5</v>
      </c>
      <c r="J1997" s="5">
        <f>IFERROR(VLOOKUP(C1997,Sheet2!$M$4:$N$12,2,0),0)</f>
        <v>4000</v>
      </c>
      <c r="K1997" s="5" t="str">
        <f t="shared" si="31"/>
        <v>over budget</v>
      </c>
    </row>
    <row r="1998" spans="1:11" x14ac:dyDescent="0.3">
      <c r="A1998" s="6">
        <v>45476</v>
      </c>
      <c r="B1998" s="5" t="s">
        <v>21</v>
      </c>
      <c r="C1998" s="5" t="s">
        <v>41</v>
      </c>
      <c r="D1998" s="5" t="s">
        <v>20</v>
      </c>
      <c r="E1998" s="5" t="s">
        <v>12</v>
      </c>
      <c r="F1998" s="5">
        <v>4920</v>
      </c>
      <c r="G1998" s="5" t="str">
        <f>VLOOKUP(C1998,Sheet2!$C$3:$D$12,2,0)</f>
        <v>Variable</v>
      </c>
      <c r="H1998" s="5" t="str">
        <f>IFERROR(VLOOKUP(E1998,Sheet2!$G$3:$H$8,2,0),"unkwon")</f>
        <v>online</v>
      </c>
      <c r="I1998" s="5">
        <f>VLOOKUP(B1998,Sheet2!$J$4:$K$15,2,0)</f>
        <v>7</v>
      </c>
      <c r="J1998" s="5">
        <f>IFERROR(VLOOKUP(C1998,Sheet2!$M$4:$N$12,2,0),0)</f>
        <v>7000</v>
      </c>
      <c r="K1998" s="5" t="str">
        <f t="shared" si="31"/>
        <v>within budget</v>
      </c>
    </row>
    <row r="1999" spans="1:11" x14ac:dyDescent="0.3">
      <c r="A1999" s="6">
        <v>45106</v>
      </c>
      <c r="B1999" s="5" t="s">
        <v>39</v>
      </c>
      <c r="C1999" s="5" t="s">
        <v>13</v>
      </c>
      <c r="D1999" s="5" t="s">
        <v>34</v>
      </c>
      <c r="E1999" s="5" t="s">
        <v>9</v>
      </c>
      <c r="F1999" s="5">
        <v>4534</v>
      </c>
      <c r="G1999" s="5" t="str">
        <f>VLOOKUP(C1999,Sheet2!$C$3:$D$12,2,0)</f>
        <v>Variable</v>
      </c>
      <c r="H1999" s="5" t="str">
        <f>IFERROR(VLOOKUP(E1999,Sheet2!$G$3:$H$8,2,0),"unkwon")</f>
        <v>online</v>
      </c>
      <c r="I1999" s="5">
        <f>VLOOKUP(B1999,Sheet2!$J$4:$K$15,2,0)</f>
        <v>6</v>
      </c>
      <c r="J1999" s="5">
        <f>IFERROR(VLOOKUP(C1999,Sheet2!$M$4:$N$12,2,0),0)</f>
        <v>5000</v>
      </c>
      <c r="K1999" s="5" t="str">
        <f t="shared" si="31"/>
        <v>within budget</v>
      </c>
    </row>
    <row r="2000" spans="1:11" x14ac:dyDescent="0.3">
      <c r="A2000" s="6">
        <v>45179</v>
      </c>
      <c r="B2000" s="5" t="s">
        <v>38</v>
      </c>
      <c r="C2000" s="5" t="s">
        <v>35</v>
      </c>
      <c r="D2000" s="5" t="s">
        <v>23</v>
      </c>
      <c r="E2000" s="5" t="s">
        <v>15</v>
      </c>
      <c r="F2000" s="5">
        <v>350</v>
      </c>
      <c r="G2000" s="5" t="str">
        <f>VLOOKUP(C2000,Sheet2!$C$3:$D$12,2,0)</f>
        <v>Fixed</v>
      </c>
      <c r="H2000" s="5" t="str">
        <f>IFERROR(VLOOKUP(E2000,Sheet2!$G$3:$H$8,2,0),"unkwon")</f>
        <v>online</v>
      </c>
      <c r="I2000" s="5">
        <f>VLOOKUP(B2000,Sheet2!$J$4:$K$15,2,0)</f>
        <v>9</v>
      </c>
      <c r="J2000" s="5">
        <f>IFERROR(VLOOKUP(C2000,Sheet2!$M$4:$N$12,2,0),0)</f>
        <v>5500</v>
      </c>
      <c r="K2000" s="5" t="str">
        <f t="shared" si="31"/>
        <v>within budget</v>
      </c>
    </row>
    <row r="2001" spans="1:11" x14ac:dyDescent="0.3">
      <c r="A2001" s="6">
        <v>45527</v>
      </c>
      <c r="B2001" s="5" t="s">
        <v>25</v>
      </c>
      <c r="C2001" s="5" t="s">
        <v>41</v>
      </c>
      <c r="D2001" s="5" t="s">
        <v>26</v>
      </c>
      <c r="E2001" s="5" t="s">
        <v>17</v>
      </c>
      <c r="F2001" s="5">
        <v>2226</v>
      </c>
      <c r="G2001" s="5" t="str">
        <f>VLOOKUP(C2001,Sheet2!$C$3:$D$12,2,0)</f>
        <v>Variable</v>
      </c>
      <c r="H2001" s="5" t="str">
        <f>IFERROR(VLOOKUP(E2001,Sheet2!$G$3:$H$8,2,0),"unkwon")</f>
        <v>online</v>
      </c>
      <c r="I2001" s="5">
        <f>VLOOKUP(B2001,Sheet2!$J$4:$K$15,2,0)</f>
        <v>8</v>
      </c>
      <c r="J2001" s="5">
        <f>IFERROR(VLOOKUP(C2001,Sheet2!$M$4:$N$12,2,0),0)</f>
        <v>7000</v>
      </c>
      <c r="K2001" s="5" t="str">
        <f t="shared" si="31"/>
        <v>within budget</v>
      </c>
    </row>
    <row r="2002" spans="1:11" x14ac:dyDescent="0.3">
      <c r="A2002" s="6">
        <v>45211</v>
      </c>
      <c r="B2002" s="5" t="s">
        <v>6</v>
      </c>
      <c r="C2002" s="5" t="s">
        <v>7</v>
      </c>
      <c r="D2002" s="5" t="s">
        <v>23</v>
      </c>
      <c r="E2002" s="5" t="s">
        <v>32</v>
      </c>
      <c r="F2002" s="5">
        <v>802</v>
      </c>
      <c r="G2002" s="5" t="str">
        <f>VLOOKUP(C2002,Sheet2!$C$3:$D$12,2,0)</f>
        <v>Fixed</v>
      </c>
      <c r="H2002" s="5" t="str">
        <f>IFERROR(VLOOKUP(E2002,Sheet2!$G$3:$H$8,2,0),"unkwon")</f>
        <v>offline</v>
      </c>
      <c r="I2002" s="5">
        <f>VLOOKUP(B2002,Sheet2!$J$4:$K$15,2,0)</f>
        <v>10</v>
      </c>
      <c r="J2002" s="5">
        <f>IFERROR(VLOOKUP(C2002,Sheet2!$M$4:$N$12,2,0),0)</f>
        <v>2000</v>
      </c>
      <c r="K2002" s="5" t="str">
        <f t="shared" si="31"/>
        <v>within budget</v>
      </c>
    </row>
    <row r="2003" spans="1:11" x14ac:dyDescent="0.3">
      <c r="A2003" s="6">
        <v>44989</v>
      </c>
      <c r="B2003" s="5" t="s">
        <v>19</v>
      </c>
      <c r="C2003" s="5" t="s">
        <v>22</v>
      </c>
      <c r="D2003" s="5" t="s">
        <v>18</v>
      </c>
      <c r="E2003" s="5" t="s">
        <v>15</v>
      </c>
      <c r="F2003" s="5">
        <v>4041</v>
      </c>
      <c r="G2003" s="5" t="str">
        <f>VLOOKUP(C2003,Sheet2!$C$3:$D$12,2,0)</f>
        <v>Variable</v>
      </c>
      <c r="H2003" s="5" t="str">
        <f>IFERROR(VLOOKUP(E2003,Sheet2!$G$3:$H$8,2,0),"unkwon")</f>
        <v>online</v>
      </c>
      <c r="I2003" s="5">
        <f>VLOOKUP(B2003,Sheet2!$J$4:$K$15,2,0)</f>
        <v>3</v>
      </c>
      <c r="J2003" s="5">
        <f>IFERROR(VLOOKUP(C2003,Sheet2!$M$4:$N$12,2,0),0)</f>
        <v>1000</v>
      </c>
      <c r="K2003" s="5" t="str">
        <f t="shared" si="31"/>
        <v>over budget</v>
      </c>
    </row>
    <row r="2004" spans="1:11" x14ac:dyDescent="0.3">
      <c r="A2004" s="6">
        <v>45107</v>
      </c>
      <c r="B2004" s="5" t="s">
        <v>39</v>
      </c>
      <c r="C2004" s="5" t="s">
        <v>35</v>
      </c>
      <c r="D2004" s="5" t="s">
        <v>8</v>
      </c>
      <c r="E2004" s="5" t="s">
        <v>32</v>
      </c>
      <c r="F2004" s="5">
        <v>611</v>
      </c>
      <c r="G2004" s="5" t="str">
        <f>VLOOKUP(C2004,Sheet2!$C$3:$D$12,2,0)</f>
        <v>Fixed</v>
      </c>
      <c r="H2004" s="5" t="str">
        <f>IFERROR(VLOOKUP(E2004,Sheet2!$G$3:$H$8,2,0),"unkwon")</f>
        <v>offline</v>
      </c>
      <c r="I2004" s="5">
        <f>VLOOKUP(B2004,Sheet2!$J$4:$K$15,2,0)</f>
        <v>6</v>
      </c>
      <c r="J2004" s="5">
        <f>IFERROR(VLOOKUP(C2004,Sheet2!$M$4:$N$12,2,0),0)</f>
        <v>5500</v>
      </c>
      <c r="K2004" s="5" t="str">
        <f t="shared" si="31"/>
        <v>within budget</v>
      </c>
    </row>
    <row r="2005" spans="1:11" x14ac:dyDescent="0.3">
      <c r="A2005" s="6">
        <v>45240</v>
      </c>
      <c r="B2005" s="5" t="s">
        <v>40</v>
      </c>
      <c r="C2005" s="5" t="s">
        <v>10</v>
      </c>
      <c r="D2005" s="5" t="s">
        <v>26</v>
      </c>
      <c r="E2005" s="5" t="s">
        <v>32</v>
      </c>
      <c r="F2005" s="5">
        <v>1835</v>
      </c>
      <c r="G2005" s="5" t="str">
        <f>VLOOKUP(C2005,Sheet2!$C$3:$D$12,2,0)</f>
        <v>Variable</v>
      </c>
      <c r="H2005" s="5" t="str">
        <f>IFERROR(VLOOKUP(E2005,Sheet2!$G$3:$H$8,2,0),"unkwon")</f>
        <v>offline</v>
      </c>
      <c r="I2005" s="5">
        <f>VLOOKUP(B2005,Sheet2!$J$4:$K$15,2,0)</f>
        <v>11</v>
      </c>
      <c r="J2005" s="5">
        <f>IFERROR(VLOOKUP(C2005,Sheet2!$M$4:$N$12,2,0),0)</f>
        <v>5000</v>
      </c>
      <c r="K2005" s="5" t="str">
        <f t="shared" si="31"/>
        <v>within budget</v>
      </c>
    </row>
    <row r="2006" spans="1:11" x14ac:dyDescent="0.3">
      <c r="A2006" s="6">
        <v>45258</v>
      </c>
      <c r="B2006" s="5" t="s">
        <v>40</v>
      </c>
      <c r="C2006" s="5" t="s">
        <v>36</v>
      </c>
      <c r="D2006" s="5" t="s">
        <v>14</v>
      </c>
      <c r="E2006" s="5" t="s">
        <v>32</v>
      </c>
      <c r="F2006" s="5">
        <v>2228</v>
      </c>
      <c r="G2006" s="5" t="str">
        <f>VLOOKUP(C2006,Sheet2!$C$3:$D$12,2,0)</f>
        <v>Variable</v>
      </c>
      <c r="H2006" s="5" t="str">
        <f>IFERROR(VLOOKUP(E2006,Sheet2!$G$3:$H$8,2,0),"unkwon")</f>
        <v>offline</v>
      </c>
      <c r="I2006" s="5">
        <f>VLOOKUP(B2006,Sheet2!$J$4:$K$15,2,0)</f>
        <v>11</v>
      </c>
      <c r="J2006" s="5">
        <f>IFERROR(VLOOKUP(C2006,Sheet2!$M$4:$N$12,2,0),0)</f>
        <v>10000</v>
      </c>
      <c r="K2006" s="5" t="str">
        <f t="shared" si="31"/>
        <v>within budget</v>
      </c>
    </row>
    <row r="2007" spans="1:11" x14ac:dyDescent="0.3">
      <c r="A2007" s="6">
        <v>45200</v>
      </c>
      <c r="B2007" s="5" t="s">
        <v>6</v>
      </c>
      <c r="C2007" s="5" t="s">
        <v>10</v>
      </c>
      <c r="D2007" s="5" t="s">
        <v>26</v>
      </c>
      <c r="E2007" s="5" t="s">
        <v>32</v>
      </c>
      <c r="F2007" s="5">
        <v>4236</v>
      </c>
      <c r="G2007" s="5" t="str">
        <f>VLOOKUP(C2007,Sheet2!$C$3:$D$12,2,0)</f>
        <v>Variable</v>
      </c>
      <c r="H2007" s="5" t="str">
        <f>IFERROR(VLOOKUP(E2007,Sheet2!$G$3:$H$8,2,0),"unkwon")</f>
        <v>offline</v>
      </c>
      <c r="I2007" s="5">
        <f>VLOOKUP(B2007,Sheet2!$J$4:$K$15,2,0)</f>
        <v>10</v>
      </c>
      <c r="J2007" s="5">
        <f>IFERROR(VLOOKUP(C2007,Sheet2!$M$4:$N$12,2,0),0)</f>
        <v>5000</v>
      </c>
      <c r="K2007" s="5" t="str">
        <f t="shared" si="31"/>
        <v>within budget</v>
      </c>
    </row>
    <row r="2008" spans="1:11" x14ac:dyDescent="0.3">
      <c r="A2008" s="6">
        <v>45084</v>
      </c>
      <c r="B2008" s="5" t="s">
        <v>39</v>
      </c>
      <c r="C2008" s="5" t="s">
        <v>22</v>
      </c>
      <c r="D2008" s="5" t="s">
        <v>34</v>
      </c>
      <c r="E2008" s="5" t="s">
        <v>32</v>
      </c>
      <c r="F2008" s="5">
        <v>3550</v>
      </c>
      <c r="G2008" s="5" t="str">
        <f>VLOOKUP(C2008,Sheet2!$C$3:$D$12,2,0)</f>
        <v>Variable</v>
      </c>
      <c r="H2008" s="5" t="str">
        <f>IFERROR(VLOOKUP(E2008,Sheet2!$G$3:$H$8,2,0),"unkwon")</f>
        <v>offline</v>
      </c>
      <c r="I2008" s="5">
        <f>VLOOKUP(B2008,Sheet2!$J$4:$K$15,2,0)</f>
        <v>6</v>
      </c>
      <c r="J2008" s="5">
        <f>IFERROR(VLOOKUP(C2008,Sheet2!$M$4:$N$12,2,0),0)</f>
        <v>1000</v>
      </c>
      <c r="K2008" s="5" t="str">
        <f t="shared" si="31"/>
        <v>over budget</v>
      </c>
    </row>
    <row r="2009" spans="1:11" x14ac:dyDescent="0.3">
      <c r="A2009" s="6">
        <v>45216</v>
      </c>
      <c r="B2009" s="5" t="s">
        <v>6</v>
      </c>
      <c r="C2009" s="5" t="s">
        <v>36</v>
      </c>
      <c r="D2009" s="5" t="s">
        <v>18</v>
      </c>
      <c r="E2009" s="5" t="s">
        <v>15</v>
      </c>
      <c r="F2009" s="5">
        <v>3178</v>
      </c>
      <c r="G2009" s="5" t="str">
        <f>VLOOKUP(C2009,Sheet2!$C$3:$D$12,2,0)</f>
        <v>Variable</v>
      </c>
      <c r="H2009" s="5" t="str">
        <f>IFERROR(VLOOKUP(E2009,Sheet2!$G$3:$H$8,2,0),"unkwon")</f>
        <v>online</v>
      </c>
      <c r="I2009" s="5">
        <f>VLOOKUP(B2009,Sheet2!$J$4:$K$15,2,0)</f>
        <v>10</v>
      </c>
      <c r="J2009" s="5">
        <f>IFERROR(VLOOKUP(C2009,Sheet2!$M$4:$N$12,2,0),0)</f>
        <v>10000</v>
      </c>
      <c r="K2009" s="5" t="str">
        <f t="shared" si="31"/>
        <v>within budget</v>
      </c>
    </row>
    <row r="2010" spans="1:11" x14ac:dyDescent="0.3">
      <c r="A2010" s="6">
        <v>45634</v>
      </c>
      <c r="B2010" s="5" t="s">
        <v>16</v>
      </c>
      <c r="C2010" s="5" t="s">
        <v>41</v>
      </c>
      <c r="D2010" s="5" t="s">
        <v>24</v>
      </c>
      <c r="E2010" s="5" t="s">
        <v>17</v>
      </c>
      <c r="F2010" s="5">
        <v>2005</v>
      </c>
      <c r="G2010" s="5" t="str">
        <f>VLOOKUP(C2010,Sheet2!$C$3:$D$12,2,0)</f>
        <v>Variable</v>
      </c>
      <c r="H2010" s="5" t="str">
        <f>IFERROR(VLOOKUP(E2010,Sheet2!$G$3:$H$8,2,0),"unkwon")</f>
        <v>online</v>
      </c>
      <c r="I2010" s="5">
        <f>VLOOKUP(B2010,Sheet2!$J$4:$K$15,2,0)</f>
        <v>12</v>
      </c>
      <c r="J2010" s="5">
        <f>IFERROR(VLOOKUP(C2010,Sheet2!$M$4:$N$12,2,0),0)</f>
        <v>7000</v>
      </c>
      <c r="K2010" s="5" t="str">
        <f t="shared" si="31"/>
        <v>within budget</v>
      </c>
    </row>
    <row r="2011" spans="1:11" x14ac:dyDescent="0.3">
      <c r="A2011" s="6">
        <v>45531</v>
      </c>
      <c r="B2011" s="5" t="s">
        <v>25</v>
      </c>
      <c r="C2011" s="5" t="s">
        <v>10</v>
      </c>
      <c r="D2011" s="5" t="s">
        <v>34</v>
      </c>
      <c r="E2011" s="5" t="s">
        <v>9</v>
      </c>
      <c r="F2011" s="5">
        <v>4756</v>
      </c>
      <c r="G2011" s="5" t="str">
        <f>VLOOKUP(C2011,Sheet2!$C$3:$D$12,2,0)</f>
        <v>Variable</v>
      </c>
      <c r="H2011" s="5" t="str">
        <f>IFERROR(VLOOKUP(E2011,Sheet2!$G$3:$H$8,2,0),"unkwon")</f>
        <v>online</v>
      </c>
      <c r="I2011" s="5">
        <f>VLOOKUP(B2011,Sheet2!$J$4:$K$15,2,0)</f>
        <v>8</v>
      </c>
      <c r="J2011" s="5">
        <f>IFERROR(VLOOKUP(C2011,Sheet2!$M$4:$N$12,2,0),0)</f>
        <v>5000</v>
      </c>
      <c r="K2011" s="5" t="str">
        <f t="shared" si="31"/>
        <v>within budget</v>
      </c>
    </row>
    <row r="2012" spans="1:11" x14ac:dyDescent="0.3">
      <c r="A2012" s="6">
        <v>45642</v>
      </c>
      <c r="B2012" s="5" t="s">
        <v>16</v>
      </c>
      <c r="C2012" s="5" t="s">
        <v>35</v>
      </c>
      <c r="D2012" s="5" t="s">
        <v>24</v>
      </c>
      <c r="E2012" s="5" t="s">
        <v>12</v>
      </c>
      <c r="F2012" s="5">
        <v>3273</v>
      </c>
      <c r="G2012" s="5" t="str">
        <f>VLOOKUP(C2012,Sheet2!$C$3:$D$12,2,0)</f>
        <v>Fixed</v>
      </c>
      <c r="H2012" s="5" t="str">
        <f>IFERROR(VLOOKUP(E2012,Sheet2!$G$3:$H$8,2,0),"unkwon")</f>
        <v>online</v>
      </c>
      <c r="I2012" s="5">
        <f>VLOOKUP(B2012,Sheet2!$J$4:$K$15,2,0)</f>
        <v>12</v>
      </c>
      <c r="J2012" s="5">
        <f>IFERROR(VLOOKUP(C2012,Sheet2!$M$4:$N$12,2,0),0)</f>
        <v>5500</v>
      </c>
      <c r="K2012" s="5" t="str">
        <f t="shared" si="31"/>
        <v>within budget</v>
      </c>
    </row>
    <row r="2013" spans="1:11" x14ac:dyDescent="0.3">
      <c r="A2013" s="6">
        <v>44948</v>
      </c>
      <c r="B2013" s="5" t="s">
        <v>37</v>
      </c>
      <c r="C2013" s="5" t="s">
        <v>13</v>
      </c>
      <c r="D2013" s="5" t="s">
        <v>8</v>
      </c>
      <c r="E2013" s="5" t="s">
        <v>32</v>
      </c>
      <c r="F2013" s="5">
        <v>3763</v>
      </c>
      <c r="G2013" s="5" t="str">
        <f>VLOOKUP(C2013,Sheet2!$C$3:$D$12,2,0)</f>
        <v>Variable</v>
      </c>
      <c r="H2013" s="5" t="str">
        <f>IFERROR(VLOOKUP(E2013,Sheet2!$G$3:$H$8,2,0),"unkwon")</f>
        <v>offline</v>
      </c>
      <c r="I2013" s="5">
        <f>VLOOKUP(B2013,Sheet2!$J$4:$K$15,2,0)</f>
        <v>1</v>
      </c>
      <c r="J2013" s="5">
        <f>IFERROR(VLOOKUP(C2013,Sheet2!$M$4:$N$12,2,0),0)</f>
        <v>5000</v>
      </c>
      <c r="K2013" s="5" t="str">
        <f t="shared" si="31"/>
        <v>within budget</v>
      </c>
    </row>
    <row r="2014" spans="1:11" x14ac:dyDescent="0.3">
      <c r="A2014" s="6">
        <v>45384</v>
      </c>
      <c r="B2014" s="5" t="s">
        <v>29</v>
      </c>
      <c r="C2014" s="5" t="s">
        <v>22</v>
      </c>
      <c r="D2014" s="5" t="s">
        <v>31</v>
      </c>
      <c r="E2014" s="5" t="s">
        <v>17</v>
      </c>
      <c r="F2014" s="5">
        <v>3737</v>
      </c>
      <c r="G2014" s="5" t="str">
        <f>VLOOKUP(C2014,Sheet2!$C$3:$D$12,2,0)</f>
        <v>Variable</v>
      </c>
      <c r="H2014" s="5" t="str">
        <f>IFERROR(VLOOKUP(E2014,Sheet2!$G$3:$H$8,2,0),"unkwon")</f>
        <v>online</v>
      </c>
      <c r="I2014" s="5">
        <f>VLOOKUP(B2014,Sheet2!$J$4:$K$15,2,0)</f>
        <v>4</v>
      </c>
      <c r="J2014" s="5">
        <f>IFERROR(VLOOKUP(C2014,Sheet2!$M$4:$N$12,2,0),0)</f>
        <v>1000</v>
      </c>
      <c r="K2014" s="5" t="str">
        <f t="shared" si="31"/>
        <v>over budget</v>
      </c>
    </row>
    <row r="2015" spans="1:11" x14ac:dyDescent="0.3">
      <c r="A2015" s="6">
        <v>45491</v>
      </c>
      <c r="B2015" s="5" t="s">
        <v>21</v>
      </c>
      <c r="C2015" s="5" t="s">
        <v>30</v>
      </c>
      <c r="D2015" s="5" t="s">
        <v>11</v>
      </c>
      <c r="E2015" s="5" t="s">
        <v>9</v>
      </c>
      <c r="F2015" s="5">
        <v>4115</v>
      </c>
      <c r="G2015" s="5" t="str">
        <f>VLOOKUP(C2015,Sheet2!$C$3:$D$12,2,0)</f>
        <v>Fixed</v>
      </c>
      <c r="H2015" s="5" t="str">
        <f>IFERROR(VLOOKUP(E2015,Sheet2!$G$3:$H$8,2,0),"unkwon")</f>
        <v>online</v>
      </c>
      <c r="I2015" s="5">
        <f>VLOOKUP(B2015,Sheet2!$J$4:$K$15,2,0)</f>
        <v>7</v>
      </c>
      <c r="J2015" s="5">
        <f>IFERROR(VLOOKUP(C2015,Sheet2!$M$4:$N$12,2,0),0)</f>
        <v>3000</v>
      </c>
      <c r="K2015" s="5" t="str">
        <f t="shared" si="31"/>
        <v>over budget</v>
      </c>
    </row>
    <row r="2016" spans="1:11" x14ac:dyDescent="0.3">
      <c r="A2016" s="6">
        <v>45143</v>
      </c>
      <c r="B2016" s="5" t="s">
        <v>25</v>
      </c>
      <c r="C2016" s="5" t="s">
        <v>27</v>
      </c>
      <c r="D2016" s="5" t="s">
        <v>26</v>
      </c>
      <c r="E2016" s="5" t="s">
        <v>12</v>
      </c>
      <c r="F2016" s="5">
        <v>1294</v>
      </c>
      <c r="G2016" s="5" t="str">
        <f>VLOOKUP(C2016,Sheet2!$C$3:$D$12,2,0)</f>
        <v>Variable</v>
      </c>
      <c r="H2016" s="5" t="str">
        <f>IFERROR(VLOOKUP(E2016,Sheet2!$G$3:$H$8,2,0),"unkwon")</f>
        <v>online</v>
      </c>
      <c r="I2016" s="5">
        <f>VLOOKUP(B2016,Sheet2!$J$4:$K$15,2,0)</f>
        <v>8</v>
      </c>
      <c r="J2016" s="5">
        <f>IFERROR(VLOOKUP(C2016,Sheet2!$M$4:$N$12,2,0),0)</f>
        <v>4000</v>
      </c>
      <c r="K2016" s="5" t="str">
        <f t="shared" si="31"/>
        <v>within budget</v>
      </c>
    </row>
    <row r="2017" spans="1:11" x14ac:dyDescent="0.3">
      <c r="A2017" s="6">
        <v>45303</v>
      </c>
      <c r="B2017" s="5" t="s">
        <v>37</v>
      </c>
      <c r="C2017" s="5" t="s">
        <v>7</v>
      </c>
      <c r="D2017" s="5" t="s">
        <v>26</v>
      </c>
      <c r="E2017" s="5" t="s">
        <v>32</v>
      </c>
      <c r="F2017" s="5">
        <v>2093</v>
      </c>
      <c r="G2017" s="5" t="str">
        <f>VLOOKUP(C2017,Sheet2!$C$3:$D$12,2,0)</f>
        <v>Fixed</v>
      </c>
      <c r="H2017" s="5" t="str">
        <f>IFERROR(VLOOKUP(E2017,Sheet2!$G$3:$H$8,2,0),"unkwon")</f>
        <v>offline</v>
      </c>
      <c r="I2017" s="5">
        <f>VLOOKUP(B2017,Sheet2!$J$4:$K$15,2,0)</f>
        <v>1</v>
      </c>
      <c r="J2017" s="5">
        <f>IFERROR(VLOOKUP(C2017,Sheet2!$M$4:$N$12,2,0),0)</f>
        <v>2000</v>
      </c>
      <c r="K2017" s="5" t="str">
        <f t="shared" si="31"/>
        <v>over budget</v>
      </c>
    </row>
    <row r="2018" spans="1:11" x14ac:dyDescent="0.3">
      <c r="A2018" s="6">
        <v>45509</v>
      </c>
      <c r="B2018" s="5" t="s">
        <v>25</v>
      </c>
      <c r="C2018" s="5" t="s">
        <v>7</v>
      </c>
      <c r="D2018" s="5" t="s">
        <v>20</v>
      </c>
      <c r="E2018" s="5" t="s">
        <v>9</v>
      </c>
      <c r="F2018" s="5">
        <v>241</v>
      </c>
      <c r="G2018" s="5" t="str">
        <f>VLOOKUP(C2018,Sheet2!$C$3:$D$12,2,0)</f>
        <v>Fixed</v>
      </c>
      <c r="H2018" s="5" t="str">
        <f>IFERROR(VLOOKUP(E2018,Sheet2!$G$3:$H$8,2,0),"unkwon")</f>
        <v>online</v>
      </c>
      <c r="I2018" s="5">
        <f>VLOOKUP(B2018,Sheet2!$J$4:$K$15,2,0)</f>
        <v>8</v>
      </c>
      <c r="J2018" s="5">
        <f>IFERROR(VLOOKUP(C2018,Sheet2!$M$4:$N$12,2,0),0)</f>
        <v>2000</v>
      </c>
      <c r="K2018" s="5" t="str">
        <f t="shared" si="31"/>
        <v>within budget</v>
      </c>
    </row>
    <row r="2019" spans="1:11" x14ac:dyDescent="0.3">
      <c r="A2019" s="6">
        <v>44987</v>
      </c>
      <c r="B2019" s="5" t="s">
        <v>19</v>
      </c>
      <c r="C2019" s="5" t="s">
        <v>22</v>
      </c>
      <c r="D2019" s="5" t="s">
        <v>14</v>
      </c>
      <c r="E2019" s="5" t="s">
        <v>9</v>
      </c>
      <c r="F2019" s="5">
        <v>3532</v>
      </c>
      <c r="G2019" s="5" t="str">
        <f>VLOOKUP(C2019,Sheet2!$C$3:$D$12,2,0)</f>
        <v>Variable</v>
      </c>
      <c r="H2019" s="5" t="str">
        <f>IFERROR(VLOOKUP(E2019,Sheet2!$G$3:$H$8,2,0),"unkwon")</f>
        <v>online</v>
      </c>
      <c r="I2019" s="5">
        <f>VLOOKUP(B2019,Sheet2!$J$4:$K$15,2,0)</f>
        <v>3</v>
      </c>
      <c r="J2019" s="5">
        <f>IFERROR(VLOOKUP(C2019,Sheet2!$M$4:$N$12,2,0),0)</f>
        <v>1000</v>
      </c>
      <c r="K2019" s="5" t="str">
        <f t="shared" si="31"/>
        <v>over budget</v>
      </c>
    </row>
    <row r="2020" spans="1:11" x14ac:dyDescent="0.3">
      <c r="A2020" s="6">
        <v>45482</v>
      </c>
      <c r="B2020" s="5" t="s">
        <v>21</v>
      </c>
      <c r="C2020" s="5" t="s">
        <v>30</v>
      </c>
      <c r="D2020" s="5" t="s">
        <v>26</v>
      </c>
      <c r="E2020" s="5" t="s">
        <v>17</v>
      </c>
      <c r="F2020" s="5">
        <v>4919</v>
      </c>
      <c r="G2020" s="5" t="str">
        <f>VLOOKUP(C2020,Sheet2!$C$3:$D$12,2,0)</f>
        <v>Fixed</v>
      </c>
      <c r="H2020" s="5" t="str">
        <f>IFERROR(VLOOKUP(E2020,Sheet2!$G$3:$H$8,2,0),"unkwon")</f>
        <v>online</v>
      </c>
      <c r="I2020" s="5">
        <f>VLOOKUP(B2020,Sheet2!$J$4:$K$15,2,0)</f>
        <v>7</v>
      </c>
      <c r="J2020" s="5">
        <f>IFERROR(VLOOKUP(C2020,Sheet2!$M$4:$N$12,2,0),0)</f>
        <v>3000</v>
      </c>
      <c r="K2020" s="5" t="str">
        <f t="shared" si="31"/>
        <v>over budget</v>
      </c>
    </row>
    <row r="2021" spans="1:11" x14ac:dyDescent="0.3">
      <c r="A2021" s="6">
        <v>45477</v>
      </c>
      <c r="B2021" s="5" t="s">
        <v>21</v>
      </c>
      <c r="C2021" s="5" t="s">
        <v>35</v>
      </c>
      <c r="D2021" s="5" t="s">
        <v>24</v>
      </c>
      <c r="E2021" s="5" t="s">
        <v>9</v>
      </c>
      <c r="F2021" s="5">
        <v>338</v>
      </c>
      <c r="G2021" s="5" t="str">
        <f>VLOOKUP(C2021,Sheet2!$C$3:$D$12,2,0)</f>
        <v>Fixed</v>
      </c>
      <c r="H2021" s="5" t="str">
        <f>IFERROR(VLOOKUP(E2021,Sheet2!$G$3:$H$8,2,0),"unkwon")</f>
        <v>online</v>
      </c>
      <c r="I2021" s="5">
        <f>VLOOKUP(B2021,Sheet2!$J$4:$K$15,2,0)</f>
        <v>7</v>
      </c>
      <c r="J2021" s="5">
        <f>IFERROR(VLOOKUP(C2021,Sheet2!$M$4:$N$12,2,0),0)</f>
        <v>5500</v>
      </c>
      <c r="K2021" s="5" t="str">
        <f t="shared" si="31"/>
        <v>within budget</v>
      </c>
    </row>
    <row r="2022" spans="1:11" x14ac:dyDescent="0.3">
      <c r="A2022" s="6">
        <v>45191</v>
      </c>
      <c r="B2022" s="5" t="s">
        <v>38</v>
      </c>
      <c r="C2022" s="5" t="s">
        <v>7</v>
      </c>
      <c r="D2022" s="5" t="s">
        <v>23</v>
      </c>
      <c r="E2022" s="5" t="s">
        <v>32</v>
      </c>
      <c r="F2022" s="5">
        <v>2855</v>
      </c>
      <c r="G2022" s="5" t="str">
        <f>VLOOKUP(C2022,Sheet2!$C$3:$D$12,2,0)</f>
        <v>Fixed</v>
      </c>
      <c r="H2022" s="5" t="str">
        <f>IFERROR(VLOOKUP(E2022,Sheet2!$G$3:$H$8,2,0),"unkwon")</f>
        <v>offline</v>
      </c>
      <c r="I2022" s="5">
        <f>VLOOKUP(B2022,Sheet2!$J$4:$K$15,2,0)</f>
        <v>9</v>
      </c>
      <c r="J2022" s="5">
        <f>IFERROR(VLOOKUP(C2022,Sheet2!$M$4:$N$12,2,0),0)</f>
        <v>2000</v>
      </c>
      <c r="K2022" s="5" t="str">
        <f t="shared" si="31"/>
        <v>over budget</v>
      </c>
    </row>
    <row r="2023" spans="1:11" x14ac:dyDescent="0.3">
      <c r="A2023" s="6">
        <v>45362</v>
      </c>
      <c r="B2023" s="5" t="s">
        <v>19</v>
      </c>
      <c r="C2023" s="5" t="s">
        <v>13</v>
      </c>
      <c r="D2023" s="5" t="s">
        <v>20</v>
      </c>
      <c r="E2023" s="5" t="s">
        <v>15</v>
      </c>
      <c r="F2023" s="5">
        <v>2453</v>
      </c>
      <c r="G2023" s="5" t="str">
        <f>VLOOKUP(C2023,Sheet2!$C$3:$D$12,2,0)</f>
        <v>Variable</v>
      </c>
      <c r="H2023" s="5" t="str">
        <f>IFERROR(VLOOKUP(E2023,Sheet2!$G$3:$H$8,2,0),"unkwon")</f>
        <v>online</v>
      </c>
      <c r="I2023" s="5">
        <f>VLOOKUP(B2023,Sheet2!$J$4:$K$15,2,0)</f>
        <v>3</v>
      </c>
      <c r="J2023" s="5">
        <f>IFERROR(VLOOKUP(C2023,Sheet2!$M$4:$N$12,2,0),0)</f>
        <v>5000</v>
      </c>
      <c r="K2023" s="5" t="str">
        <f t="shared" si="31"/>
        <v>within budget</v>
      </c>
    </row>
    <row r="2024" spans="1:11" x14ac:dyDescent="0.3">
      <c r="A2024" s="6">
        <v>45263</v>
      </c>
      <c r="B2024" s="5" t="s">
        <v>16</v>
      </c>
      <c r="C2024" s="5" t="s">
        <v>7</v>
      </c>
      <c r="D2024" s="5" t="s">
        <v>23</v>
      </c>
      <c r="E2024" s="5" t="s">
        <v>15</v>
      </c>
      <c r="F2024" s="5">
        <v>1972</v>
      </c>
      <c r="G2024" s="5" t="str">
        <f>VLOOKUP(C2024,Sheet2!$C$3:$D$12,2,0)</f>
        <v>Fixed</v>
      </c>
      <c r="H2024" s="5" t="str">
        <f>IFERROR(VLOOKUP(E2024,Sheet2!$G$3:$H$8,2,0),"unkwon")</f>
        <v>online</v>
      </c>
      <c r="I2024" s="5">
        <f>VLOOKUP(B2024,Sheet2!$J$4:$K$15,2,0)</f>
        <v>12</v>
      </c>
      <c r="J2024" s="5">
        <f>IFERROR(VLOOKUP(C2024,Sheet2!$M$4:$N$12,2,0),0)</f>
        <v>2000</v>
      </c>
      <c r="K2024" s="5" t="str">
        <f t="shared" si="31"/>
        <v>within budget</v>
      </c>
    </row>
    <row r="2025" spans="1:11" x14ac:dyDescent="0.3">
      <c r="A2025" s="6">
        <v>45321</v>
      </c>
      <c r="B2025" s="5" t="s">
        <v>37</v>
      </c>
      <c r="C2025" s="5" t="s">
        <v>41</v>
      </c>
      <c r="D2025" s="5" t="s">
        <v>31</v>
      </c>
      <c r="E2025" s="5" t="s">
        <v>12</v>
      </c>
      <c r="F2025" s="5">
        <v>888</v>
      </c>
      <c r="G2025" s="5" t="str">
        <f>VLOOKUP(C2025,Sheet2!$C$3:$D$12,2,0)</f>
        <v>Variable</v>
      </c>
      <c r="H2025" s="5" t="str">
        <f>IFERROR(VLOOKUP(E2025,Sheet2!$G$3:$H$8,2,0),"unkwon")</f>
        <v>online</v>
      </c>
      <c r="I2025" s="5">
        <f>VLOOKUP(B2025,Sheet2!$J$4:$K$15,2,0)</f>
        <v>1</v>
      </c>
      <c r="J2025" s="5">
        <f>IFERROR(VLOOKUP(C2025,Sheet2!$M$4:$N$12,2,0),0)</f>
        <v>7000</v>
      </c>
      <c r="K2025" s="5" t="str">
        <f t="shared" si="31"/>
        <v>within budget</v>
      </c>
    </row>
    <row r="2026" spans="1:11" x14ac:dyDescent="0.3">
      <c r="A2026" s="6">
        <v>45599</v>
      </c>
      <c r="B2026" s="5" t="s">
        <v>40</v>
      </c>
      <c r="C2026" s="5" t="s">
        <v>10</v>
      </c>
      <c r="D2026" s="5" t="s">
        <v>8</v>
      </c>
      <c r="E2026" s="5" t="s">
        <v>32</v>
      </c>
      <c r="F2026" s="5">
        <v>4986</v>
      </c>
      <c r="G2026" s="5" t="str">
        <f>VLOOKUP(C2026,Sheet2!$C$3:$D$12,2,0)</f>
        <v>Variable</v>
      </c>
      <c r="H2026" s="5" t="str">
        <f>IFERROR(VLOOKUP(E2026,Sheet2!$G$3:$H$8,2,0),"unkwon")</f>
        <v>offline</v>
      </c>
      <c r="I2026" s="5">
        <f>VLOOKUP(B2026,Sheet2!$J$4:$K$15,2,0)</f>
        <v>11</v>
      </c>
      <c r="J2026" s="5">
        <f>IFERROR(VLOOKUP(C2026,Sheet2!$M$4:$N$12,2,0),0)</f>
        <v>5000</v>
      </c>
      <c r="K2026" s="5" t="str">
        <f t="shared" si="31"/>
        <v>within budget</v>
      </c>
    </row>
    <row r="2027" spans="1:11" x14ac:dyDescent="0.3">
      <c r="A2027" s="6">
        <v>45469</v>
      </c>
      <c r="B2027" s="5" t="s">
        <v>39</v>
      </c>
      <c r="C2027" s="5" t="s">
        <v>36</v>
      </c>
      <c r="D2027" s="5" t="s">
        <v>24</v>
      </c>
      <c r="E2027" s="5" t="s">
        <v>32</v>
      </c>
      <c r="F2027" s="5">
        <v>1715</v>
      </c>
      <c r="G2027" s="5" t="str">
        <f>VLOOKUP(C2027,Sheet2!$C$3:$D$12,2,0)</f>
        <v>Variable</v>
      </c>
      <c r="H2027" s="5" t="str">
        <f>IFERROR(VLOOKUP(E2027,Sheet2!$G$3:$H$8,2,0),"unkwon")</f>
        <v>offline</v>
      </c>
      <c r="I2027" s="5">
        <f>VLOOKUP(B2027,Sheet2!$J$4:$K$15,2,0)</f>
        <v>6</v>
      </c>
      <c r="J2027" s="5">
        <f>IFERROR(VLOOKUP(C2027,Sheet2!$M$4:$N$12,2,0),0)</f>
        <v>10000</v>
      </c>
      <c r="K2027" s="5" t="str">
        <f t="shared" si="31"/>
        <v>within budget</v>
      </c>
    </row>
    <row r="2028" spans="1:11" x14ac:dyDescent="0.3">
      <c r="A2028" s="6">
        <v>45014</v>
      </c>
      <c r="B2028" s="5" t="s">
        <v>19</v>
      </c>
      <c r="C2028" s="5" t="s">
        <v>30</v>
      </c>
      <c r="D2028" s="5" t="s">
        <v>18</v>
      </c>
      <c r="E2028" s="5" t="s">
        <v>17</v>
      </c>
      <c r="F2028" s="5">
        <v>2507</v>
      </c>
      <c r="G2028" s="5" t="str">
        <f>VLOOKUP(C2028,Sheet2!$C$3:$D$12,2,0)</f>
        <v>Fixed</v>
      </c>
      <c r="H2028" s="5" t="str">
        <f>IFERROR(VLOOKUP(E2028,Sheet2!$G$3:$H$8,2,0),"unkwon")</f>
        <v>online</v>
      </c>
      <c r="I2028" s="5">
        <f>VLOOKUP(B2028,Sheet2!$J$4:$K$15,2,0)</f>
        <v>3</v>
      </c>
      <c r="J2028" s="5">
        <f>IFERROR(VLOOKUP(C2028,Sheet2!$M$4:$N$12,2,0),0)</f>
        <v>3000</v>
      </c>
      <c r="K2028" s="5" t="str">
        <f t="shared" si="31"/>
        <v>within budget</v>
      </c>
    </row>
    <row r="2029" spans="1:11" x14ac:dyDescent="0.3">
      <c r="A2029" s="6">
        <v>45276</v>
      </c>
      <c r="B2029" s="5" t="s">
        <v>16</v>
      </c>
      <c r="C2029" s="5" t="s">
        <v>30</v>
      </c>
      <c r="D2029" s="5" t="s">
        <v>26</v>
      </c>
      <c r="E2029" s="5" t="s">
        <v>12</v>
      </c>
      <c r="F2029" s="5">
        <v>4668</v>
      </c>
      <c r="G2029" s="5" t="str">
        <f>VLOOKUP(C2029,Sheet2!$C$3:$D$12,2,0)</f>
        <v>Fixed</v>
      </c>
      <c r="H2029" s="5" t="str">
        <f>IFERROR(VLOOKUP(E2029,Sheet2!$G$3:$H$8,2,0),"unkwon")</f>
        <v>online</v>
      </c>
      <c r="I2029" s="5">
        <f>VLOOKUP(B2029,Sheet2!$J$4:$K$15,2,0)</f>
        <v>12</v>
      </c>
      <c r="J2029" s="5">
        <f>IFERROR(VLOOKUP(C2029,Sheet2!$M$4:$N$12,2,0),0)</f>
        <v>3000</v>
      </c>
      <c r="K2029" s="5" t="str">
        <f t="shared" si="31"/>
        <v>over budget</v>
      </c>
    </row>
    <row r="2030" spans="1:11" x14ac:dyDescent="0.3">
      <c r="A2030" s="6">
        <v>45164</v>
      </c>
      <c r="B2030" s="5" t="s">
        <v>25</v>
      </c>
      <c r="C2030" s="5" t="s">
        <v>10</v>
      </c>
      <c r="D2030" s="5" t="s">
        <v>20</v>
      </c>
      <c r="E2030" s="5" t="s">
        <v>12</v>
      </c>
      <c r="F2030" s="5">
        <v>3227</v>
      </c>
      <c r="G2030" s="5" t="str">
        <f>VLOOKUP(C2030,Sheet2!$C$3:$D$12,2,0)</f>
        <v>Variable</v>
      </c>
      <c r="H2030" s="5" t="str">
        <f>IFERROR(VLOOKUP(E2030,Sheet2!$G$3:$H$8,2,0),"unkwon")</f>
        <v>online</v>
      </c>
      <c r="I2030" s="5">
        <f>VLOOKUP(B2030,Sheet2!$J$4:$K$15,2,0)</f>
        <v>8</v>
      </c>
      <c r="J2030" s="5">
        <f>IFERROR(VLOOKUP(C2030,Sheet2!$M$4:$N$12,2,0),0)</f>
        <v>5000</v>
      </c>
      <c r="K2030" s="5" t="str">
        <f t="shared" si="31"/>
        <v>within budget</v>
      </c>
    </row>
    <row r="2031" spans="1:11" x14ac:dyDescent="0.3">
      <c r="A2031" s="6">
        <v>45588</v>
      </c>
      <c r="B2031" s="5" t="s">
        <v>6</v>
      </c>
      <c r="C2031" s="5" t="s">
        <v>10</v>
      </c>
      <c r="D2031" s="5" t="s">
        <v>24</v>
      </c>
      <c r="E2031" s="5" t="s">
        <v>17</v>
      </c>
      <c r="F2031" s="5">
        <v>519</v>
      </c>
      <c r="G2031" s="5" t="str">
        <f>VLOOKUP(C2031,Sheet2!$C$3:$D$12,2,0)</f>
        <v>Variable</v>
      </c>
      <c r="H2031" s="5" t="str">
        <f>IFERROR(VLOOKUP(E2031,Sheet2!$G$3:$H$8,2,0),"unkwon")</f>
        <v>online</v>
      </c>
      <c r="I2031" s="5">
        <f>VLOOKUP(B2031,Sheet2!$J$4:$K$15,2,0)</f>
        <v>10</v>
      </c>
      <c r="J2031" s="5">
        <f>IFERROR(VLOOKUP(C2031,Sheet2!$M$4:$N$12,2,0),0)</f>
        <v>5000</v>
      </c>
      <c r="K2031" s="5" t="str">
        <f t="shared" si="31"/>
        <v>within budget</v>
      </c>
    </row>
    <row r="2032" spans="1:11" x14ac:dyDescent="0.3">
      <c r="A2032" s="6">
        <v>45217</v>
      </c>
      <c r="B2032" s="5" t="s">
        <v>6</v>
      </c>
      <c r="C2032" s="5" t="s">
        <v>13</v>
      </c>
      <c r="D2032" s="5" t="s">
        <v>18</v>
      </c>
      <c r="E2032" s="5" t="s">
        <v>12</v>
      </c>
      <c r="F2032" s="5">
        <v>4972</v>
      </c>
      <c r="G2032" s="5" t="str">
        <f>VLOOKUP(C2032,Sheet2!$C$3:$D$12,2,0)</f>
        <v>Variable</v>
      </c>
      <c r="H2032" s="5" t="str">
        <f>IFERROR(VLOOKUP(E2032,Sheet2!$G$3:$H$8,2,0),"unkwon")</f>
        <v>online</v>
      </c>
      <c r="I2032" s="5">
        <f>VLOOKUP(B2032,Sheet2!$J$4:$K$15,2,0)</f>
        <v>10</v>
      </c>
      <c r="J2032" s="5">
        <f>IFERROR(VLOOKUP(C2032,Sheet2!$M$4:$N$12,2,0),0)</f>
        <v>5000</v>
      </c>
      <c r="K2032" s="5" t="str">
        <f t="shared" si="31"/>
        <v>within budget</v>
      </c>
    </row>
    <row r="2033" spans="1:11" x14ac:dyDescent="0.3">
      <c r="A2033" s="6">
        <v>44935</v>
      </c>
      <c r="B2033" s="5" t="s">
        <v>37</v>
      </c>
      <c r="C2033" s="5" t="s">
        <v>7</v>
      </c>
      <c r="D2033" s="5" t="s">
        <v>24</v>
      </c>
      <c r="E2033" s="5" t="s">
        <v>15</v>
      </c>
      <c r="F2033" s="5">
        <v>3733</v>
      </c>
      <c r="G2033" s="5" t="str">
        <f>VLOOKUP(C2033,Sheet2!$C$3:$D$12,2,0)</f>
        <v>Fixed</v>
      </c>
      <c r="H2033" s="5" t="str">
        <f>IFERROR(VLOOKUP(E2033,Sheet2!$G$3:$H$8,2,0),"unkwon")</f>
        <v>online</v>
      </c>
      <c r="I2033" s="5">
        <f>VLOOKUP(B2033,Sheet2!$J$4:$K$15,2,0)</f>
        <v>1</v>
      </c>
      <c r="J2033" s="5">
        <f>IFERROR(VLOOKUP(C2033,Sheet2!$M$4:$N$12,2,0),0)</f>
        <v>2000</v>
      </c>
      <c r="K2033" s="5" t="str">
        <f t="shared" si="31"/>
        <v>over budget</v>
      </c>
    </row>
    <row r="2034" spans="1:11" x14ac:dyDescent="0.3">
      <c r="A2034" s="6">
        <v>45425</v>
      </c>
      <c r="B2034" s="5" t="s">
        <v>28</v>
      </c>
      <c r="C2034" s="5" t="s">
        <v>22</v>
      </c>
      <c r="D2034" s="5" t="s">
        <v>34</v>
      </c>
      <c r="E2034" s="5" t="s">
        <v>32</v>
      </c>
      <c r="F2034" s="5">
        <v>560</v>
      </c>
      <c r="G2034" s="5" t="str">
        <f>VLOOKUP(C2034,Sheet2!$C$3:$D$12,2,0)</f>
        <v>Variable</v>
      </c>
      <c r="H2034" s="5" t="str">
        <f>IFERROR(VLOOKUP(E2034,Sheet2!$G$3:$H$8,2,0),"unkwon")</f>
        <v>offline</v>
      </c>
      <c r="I2034" s="5">
        <f>VLOOKUP(B2034,Sheet2!$J$4:$K$15,2,0)</f>
        <v>5</v>
      </c>
      <c r="J2034" s="5">
        <f>IFERROR(VLOOKUP(C2034,Sheet2!$M$4:$N$12,2,0),0)</f>
        <v>1000</v>
      </c>
      <c r="K2034" s="5" t="str">
        <f t="shared" si="31"/>
        <v>within budget</v>
      </c>
    </row>
    <row r="2035" spans="1:11" x14ac:dyDescent="0.3">
      <c r="A2035" s="6">
        <v>45446</v>
      </c>
      <c r="B2035" s="5" t="s">
        <v>39</v>
      </c>
      <c r="C2035" s="5" t="s">
        <v>35</v>
      </c>
      <c r="D2035" s="5" t="s">
        <v>23</v>
      </c>
      <c r="E2035" s="5" t="s">
        <v>9</v>
      </c>
      <c r="F2035" s="5">
        <v>4022</v>
      </c>
      <c r="G2035" s="5" t="str">
        <f>VLOOKUP(C2035,Sheet2!$C$3:$D$12,2,0)</f>
        <v>Fixed</v>
      </c>
      <c r="H2035" s="5" t="str">
        <f>IFERROR(VLOOKUP(E2035,Sheet2!$G$3:$H$8,2,0),"unkwon")</f>
        <v>online</v>
      </c>
      <c r="I2035" s="5">
        <f>VLOOKUP(B2035,Sheet2!$J$4:$K$15,2,0)</f>
        <v>6</v>
      </c>
      <c r="J2035" s="5">
        <f>IFERROR(VLOOKUP(C2035,Sheet2!$M$4:$N$12,2,0),0)</f>
        <v>5500</v>
      </c>
      <c r="K2035" s="5" t="str">
        <f t="shared" si="31"/>
        <v>within budget</v>
      </c>
    </row>
    <row r="2036" spans="1:11" x14ac:dyDescent="0.3">
      <c r="A2036" s="6">
        <v>45629</v>
      </c>
      <c r="B2036" s="5" t="s">
        <v>16</v>
      </c>
      <c r="C2036" s="5" t="s">
        <v>36</v>
      </c>
      <c r="D2036" s="5" t="s">
        <v>24</v>
      </c>
      <c r="E2036" s="5" t="s">
        <v>9</v>
      </c>
      <c r="F2036" s="5">
        <v>3374</v>
      </c>
      <c r="G2036" s="5" t="str">
        <f>VLOOKUP(C2036,Sheet2!$C$3:$D$12,2,0)</f>
        <v>Variable</v>
      </c>
      <c r="H2036" s="5" t="str">
        <f>IFERROR(VLOOKUP(E2036,Sheet2!$G$3:$H$8,2,0),"unkwon")</f>
        <v>online</v>
      </c>
      <c r="I2036" s="5">
        <f>VLOOKUP(B2036,Sheet2!$J$4:$K$15,2,0)</f>
        <v>12</v>
      </c>
      <c r="J2036" s="5">
        <f>IFERROR(VLOOKUP(C2036,Sheet2!$M$4:$N$12,2,0),0)</f>
        <v>10000</v>
      </c>
      <c r="K2036" s="5" t="str">
        <f t="shared" si="31"/>
        <v>within budget</v>
      </c>
    </row>
    <row r="2037" spans="1:11" x14ac:dyDescent="0.3">
      <c r="A2037" s="6">
        <v>45298</v>
      </c>
      <c r="B2037" s="5" t="s">
        <v>37</v>
      </c>
      <c r="C2037" s="5" t="s">
        <v>41</v>
      </c>
      <c r="D2037" s="5" t="s">
        <v>14</v>
      </c>
      <c r="E2037" s="5" t="s">
        <v>12</v>
      </c>
      <c r="F2037" s="5">
        <v>3947</v>
      </c>
      <c r="G2037" s="5" t="str">
        <f>VLOOKUP(C2037,Sheet2!$C$3:$D$12,2,0)</f>
        <v>Variable</v>
      </c>
      <c r="H2037" s="5" t="str">
        <f>IFERROR(VLOOKUP(E2037,Sheet2!$G$3:$H$8,2,0),"unkwon")</f>
        <v>online</v>
      </c>
      <c r="I2037" s="5">
        <f>VLOOKUP(B2037,Sheet2!$J$4:$K$15,2,0)</f>
        <v>1</v>
      </c>
      <c r="J2037" s="5">
        <f>IFERROR(VLOOKUP(C2037,Sheet2!$M$4:$N$12,2,0),0)</f>
        <v>7000</v>
      </c>
      <c r="K2037" s="5" t="str">
        <f t="shared" si="31"/>
        <v>within budget</v>
      </c>
    </row>
    <row r="2038" spans="1:11" x14ac:dyDescent="0.3">
      <c r="A2038" s="6">
        <v>45155</v>
      </c>
      <c r="B2038" s="5" t="s">
        <v>25</v>
      </c>
      <c r="C2038" s="5" t="s">
        <v>22</v>
      </c>
      <c r="D2038" s="5" t="s">
        <v>20</v>
      </c>
      <c r="E2038" s="5" t="s">
        <v>32</v>
      </c>
      <c r="F2038" s="5">
        <v>3231</v>
      </c>
      <c r="G2038" s="5" t="str">
        <f>VLOOKUP(C2038,Sheet2!$C$3:$D$12,2,0)</f>
        <v>Variable</v>
      </c>
      <c r="H2038" s="5" t="str">
        <f>IFERROR(VLOOKUP(E2038,Sheet2!$G$3:$H$8,2,0),"unkwon")</f>
        <v>offline</v>
      </c>
      <c r="I2038" s="5">
        <f>VLOOKUP(B2038,Sheet2!$J$4:$K$15,2,0)</f>
        <v>8</v>
      </c>
      <c r="J2038" s="5">
        <f>IFERROR(VLOOKUP(C2038,Sheet2!$M$4:$N$12,2,0),0)</f>
        <v>1000</v>
      </c>
      <c r="K2038" s="5" t="str">
        <f t="shared" si="31"/>
        <v>over budget</v>
      </c>
    </row>
    <row r="2039" spans="1:11" x14ac:dyDescent="0.3">
      <c r="A2039" s="6">
        <v>45456</v>
      </c>
      <c r="B2039" s="5" t="s">
        <v>39</v>
      </c>
      <c r="C2039" s="5" t="s">
        <v>22</v>
      </c>
      <c r="D2039" s="5" t="s">
        <v>24</v>
      </c>
      <c r="E2039" s="5" t="s">
        <v>15</v>
      </c>
      <c r="F2039" s="5">
        <v>2096</v>
      </c>
      <c r="G2039" s="5" t="str">
        <f>VLOOKUP(C2039,Sheet2!$C$3:$D$12,2,0)</f>
        <v>Variable</v>
      </c>
      <c r="H2039" s="5" t="str">
        <f>IFERROR(VLOOKUP(E2039,Sheet2!$G$3:$H$8,2,0),"unkwon")</f>
        <v>online</v>
      </c>
      <c r="I2039" s="5">
        <f>VLOOKUP(B2039,Sheet2!$J$4:$K$15,2,0)</f>
        <v>6</v>
      </c>
      <c r="J2039" s="5">
        <f>IFERROR(VLOOKUP(C2039,Sheet2!$M$4:$N$12,2,0),0)</f>
        <v>1000</v>
      </c>
      <c r="K2039" s="5" t="str">
        <f t="shared" si="31"/>
        <v>over budget</v>
      </c>
    </row>
    <row r="2040" spans="1:11" x14ac:dyDescent="0.3">
      <c r="A2040" s="6">
        <v>45015</v>
      </c>
      <c r="B2040" s="5" t="s">
        <v>19</v>
      </c>
      <c r="C2040" s="5" t="s">
        <v>36</v>
      </c>
      <c r="D2040" s="5" t="s">
        <v>24</v>
      </c>
      <c r="E2040" s="5" t="s">
        <v>9</v>
      </c>
      <c r="F2040" s="5">
        <v>1343</v>
      </c>
      <c r="G2040" s="5" t="str">
        <f>VLOOKUP(C2040,Sheet2!$C$3:$D$12,2,0)</f>
        <v>Variable</v>
      </c>
      <c r="H2040" s="5" t="str">
        <f>IFERROR(VLOOKUP(E2040,Sheet2!$G$3:$H$8,2,0),"unkwon")</f>
        <v>online</v>
      </c>
      <c r="I2040" s="5">
        <f>VLOOKUP(B2040,Sheet2!$J$4:$K$15,2,0)</f>
        <v>3</v>
      </c>
      <c r="J2040" s="5">
        <f>IFERROR(VLOOKUP(C2040,Sheet2!$M$4:$N$12,2,0),0)</f>
        <v>10000</v>
      </c>
      <c r="K2040" s="5" t="str">
        <f t="shared" si="31"/>
        <v>within budget</v>
      </c>
    </row>
    <row r="2041" spans="1:11" x14ac:dyDescent="0.3">
      <c r="A2041" s="6">
        <v>45426</v>
      </c>
      <c r="B2041" s="5" t="s">
        <v>28</v>
      </c>
      <c r="C2041" s="5" t="s">
        <v>13</v>
      </c>
      <c r="D2041" s="5" t="s">
        <v>26</v>
      </c>
      <c r="E2041" s="5" t="s">
        <v>12</v>
      </c>
      <c r="F2041" s="5">
        <v>1882</v>
      </c>
      <c r="G2041" s="5" t="str">
        <f>VLOOKUP(C2041,Sheet2!$C$3:$D$12,2,0)</f>
        <v>Variable</v>
      </c>
      <c r="H2041" s="5" t="str">
        <f>IFERROR(VLOOKUP(E2041,Sheet2!$G$3:$H$8,2,0),"unkwon")</f>
        <v>online</v>
      </c>
      <c r="I2041" s="5">
        <f>VLOOKUP(B2041,Sheet2!$J$4:$K$15,2,0)</f>
        <v>5</v>
      </c>
      <c r="J2041" s="5">
        <f>IFERROR(VLOOKUP(C2041,Sheet2!$M$4:$N$12,2,0),0)</f>
        <v>5000</v>
      </c>
      <c r="K2041" s="5" t="str">
        <f t="shared" si="31"/>
        <v>within budget</v>
      </c>
    </row>
    <row r="2042" spans="1:11" x14ac:dyDescent="0.3">
      <c r="A2042" s="6">
        <v>45629</v>
      </c>
      <c r="B2042" s="5" t="s">
        <v>16</v>
      </c>
      <c r="C2042" s="5" t="s">
        <v>10</v>
      </c>
      <c r="D2042" s="5" t="s">
        <v>24</v>
      </c>
      <c r="E2042" s="5" t="s">
        <v>32</v>
      </c>
      <c r="F2042" s="5">
        <v>4332</v>
      </c>
      <c r="G2042" s="5" t="str">
        <f>VLOOKUP(C2042,Sheet2!$C$3:$D$12,2,0)</f>
        <v>Variable</v>
      </c>
      <c r="H2042" s="5" t="str">
        <f>IFERROR(VLOOKUP(E2042,Sheet2!$G$3:$H$8,2,0),"unkwon")</f>
        <v>offline</v>
      </c>
      <c r="I2042" s="5">
        <f>VLOOKUP(B2042,Sheet2!$J$4:$K$15,2,0)</f>
        <v>12</v>
      </c>
      <c r="J2042" s="5">
        <f>IFERROR(VLOOKUP(C2042,Sheet2!$M$4:$N$12,2,0),0)</f>
        <v>5000</v>
      </c>
      <c r="K2042" s="5" t="str">
        <f t="shared" si="31"/>
        <v>within budget</v>
      </c>
    </row>
    <row r="2043" spans="1:11" x14ac:dyDescent="0.3">
      <c r="A2043" s="6">
        <v>45389</v>
      </c>
      <c r="B2043" s="5" t="s">
        <v>29</v>
      </c>
      <c r="C2043" s="5" t="s">
        <v>13</v>
      </c>
      <c r="D2043" s="5" t="s">
        <v>11</v>
      </c>
      <c r="E2043" s="5" t="s">
        <v>12</v>
      </c>
      <c r="F2043" s="5">
        <v>1394</v>
      </c>
      <c r="G2043" s="5" t="str">
        <f>VLOOKUP(C2043,Sheet2!$C$3:$D$12,2,0)</f>
        <v>Variable</v>
      </c>
      <c r="H2043" s="5" t="str">
        <f>IFERROR(VLOOKUP(E2043,Sheet2!$G$3:$H$8,2,0),"unkwon")</f>
        <v>online</v>
      </c>
      <c r="I2043" s="5">
        <f>VLOOKUP(B2043,Sheet2!$J$4:$K$15,2,0)</f>
        <v>4</v>
      </c>
      <c r="J2043" s="5">
        <f>IFERROR(VLOOKUP(C2043,Sheet2!$M$4:$N$12,2,0),0)</f>
        <v>5000</v>
      </c>
      <c r="K2043" s="5" t="str">
        <f t="shared" si="31"/>
        <v>within budget</v>
      </c>
    </row>
    <row r="2044" spans="1:11" x14ac:dyDescent="0.3">
      <c r="A2044" s="6">
        <v>45589</v>
      </c>
      <c r="B2044" s="5" t="s">
        <v>6</v>
      </c>
      <c r="C2044" s="5" t="s">
        <v>10</v>
      </c>
      <c r="D2044" s="5" t="s">
        <v>14</v>
      </c>
      <c r="E2044" s="5" t="s">
        <v>15</v>
      </c>
      <c r="F2044" s="5">
        <v>3933</v>
      </c>
      <c r="G2044" s="5" t="str">
        <f>VLOOKUP(C2044,Sheet2!$C$3:$D$12,2,0)</f>
        <v>Variable</v>
      </c>
      <c r="H2044" s="5" t="str">
        <f>IFERROR(VLOOKUP(E2044,Sheet2!$G$3:$H$8,2,0),"unkwon")</f>
        <v>online</v>
      </c>
      <c r="I2044" s="5">
        <f>VLOOKUP(B2044,Sheet2!$J$4:$K$15,2,0)</f>
        <v>10</v>
      </c>
      <c r="J2044" s="5">
        <f>IFERROR(VLOOKUP(C2044,Sheet2!$M$4:$N$12,2,0),0)</f>
        <v>5000</v>
      </c>
      <c r="K2044" s="5" t="str">
        <f t="shared" si="31"/>
        <v>within budget</v>
      </c>
    </row>
    <row r="2045" spans="1:11" x14ac:dyDescent="0.3">
      <c r="A2045" s="6">
        <v>45056</v>
      </c>
      <c r="B2045" s="5" t="s">
        <v>28</v>
      </c>
      <c r="C2045" s="5" t="s">
        <v>22</v>
      </c>
      <c r="D2045" s="5" t="s">
        <v>8</v>
      </c>
      <c r="E2045" s="5" t="s">
        <v>32</v>
      </c>
      <c r="F2045" s="5">
        <v>2099</v>
      </c>
      <c r="G2045" s="5" t="str">
        <f>VLOOKUP(C2045,Sheet2!$C$3:$D$12,2,0)</f>
        <v>Variable</v>
      </c>
      <c r="H2045" s="5" t="str">
        <f>IFERROR(VLOOKUP(E2045,Sheet2!$G$3:$H$8,2,0),"unkwon")</f>
        <v>offline</v>
      </c>
      <c r="I2045" s="5">
        <f>VLOOKUP(B2045,Sheet2!$J$4:$K$15,2,0)</f>
        <v>5</v>
      </c>
      <c r="J2045" s="5">
        <f>IFERROR(VLOOKUP(C2045,Sheet2!$M$4:$N$12,2,0),0)</f>
        <v>1000</v>
      </c>
      <c r="K2045" s="5" t="str">
        <f t="shared" si="31"/>
        <v>over budget</v>
      </c>
    </row>
    <row r="2046" spans="1:11" x14ac:dyDescent="0.3">
      <c r="A2046" s="6">
        <v>45538</v>
      </c>
      <c r="B2046" s="5" t="s">
        <v>38</v>
      </c>
      <c r="C2046" s="5" t="s">
        <v>7</v>
      </c>
      <c r="D2046" s="5" t="s">
        <v>23</v>
      </c>
      <c r="E2046" s="5" t="s">
        <v>32</v>
      </c>
      <c r="F2046" s="5">
        <v>3773</v>
      </c>
      <c r="G2046" s="5" t="str">
        <f>VLOOKUP(C2046,Sheet2!$C$3:$D$12,2,0)</f>
        <v>Fixed</v>
      </c>
      <c r="H2046" s="5" t="str">
        <f>IFERROR(VLOOKUP(E2046,Sheet2!$G$3:$H$8,2,0),"unkwon")</f>
        <v>offline</v>
      </c>
      <c r="I2046" s="5">
        <f>VLOOKUP(B2046,Sheet2!$J$4:$K$15,2,0)</f>
        <v>9</v>
      </c>
      <c r="J2046" s="5">
        <f>IFERROR(VLOOKUP(C2046,Sheet2!$M$4:$N$12,2,0),0)</f>
        <v>2000</v>
      </c>
      <c r="K2046" s="5" t="str">
        <f t="shared" si="31"/>
        <v>over budget</v>
      </c>
    </row>
    <row r="2047" spans="1:11" x14ac:dyDescent="0.3">
      <c r="A2047" s="6">
        <v>45032</v>
      </c>
      <c r="B2047" s="5" t="s">
        <v>29</v>
      </c>
      <c r="C2047" s="5" t="s">
        <v>7</v>
      </c>
      <c r="D2047" s="5" t="s">
        <v>24</v>
      </c>
      <c r="E2047" s="5" t="s">
        <v>15</v>
      </c>
      <c r="F2047" s="5">
        <v>1463</v>
      </c>
      <c r="G2047" s="5" t="str">
        <f>VLOOKUP(C2047,Sheet2!$C$3:$D$12,2,0)</f>
        <v>Fixed</v>
      </c>
      <c r="H2047" s="5" t="str">
        <f>IFERROR(VLOOKUP(E2047,Sheet2!$G$3:$H$8,2,0),"unkwon")</f>
        <v>online</v>
      </c>
      <c r="I2047" s="5">
        <f>VLOOKUP(B2047,Sheet2!$J$4:$K$15,2,0)</f>
        <v>4</v>
      </c>
      <c r="J2047" s="5">
        <f>IFERROR(VLOOKUP(C2047,Sheet2!$M$4:$N$12,2,0),0)</f>
        <v>2000</v>
      </c>
      <c r="K2047" s="5" t="str">
        <f t="shared" si="31"/>
        <v>within budget</v>
      </c>
    </row>
    <row r="2048" spans="1:11" x14ac:dyDescent="0.3">
      <c r="A2048" s="6">
        <v>45326</v>
      </c>
      <c r="B2048" s="5" t="s">
        <v>33</v>
      </c>
      <c r="C2048" s="5" t="s">
        <v>41</v>
      </c>
      <c r="D2048" s="5" t="s">
        <v>8</v>
      </c>
      <c r="E2048" s="5" t="s">
        <v>9</v>
      </c>
      <c r="F2048" s="5">
        <v>1399</v>
      </c>
      <c r="G2048" s="5" t="str">
        <f>VLOOKUP(C2048,Sheet2!$C$3:$D$12,2,0)</f>
        <v>Variable</v>
      </c>
      <c r="H2048" s="5" t="str">
        <f>IFERROR(VLOOKUP(E2048,Sheet2!$G$3:$H$8,2,0),"unkwon")</f>
        <v>online</v>
      </c>
      <c r="I2048" s="5">
        <f>VLOOKUP(B2048,Sheet2!$J$4:$K$15,2,0)</f>
        <v>2</v>
      </c>
      <c r="J2048" s="5">
        <f>IFERROR(VLOOKUP(C2048,Sheet2!$M$4:$N$12,2,0),0)</f>
        <v>7000</v>
      </c>
      <c r="K2048" s="5" t="str">
        <f t="shared" si="31"/>
        <v>within budget</v>
      </c>
    </row>
    <row r="2049" spans="1:11" x14ac:dyDescent="0.3">
      <c r="A2049" s="6">
        <v>45523</v>
      </c>
      <c r="B2049" s="5" t="s">
        <v>25</v>
      </c>
      <c r="C2049" s="5" t="s">
        <v>30</v>
      </c>
      <c r="D2049" s="5" t="s">
        <v>18</v>
      </c>
      <c r="E2049" s="5" t="s">
        <v>9</v>
      </c>
      <c r="F2049" s="5">
        <v>4857</v>
      </c>
      <c r="G2049" s="5" t="str">
        <f>VLOOKUP(C2049,Sheet2!$C$3:$D$12,2,0)</f>
        <v>Fixed</v>
      </c>
      <c r="H2049" s="5" t="str">
        <f>IFERROR(VLOOKUP(E2049,Sheet2!$G$3:$H$8,2,0),"unkwon")</f>
        <v>online</v>
      </c>
      <c r="I2049" s="5">
        <f>VLOOKUP(B2049,Sheet2!$J$4:$K$15,2,0)</f>
        <v>8</v>
      </c>
      <c r="J2049" s="5">
        <f>IFERROR(VLOOKUP(C2049,Sheet2!$M$4:$N$12,2,0),0)</f>
        <v>3000</v>
      </c>
      <c r="K2049" s="5" t="str">
        <f t="shared" si="31"/>
        <v>over budget</v>
      </c>
    </row>
    <row r="2050" spans="1:11" x14ac:dyDescent="0.3">
      <c r="A2050" s="6">
        <v>45303</v>
      </c>
      <c r="B2050" s="5" t="s">
        <v>37</v>
      </c>
      <c r="C2050" s="5" t="s">
        <v>7</v>
      </c>
      <c r="D2050" s="5" t="s">
        <v>11</v>
      </c>
      <c r="E2050" s="5" t="s">
        <v>9</v>
      </c>
      <c r="F2050" s="5">
        <v>2092</v>
      </c>
      <c r="G2050" s="5" t="str">
        <f>VLOOKUP(C2050,Sheet2!$C$3:$D$12,2,0)</f>
        <v>Fixed</v>
      </c>
      <c r="H2050" s="5" t="str">
        <f>IFERROR(VLOOKUP(E2050,Sheet2!$G$3:$H$8,2,0),"unkwon")</f>
        <v>online</v>
      </c>
      <c r="I2050" s="5">
        <f>VLOOKUP(B2050,Sheet2!$J$4:$K$15,2,0)</f>
        <v>1</v>
      </c>
      <c r="J2050" s="5">
        <f>IFERROR(VLOOKUP(C2050,Sheet2!$M$4:$N$12,2,0),0)</f>
        <v>2000</v>
      </c>
      <c r="K2050" s="5" t="str">
        <f t="shared" si="31"/>
        <v>over budget</v>
      </c>
    </row>
    <row r="2051" spans="1:11" x14ac:dyDescent="0.3">
      <c r="A2051" s="6">
        <v>45556</v>
      </c>
      <c r="B2051" s="5" t="s">
        <v>38</v>
      </c>
      <c r="C2051" s="5" t="s">
        <v>30</v>
      </c>
      <c r="D2051" s="5" t="s">
        <v>24</v>
      </c>
      <c r="E2051" s="5" t="s">
        <v>32</v>
      </c>
      <c r="F2051" s="5">
        <v>2929</v>
      </c>
      <c r="G2051" s="5" t="str">
        <f>VLOOKUP(C2051,Sheet2!$C$3:$D$12,2,0)</f>
        <v>Fixed</v>
      </c>
      <c r="H2051" s="5" t="str">
        <f>IFERROR(VLOOKUP(E2051,Sheet2!$G$3:$H$8,2,0),"unkwon")</f>
        <v>offline</v>
      </c>
      <c r="I2051" s="5">
        <f>VLOOKUP(B2051,Sheet2!$J$4:$K$15,2,0)</f>
        <v>9</v>
      </c>
      <c r="J2051" s="5">
        <f>IFERROR(VLOOKUP(C2051,Sheet2!$M$4:$N$12,2,0),0)</f>
        <v>3000</v>
      </c>
      <c r="K2051" s="5" t="str">
        <f t="shared" ref="K2051:K2114" si="32">IF(F2051&gt;J2051,"over budget","within budget")</f>
        <v>within budget</v>
      </c>
    </row>
    <row r="2052" spans="1:11" x14ac:dyDescent="0.3">
      <c r="A2052" s="6">
        <v>45436</v>
      </c>
      <c r="B2052" s="5" t="s">
        <v>28</v>
      </c>
      <c r="C2052" s="5" t="s">
        <v>36</v>
      </c>
      <c r="D2052" s="5" t="s">
        <v>11</v>
      </c>
      <c r="E2052" s="5" t="s">
        <v>12</v>
      </c>
      <c r="F2052" s="5">
        <v>4472</v>
      </c>
      <c r="G2052" s="5" t="str">
        <f>VLOOKUP(C2052,Sheet2!$C$3:$D$12,2,0)</f>
        <v>Variable</v>
      </c>
      <c r="H2052" s="5" t="str">
        <f>IFERROR(VLOOKUP(E2052,Sheet2!$G$3:$H$8,2,0),"unkwon")</f>
        <v>online</v>
      </c>
      <c r="I2052" s="5">
        <f>VLOOKUP(B2052,Sheet2!$J$4:$K$15,2,0)</f>
        <v>5</v>
      </c>
      <c r="J2052" s="5">
        <f>IFERROR(VLOOKUP(C2052,Sheet2!$M$4:$N$12,2,0),0)</f>
        <v>10000</v>
      </c>
      <c r="K2052" s="5" t="str">
        <f t="shared" si="32"/>
        <v>within budget</v>
      </c>
    </row>
    <row r="2053" spans="1:11" x14ac:dyDescent="0.3">
      <c r="A2053" s="6">
        <v>44964</v>
      </c>
      <c r="B2053" s="5" t="s">
        <v>33</v>
      </c>
      <c r="C2053" s="5" t="s">
        <v>13</v>
      </c>
      <c r="D2053" s="5" t="s">
        <v>18</v>
      </c>
      <c r="E2053" s="5" t="s">
        <v>15</v>
      </c>
      <c r="F2053" s="5">
        <v>1048</v>
      </c>
      <c r="G2053" s="5" t="str">
        <f>VLOOKUP(C2053,Sheet2!$C$3:$D$12,2,0)</f>
        <v>Variable</v>
      </c>
      <c r="H2053" s="5" t="str">
        <f>IFERROR(VLOOKUP(E2053,Sheet2!$G$3:$H$8,2,0),"unkwon")</f>
        <v>online</v>
      </c>
      <c r="I2053" s="5">
        <f>VLOOKUP(B2053,Sheet2!$J$4:$K$15,2,0)</f>
        <v>2</v>
      </c>
      <c r="J2053" s="5">
        <f>IFERROR(VLOOKUP(C2053,Sheet2!$M$4:$N$12,2,0),0)</f>
        <v>5000</v>
      </c>
      <c r="K2053" s="5" t="str">
        <f t="shared" si="32"/>
        <v>within budget</v>
      </c>
    </row>
    <row r="2054" spans="1:11" x14ac:dyDescent="0.3">
      <c r="A2054" s="6">
        <v>45025</v>
      </c>
      <c r="B2054" s="5" t="s">
        <v>29</v>
      </c>
      <c r="C2054" s="5" t="s">
        <v>22</v>
      </c>
      <c r="D2054" s="5" t="s">
        <v>20</v>
      </c>
      <c r="E2054" s="5" t="s">
        <v>12</v>
      </c>
      <c r="F2054" s="5">
        <v>76</v>
      </c>
      <c r="G2054" s="5" t="str">
        <f>VLOOKUP(C2054,Sheet2!$C$3:$D$12,2,0)</f>
        <v>Variable</v>
      </c>
      <c r="H2054" s="5" t="str">
        <f>IFERROR(VLOOKUP(E2054,Sheet2!$G$3:$H$8,2,0),"unkwon")</f>
        <v>online</v>
      </c>
      <c r="I2054" s="5">
        <f>VLOOKUP(B2054,Sheet2!$J$4:$K$15,2,0)</f>
        <v>4</v>
      </c>
      <c r="J2054" s="5">
        <f>IFERROR(VLOOKUP(C2054,Sheet2!$M$4:$N$12,2,0),0)</f>
        <v>1000</v>
      </c>
      <c r="K2054" s="5" t="str">
        <f t="shared" si="32"/>
        <v>within budget</v>
      </c>
    </row>
    <row r="2055" spans="1:11" x14ac:dyDescent="0.3">
      <c r="A2055" s="6">
        <v>45580</v>
      </c>
      <c r="B2055" s="5" t="s">
        <v>6</v>
      </c>
      <c r="C2055" s="5" t="s">
        <v>27</v>
      </c>
      <c r="D2055" s="5" t="s">
        <v>14</v>
      </c>
      <c r="E2055" s="5" t="s">
        <v>15</v>
      </c>
      <c r="F2055" s="5">
        <v>4125</v>
      </c>
      <c r="G2055" s="5" t="str">
        <f>VLOOKUP(C2055,Sheet2!$C$3:$D$12,2,0)</f>
        <v>Variable</v>
      </c>
      <c r="H2055" s="5" t="str">
        <f>IFERROR(VLOOKUP(E2055,Sheet2!$G$3:$H$8,2,0),"unkwon")</f>
        <v>online</v>
      </c>
      <c r="I2055" s="5">
        <f>VLOOKUP(B2055,Sheet2!$J$4:$K$15,2,0)</f>
        <v>10</v>
      </c>
      <c r="J2055" s="5">
        <f>IFERROR(VLOOKUP(C2055,Sheet2!$M$4:$N$12,2,0),0)</f>
        <v>4000</v>
      </c>
      <c r="K2055" s="5" t="str">
        <f t="shared" si="32"/>
        <v>over budget</v>
      </c>
    </row>
    <row r="2056" spans="1:11" x14ac:dyDescent="0.3">
      <c r="A2056" s="6">
        <v>44963</v>
      </c>
      <c r="B2056" s="5" t="s">
        <v>33</v>
      </c>
      <c r="C2056" s="5" t="s">
        <v>22</v>
      </c>
      <c r="D2056" s="5" t="s">
        <v>31</v>
      </c>
      <c r="E2056" s="5" t="s">
        <v>12</v>
      </c>
      <c r="F2056" s="5">
        <v>2368</v>
      </c>
      <c r="G2056" s="5" t="str">
        <f>VLOOKUP(C2056,Sheet2!$C$3:$D$12,2,0)</f>
        <v>Variable</v>
      </c>
      <c r="H2056" s="5" t="str">
        <f>IFERROR(VLOOKUP(E2056,Sheet2!$G$3:$H$8,2,0),"unkwon")</f>
        <v>online</v>
      </c>
      <c r="I2056" s="5">
        <f>VLOOKUP(B2056,Sheet2!$J$4:$K$15,2,0)</f>
        <v>2</v>
      </c>
      <c r="J2056" s="5">
        <f>IFERROR(VLOOKUP(C2056,Sheet2!$M$4:$N$12,2,0),0)</f>
        <v>1000</v>
      </c>
      <c r="K2056" s="5" t="str">
        <f t="shared" si="32"/>
        <v>over budget</v>
      </c>
    </row>
    <row r="2057" spans="1:11" x14ac:dyDescent="0.3">
      <c r="A2057" s="6">
        <v>45052</v>
      </c>
      <c r="B2057" s="5" t="s">
        <v>28</v>
      </c>
      <c r="C2057" s="5" t="s">
        <v>36</v>
      </c>
      <c r="D2057" s="5" t="s">
        <v>23</v>
      </c>
      <c r="E2057" s="5" t="s">
        <v>12</v>
      </c>
      <c r="F2057" s="5">
        <v>4546</v>
      </c>
      <c r="G2057" s="5" t="str">
        <f>VLOOKUP(C2057,Sheet2!$C$3:$D$12,2,0)</f>
        <v>Variable</v>
      </c>
      <c r="H2057" s="5" t="str">
        <f>IFERROR(VLOOKUP(E2057,Sheet2!$G$3:$H$8,2,0),"unkwon")</f>
        <v>online</v>
      </c>
      <c r="I2057" s="5">
        <f>VLOOKUP(B2057,Sheet2!$J$4:$K$15,2,0)</f>
        <v>5</v>
      </c>
      <c r="J2057" s="5">
        <f>IFERROR(VLOOKUP(C2057,Sheet2!$M$4:$N$12,2,0),0)</f>
        <v>10000</v>
      </c>
      <c r="K2057" s="5" t="str">
        <f t="shared" si="32"/>
        <v>within budget</v>
      </c>
    </row>
    <row r="2058" spans="1:11" x14ac:dyDescent="0.3">
      <c r="A2058" s="6">
        <v>45607</v>
      </c>
      <c r="B2058" s="5" t="s">
        <v>40</v>
      </c>
      <c r="C2058" s="5" t="s">
        <v>22</v>
      </c>
      <c r="D2058" s="5" t="s">
        <v>18</v>
      </c>
      <c r="E2058" s="5" t="s">
        <v>9</v>
      </c>
      <c r="F2058" s="5">
        <v>3529</v>
      </c>
      <c r="G2058" s="5" t="str">
        <f>VLOOKUP(C2058,Sheet2!$C$3:$D$12,2,0)</f>
        <v>Variable</v>
      </c>
      <c r="H2058" s="5" t="str">
        <f>IFERROR(VLOOKUP(E2058,Sheet2!$G$3:$H$8,2,0),"unkwon")</f>
        <v>online</v>
      </c>
      <c r="I2058" s="5">
        <f>VLOOKUP(B2058,Sheet2!$J$4:$K$15,2,0)</f>
        <v>11</v>
      </c>
      <c r="J2058" s="5">
        <f>IFERROR(VLOOKUP(C2058,Sheet2!$M$4:$N$12,2,0),0)</f>
        <v>1000</v>
      </c>
      <c r="K2058" s="5" t="str">
        <f t="shared" si="32"/>
        <v>over budget</v>
      </c>
    </row>
    <row r="2059" spans="1:11" x14ac:dyDescent="0.3">
      <c r="A2059" s="6">
        <v>45374</v>
      </c>
      <c r="B2059" s="5" t="s">
        <v>19</v>
      </c>
      <c r="C2059" s="5" t="s">
        <v>7</v>
      </c>
      <c r="D2059" s="5" t="s">
        <v>18</v>
      </c>
      <c r="E2059" s="5" t="s">
        <v>32</v>
      </c>
      <c r="F2059" s="5">
        <v>3618</v>
      </c>
      <c r="G2059" s="5" t="str">
        <f>VLOOKUP(C2059,Sheet2!$C$3:$D$12,2,0)</f>
        <v>Fixed</v>
      </c>
      <c r="H2059" s="5" t="str">
        <f>IFERROR(VLOOKUP(E2059,Sheet2!$G$3:$H$8,2,0),"unkwon")</f>
        <v>offline</v>
      </c>
      <c r="I2059" s="5">
        <f>VLOOKUP(B2059,Sheet2!$J$4:$K$15,2,0)</f>
        <v>3</v>
      </c>
      <c r="J2059" s="5">
        <f>IFERROR(VLOOKUP(C2059,Sheet2!$M$4:$N$12,2,0),0)</f>
        <v>2000</v>
      </c>
      <c r="K2059" s="5" t="str">
        <f t="shared" si="32"/>
        <v>over budget</v>
      </c>
    </row>
    <row r="2060" spans="1:11" x14ac:dyDescent="0.3">
      <c r="A2060" s="6">
        <v>45558</v>
      </c>
      <c r="B2060" s="5" t="s">
        <v>38</v>
      </c>
      <c r="C2060" s="5" t="s">
        <v>27</v>
      </c>
      <c r="D2060" s="5" t="s">
        <v>20</v>
      </c>
      <c r="E2060" s="5" t="s">
        <v>17</v>
      </c>
      <c r="F2060" s="5">
        <v>2203</v>
      </c>
      <c r="G2060" s="5" t="str">
        <f>VLOOKUP(C2060,Sheet2!$C$3:$D$12,2,0)</f>
        <v>Variable</v>
      </c>
      <c r="H2060" s="5" t="str">
        <f>IFERROR(VLOOKUP(E2060,Sheet2!$G$3:$H$8,2,0),"unkwon")</f>
        <v>online</v>
      </c>
      <c r="I2060" s="5">
        <f>VLOOKUP(B2060,Sheet2!$J$4:$K$15,2,0)</f>
        <v>9</v>
      </c>
      <c r="J2060" s="5">
        <f>IFERROR(VLOOKUP(C2060,Sheet2!$M$4:$N$12,2,0),0)</f>
        <v>4000</v>
      </c>
      <c r="K2060" s="5" t="str">
        <f t="shared" si="32"/>
        <v>within budget</v>
      </c>
    </row>
    <row r="2061" spans="1:11" x14ac:dyDescent="0.3">
      <c r="A2061" s="6">
        <v>45556</v>
      </c>
      <c r="B2061" s="5" t="s">
        <v>38</v>
      </c>
      <c r="C2061" s="5" t="s">
        <v>30</v>
      </c>
      <c r="D2061" s="5" t="s">
        <v>23</v>
      </c>
      <c r="E2061" s="5" t="s">
        <v>32</v>
      </c>
      <c r="F2061" s="5">
        <v>4717</v>
      </c>
      <c r="G2061" s="5" t="str">
        <f>VLOOKUP(C2061,Sheet2!$C$3:$D$12,2,0)</f>
        <v>Fixed</v>
      </c>
      <c r="H2061" s="5" t="str">
        <f>IFERROR(VLOOKUP(E2061,Sheet2!$G$3:$H$8,2,0),"unkwon")</f>
        <v>offline</v>
      </c>
      <c r="I2061" s="5">
        <f>VLOOKUP(B2061,Sheet2!$J$4:$K$15,2,0)</f>
        <v>9</v>
      </c>
      <c r="J2061" s="5">
        <f>IFERROR(VLOOKUP(C2061,Sheet2!$M$4:$N$12,2,0),0)</f>
        <v>3000</v>
      </c>
      <c r="K2061" s="5" t="str">
        <f t="shared" si="32"/>
        <v>over budget</v>
      </c>
    </row>
    <row r="2062" spans="1:11" x14ac:dyDescent="0.3">
      <c r="A2062" s="6">
        <v>45240</v>
      </c>
      <c r="B2062" s="5" t="s">
        <v>40</v>
      </c>
      <c r="C2062" s="5" t="s">
        <v>36</v>
      </c>
      <c r="D2062" s="5" t="s">
        <v>20</v>
      </c>
      <c r="E2062" s="5" t="s">
        <v>12</v>
      </c>
      <c r="F2062" s="5">
        <v>2291</v>
      </c>
      <c r="G2062" s="5" t="str">
        <f>VLOOKUP(C2062,Sheet2!$C$3:$D$12,2,0)</f>
        <v>Variable</v>
      </c>
      <c r="H2062" s="5" t="str">
        <f>IFERROR(VLOOKUP(E2062,Sheet2!$G$3:$H$8,2,0),"unkwon")</f>
        <v>online</v>
      </c>
      <c r="I2062" s="5">
        <f>VLOOKUP(B2062,Sheet2!$J$4:$K$15,2,0)</f>
        <v>11</v>
      </c>
      <c r="J2062" s="5">
        <f>IFERROR(VLOOKUP(C2062,Sheet2!$M$4:$N$12,2,0),0)</f>
        <v>10000</v>
      </c>
      <c r="K2062" s="5" t="str">
        <f t="shared" si="32"/>
        <v>within budget</v>
      </c>
    </row>
    <row r="2063" spans="1:11" x14ac:dyDescent="0.3">
      <c r="A2063" s="6">
        <v>45565</v>
      </c>
      <c r="B2063" s="5" t="s">
        <v>38</v>
      </c>
      <c r="C2063" s="5" t="s">
        <v>27</v>
      </c>
      <c r="D2063" s="5" t="s">
        <v>18</v>
      </c>
      <c r="E2063" s="5" t="s">
        <v>15</v>
      </c>
      <c r="F2063" s="5">
        <v>4308</v>
      </c>
      <c r="G2063" s="5" t="str">
        <f>VLOOKUP(C2063,Sheet2!$C$3:$D$12,2,0)</f>
        <v>Variable</v>
      </c>
      <c r="H2063" s="5" t="str">
        <f>IFERROR(VLOOKUP(E2063,Sheet2!$G$3:$H$8,2,0),"unkwon")</f>
        <v>online</v>
      </c>
      <c r="I2063" s="5">
        <f>VLOOKUP(B2063,Sheet2!$J$4:$K$15,2,0)</f>
        <v>9</v>
      </c>
      <c r="J2063" s="5">
        <f>IFERROR(VLOOKUP(C2063,Sheet2!$M$4:$N$12,2,0),0)</f>
        <v>4000</v>
      </c>
      <c r="K2063" s="5" t="str">
        <f t="shared" si="32"/>
        <v>over budget</v>
      </c>
    </row>
    <row r="2064" spans="1:11" x14ac:dyDescent="0.3">
      <c r="A2064" s="6">
        <v>45281</v>
      </c>
      <c r="B2064" s="5" t="s">
        <v>16</v>
      </c>
      <c r="C2064" s="5" t="s">
        <v>13</v>
      </c>
      <c r="D2064" s="5" t="s">
        <v>14</v>
      </c>
      <c r="E2064" s="5" t="s">
        <v>17</v>
      </c>
      <c r="F2064" s="5">
        <v>1561</v>
      </c>
      <c r="G2064" s="5" t="str">
        <f>VLOOKUP(C2064,Sheet2!$C$3:$D$12,2,0)</f>
        <v>Variable</v>
      </c>
      <c r="H2064" s="5" t="str">
        <f>IFERROR(VLOOKUP(E2064,Sheet2!$G$3:$H$8,2,0),"unkwon")</f>
        <v>online</v>
      </c>
      <c r="I2064" s="5">
        <f>VLOOKUP(B2064,Sheet2!$J$4:$K$15,2,0)</f>
        <v>12</v>
      </c>
      <c r="J2064" s="5">
        <f>IFERROR(VLOOKUP(C2064,Sheet2!$M$4:$N$12,2,0),0)</f>
        <v>5000</v>
      </c>
      <c r="K2064" s="5" t="str">
        <f t="shared" si="32"/>
        <v>within budget</v>
      </c>
    </row>
    <row r="2065" spans="1:11" x14ac:dyDescent="0.3">
      <c r="A2065" s="6">
        <v>44966</v>
      </c>
      <c r="B2065" s="5" t="s">
        <v>33</v>
      </c>
      <c r="C2065" s="5" t="s">
        <v>35</v>
      </c>
      <c r="D2065" s="5" t="s">
        <v>8</v>
      </c>
      <c r="E2065" s="5" t="s">
        <v>17</v>
      </c>
      <c r="F2065" s="5">
        <v>1351</v>
      </c>
      <c r="G2065" s="5" t="str">
        <f>VLOOKUP(C2065,Sheet2!$C$3:$D$12,2,0)</f>
        <v>Fixed</v>
      </c>
      <c r="H2065" s="5" t="str">
        <f>IFERROR(VLOOKUP(E2065,Sheet2!$G$3:$H$8,2,0),"unkwon")</f>
        <v>online</v>
      </c>
      <c r="I2065" s="5">
        <f>VLOOKUP(B2065,Sheet2!$J$4:$K$15,2,0)</f>
        <v>2</v>
      </c>
      <c r="J2065" s="5">
        <f>IFERROR(VLOOKUP(C2065,Sheet2!$M$4:$N$12,2,0),0)</f>
        <v>5500</v>
      </c>
      <c r="K2065" s="5" t="str">
        <f t="shared" si="32"/>
        <v>within budget</v>
      </c>
    </row>
    <row r="2066" spans="1:11" x14ac:dyDescent="0.3">
      <c r="A2066" s="6">
        <v>45318</v>
      </c>
      <c r="B2066" s="5" t="s">
        <v>37</v>
      </c>
      <c r="C2066" s="5" t="s">
        <v>10</v>
      </c>
      <c r="D2066" s="5" t="s">
        <v>34</v>
      </c>
      <c r="E2066" s="5" t="s">
        <v>9</v>
      </c>
      <c r="F2066" s="5">
        <v>2038</v>
      </c>
      <c r="G2066" s="5" t="str">
        <f>VLOOKUP(C2066,Sheet2!$C$3:$D$12,2,0)</f>
        <v>Variable</v>
      </c>
      <c r="H2066" s="5" t="str">
        <f>IFERROR(VLOOKUP(E2066,Sheet2!$G$3:$H$8,2,0),"unkwon")</f>
        <v>online</v>
      </c>
      <c r="I2066" s="5">
        <f>VLOOKUP(B2066,Sheet2!$J$4:$K$15,2,0)</f>
        <v>1</v>
      </c>
      <c r="J2066" s="5">
        <f>IFERROR(VLOOKUP(C2066,Sheet2!$M$4:$N$12,2,0),0)</f>
        <v>5000</v>
      </c>
      <c r="K2066" s="5" t="str">
        <f t="shared" si="32"/>
        <v>within budget</v>
      </c>
    </row>
    <row r="2067" spans="1:11" x14ac:dyDescent="0.3">
      <c r="A2067" s="6">
        <v>45310</v>
      </c>
      <c r="B2067" s="5" t="s">
        <v>37</v>
      </c>
      <c r="C2067" s="5" t="s">
        <v>36</v>
      </c>
      <c r="D2067" s="5" t="s">
        <v>23</v>
      </c>
      <c r="E2067" s="5" t="s">
        <v>12</v>
      </c>
      <c r="F2067" s="5">
        <v>3168</v>
      </c>
      <c r="G2067" s="5" t="str">
        <f>VLOOKUP(C2067,Sheet2!$C$3:$D$12,2,0)</f>
        <v>Variable</v>
      </c>
      <c r="H2067" s="5" t="str">
        <f>IFERROR(VLOOKUP(E2067,Sheet2!$G$3:$H$8,2,0),"unkwon")</f>
        <v>online</v>
      </c>
      <c r="I2067" s="5">
        <f>VLOOKUP(B2067,Sheet2!$J$4:$K$15,2,0)</f>
        <v>1</v>
      </c>
      <c r="J2067" s="5">
        <f>IFERROR(VLOOKUP(C2067,Sheet2!$M$4:$N$12,2,0),0)</f>
        <v>10000</v>
      </c>
      <c r="K2067" s="5" t="str">
        <f t="shared" si="32"/>
        <v>within budget</v>
      </c>
    </row>
    <row r="2068" spans="1:11" x14ac:dyDescent="0.3">
      <c r="A2068" s="6">
        <v>44954</v>
      </c>
      <c r="B2068" s="5" t="s">
        <v>37</v>
      </c>
      <c r="C2068" s="5" t="s">
        <v>30</v>
      </c>
      <c r="D2068" s="5" t="s">
        <v>11</v>
      </c>
      <c r="E2068" s="5" t="s">
        <v>15</v>
      </c>
      <c r="F2068" s="5">
        <v>3313</v>
      </c>
      <c r="G2068" s="5" t="str">
        <f>VLOOKUP(C2068,Sheet2!$C$3:$D$12,2,0)</f>
        <v>Fixed</v>
      </c>
      <c r="H2068" s="5" t="str">
        <f>IFERROR(VLOOKUP(E2068,Sheet2!$G$3:$H$8,2,0),"unkwon")</f>
        <v>online</v>
      </c>
      <c r="I2068" s="5">
        <f>VLOOKUP(B2068,Sheet2!$J$4:$K$15,2,0)</f>
        <v>1</v>
      </c>
      <c r="J2068" s="5">
        <f>IFERROR(VLOOKUP(C2068,Sheet2!$M$4:$N$12,2,0),0)</f>
        <v>3000</v>
      </c>
      <c r="K2068" s="5" t="str">
        <f t="shared" si="32"/>
        <v>over budget</v>
      </c>
    </row>
    <row r="2069" spans="1:11" x14ac:dyDescent="0.3">
      <c r="A2069" s="6">
        <v>45647</v>
      </c>
      <c r="B2069" s="5" t="s">
        <v>16</v>
      </c>
      <c r="C2069" s="5" t="s">
        <v>41</v>
      </c>
      <c r="D2069" s="5" t="s">
        <v>8</v>
      </c>
      <c r="E2069" s="5" t="s">
        <v>15</v>
      </c>
      <c r="F2069" s="5">
        <v>1859</v>
      </c>
      <c r="G2069" s="5" t="str">
        <f>VLOOKUP(C2069,Sheet2!$C$3:$D$12,2,0)</f>
        <v>Variable</v>
      </c>
      <c r="H2069" s="5" t="str">
        <f>IFERROR(VLOOKUP(E2069,Sheet2!$G$3:$H$8,2,0),"unkwon")</f>
        <v>online</v>
      </c>
      <c r="I2069" s="5">
        <f>VLOOKUP(B2069,Sheet2!$J$4:$K$15,2,0)</f>
        <v>12</v>
      </c>
      <c r="J2069" s="5">
        <f>IFERROR(VLOOKUP(C2069,Sheet2!$M$4:$N$12,2,0),0)</f>
        <v>7000</v>
      </c>
      <c r="K2069" s="5" t="str">
        <f t="shared" si="32"/>
        <v>within budget</v>
      </c>
    </row>
    <row r="2070" spans="1:11" x14ac:dyDescent="0.3">
      <c r="A2070" s="6">
        <v>45453</v>
      </c>
      <c r="B2070" s="5" t="s">
        <v>39</v>
      </c>
      <c r="C2070" s="5" t="s">
        <v>30</v>
      </c>
      <c r="D2070" s="5" t="s">
        <v>24</v>
      </c>
      <c r="E2070" s="5" t="s">
        <v>12</v>
      </c>
      <c r="F2070" s="5">
        <v>3155</v>
      </c>
      <c r="G2070" s="5" t="str">
        <f>VLOOKUP(C2070,Sheet2!$C$3:$D$12,2,0)</f>
        <v>Fixed</v>
      </c>
      <c r="H2070" s="5" t="str">
        <f>IFERROR(VLOOKUP(E2070,Sheet2!$G$3:$H$8,2,0),"unkwon")</f>
        <v>online</v>
      </c>
      <c r="I2070" s="5">
        <f>VLOOKUP(B2070,Sheet2!$J$4:$K$15,2,0)</f>
        <v>6</v>
      </c>
      <c r="J2070" s="5">
        <f>IFERROR(VLOOKUP(C2070,Sheet2!$M$4:$N$12,2,0),0)</f>
        <v>3000</v>
      </c>
      <c r="K2070" s="5" t="str">
        <f t="shared" si="32"/>
        <v>over budget</v>
      </c>
    </row>
    <row r="2071" spans="1:11" x14ac:dyDescent="0.3">
      <c r="A2071" s="6">
        <v>44995</v>
      </c>
      <c r="B2071" s="5" t="s">
        <v>19</v>
      </c>
      <c r="C2071" s="5" t="s">
        <v>36</v>
      </c>
      <c r="D2071" s="5" t="s">
        <v>34</v>
      </c>
      <c r="E2071" s="5" t="s">
        <v>9</v>
      </c>
      <c r="F2071" s="5">
        <v>4623</v>
      </c>
      <c r="G2071" s="5" t="str">
        <f>VLOOKUP(C2071,Sheet2!$C$3:$D$12,2,0)</f>
        <v>Variable</v>
      </c>
      <c r="H2071" s="5" t="str">
        <f>IFERROR(VLOOKUP(E2071,Sheet2!$G$3:$H$8,2,0),"unkwon")</f>
        <v>online</v>
      </c>
      <c r="I2071" s="5">
        <f>VLOOKUP(B2071,Sheet2!$J$4:$K$15,2,0)</f>
        <v>3</v>
      </c>
      <c r="J2071" s="5">
        <f>IFERROR(VLOOKUP(C2071,Sheet2!$M$4:$N$12,2,0),0)</f>
        <v>10000</v>
      </c>
      <c r="K2071" s="5" t="str">
        <f t="shared" si="32"/>
        <v>within budget</v>
      </c>
    </row>
    <row r="2072" spans="1:11" x14ac:dyDescent="0.3">
      <c r="A2072" s="6">
        <v>45427</v>
      </c>
      <c r="B2072" s="5" t="s">
        <v>28</v>
      </c>
      <c r="C2072" s="5" t="s">
        <v>22</v>
      </c>
      <c r="D2072" s="5" t="s">
        <v>8</v>
      </c>
      <c r="E2072" s="5" t="s">
        <v>15</v>
      </c>
      <c r="F2072" s="5">
        <v>4647</v>
      </c>
      <c r="G2072" s="5" t="str">
        <f>VLOOKUP(C2072,Sheet2!$C$3:$D$12,2,0)</f>
        <v>Variable</v>
      </c>
      <c r="H2072" s="5" t="str">
        <f>IFERROR(VLOOKUP(E2072,Sheet2!$G$3:$H$8,2,0),"unkwon")</f>
        <v>online</v>
      </c>
      <c r="I2072" s="5">
        <f>VLOOKUP(B2072,Sheet2!$J$4:$K$15,2,0)</f>
        <v>5</v>
      </c>
      <c r="J2072" s="5">
        <f>IFERROR(VLOOKUP(C2072,Sheet2!$M$4:$N$12,2,0),0)</f>
        <v>1000</v>
      </c>
      <c r="K2072" s="5" t="str">
        <f t="shared" si="32"/>
        <v>over budget</v>
      </c>
    </row>
    <row r="2073" spans="1:11" x14ac:dyDescent="0.3">
      <c r="A2073" s="6">
        <v>45089</v>
      </c>
      <c r="B2073" s="5" t="s">
        <v>39</v>
      </c>
      <c r="C2073" s="5" t="s">
        <v>36</v>
      </c>
      <c r="D2073" s="5" t="s">
        <v>24</v>
      </c>
      <c r="E2073" s="5" t="s">
        <v>17</v>
      </c>
      <c r="F2073" s="5">
        <v>1606</v>
      </c>
      <c r="G2073" s="5" t="str">
        <f>VLOOKUP(C2073,Sheet2!$C$3:$D$12,2,0)</f>
        <v>Variable</v>
      </c>
      <c r="H2073" s="5" t="str">
        <f>IFERROR(VLOOKUP(E2073,Sheet2!$G$3:$H$8,2,0),"unkwon")</f>
        <v>online</v>
      </c>
      <c r="I2073" s="5">
        <f>VLOOKUP(B2073,Sheet2!$J$4:$K$15,2,0)</f>
        <v>6</v>
      </c>
      <c r="J2073" s="5">
        <f>IFERROR(VLOOKUP(C2073,Sheet2!$M$4:$N$12,2,0),0)</f>
        <v>10000</v>
      </c>
      <c r="K2073" s="5" t="str">
        <f t="shared" si="32"/>
        <v>within budget</v>
      </c>
    </row>
    <row r="2074" spans="1:11" x14ac:dyDescent="0.3">
      <c r="A2074" s="6">
        <v>45314</v>
      </c>
      <c r="B2074" s="5" t="s">
        <v>37</v>
      </c>
      <c r="C2074" s="5" t="s">
        <v>22</v>
      </c>
      <c r="D2074" s="5" t="s">
        <v>14</v>
      </c>
      <c r="E2074" s="5" t="s">
        <v>15</v>
      </c>
      <c r="F2074" s="5">
        <v>896</v>
      </c>
      <c r="G2074" s="5" t="str">
        <f>VLOOKUP(C2074,Sheet2!$C$3:$D$12,2,0)</f>
        <v>Variable</v>
      </c>
      <c r="H2074" s="5" t="str">
        <f>IFERROR(VLOOKUP(E2074,Sheet2!$G$3:$H$8,2,0),"unkwon")</f>
        <v>online</v>
      </c>
      <c r="I2074" s="5">
        <f>VLOOKUP(B2074,Sheet2!$J$4:$K$15,2,0)</f>
        <v>1</v>
      </c>
      <c r="J2074" s="5">
        <f>IFERROR(VLOOKUP(C2074,Sheet2!$M$4:$N$12,2,0),0)</f>
        <v>1000</v>
      </c>
      <c r="K2074" s="5" t="str">
        <f t="shared" si="32"/>
        <v>within budget</v>
      </c>
    </row>
    <row r="2075" spans="1:11" x14ac:dyDescent="0.3">
      <c r="A2075" s="6">
        <v>45573</v>
      </c>
      <c r="B2075" s="5" t="s">
        <v>6</v>
      </c>
      <c r="C2075" s="5" t="s">
        <v>27</v>
      </c>
      <c r="D2075" s="5" t="s">
        <v>26</v>
      </c>
      <c r="E2075" s="5" t="s">
        <v>17</v>
      </c>
      <c r="F2075" s="5">
        <v>961</v>
      </c>
      <c r="G2075" s="5" t="str">
        <f>VLOOKUP(C2075,Sheet2!$C$3:$D$12,2,0)</f>
        <v>Variable</v>
      </c>
      <c r="H2075" s="5" t="str">
        <f>IFERROR(VLOOKUP(E2075,Sheet2!$G$3:$H$8,2,0),"unkwon")</f>
        <v>online</v>
      </c>
      <c r="I2075" s="5">
        <f>VLOOKUP(B2075,Sheet2!$J$4:$K$15,2,0)</f>
        <v>10</v>
      </c>
      <c r="J2075" s="5">
        <f>IFERROR(VLOOKUP(C2075,Sheet2!$M$4:$N$12,2,0),0)</f>
        <v>4000</v>
      </c>
      <c r="K2075" s="5" t="str">
        <f t="shared" si="32"/>
        <v>within budget</v>
      </c>
    </row>
    <row r="2076" spans="1:11" x14ac:dyDescent="0.3">
      <c r="A2076" s="6">
        <v>45137</v>
      </c>
      <c r="B2076" s="5" t="s">
        <v>21</v>
      </c>
      <c r="C2076" s="5" t="s">
        <v>13</v>
      </c>
      <c r="D2076" s="5" t="s">
        <v>18</v>
      </c>
      <c r="E2076" s="5" t="s">
        <v>15</v>
      </c>
      <c r="F2076" s="5">
        <v>1943</v>
      </c>
      <c r="G2076" s="5" t="str">
        <f>VLOOKUP(C2076,Sheet2!$C$3:$D$12,2,0)</f>
        <v>Variable</v>
      </c>
      <c r="H2076" s="5" t="str">
        <f>IFERROR(VLOOKUP(E2076,Sheet2!$G$3:$H$8,2,0),"unkwon")</f>
        <v>online</v>
      </c>
      <c r="I2076" s="5">
        <f>VLOOKUP(B2076,Sheet2!$J$4:$K$15,2,0)</f>
        <v>7</v>
      </c>
      <c r="J2076" s="5">
        <f>IFERROR(VLOOKUP(C2076,Sheet2!$M$4:$N$12,2,0),0)</f>
        <v>5000</v>
      </c>
      <c r="K2076" s="5" t="str">
        <f t="shared" si="32"/>
        <v>within budget</v>
      </c>
    </row>
    <row r="2077" spans="1:11" x14ac:dyDescent="0.3">
      <c r="A2077" s="6">
        <v>45507</v>
      </c>
      <c r="B2077" s="5" t="s">
        <v>25</v>
      </c>
      <c r="C2077" s="5" t="s">
        <v>27</v>
      </c>
      <c r="D2077" s="5" t="s">
        <v>18</v>
      </c>
      <c r="E2077" s="5" t="s">
        <v>32</v>
      </c>
      <c r="F2077" s="5">
        <v>167</v>
      </c>
      <c r="G2077" s="5" t="str">
        <f>VLOOKUP(C2077,Sheet2!$C$3:$D$12,2,0)</f>
        <v>Variable</v>
      </c>
      <c r="H2077" s="5" t="str">
        <f>IFERROR(VLOOKUP(E2077,Sheet2!$G$3:$H$8,2,0),"unkwon")</f>
        <v>offline</v>
      </c>
      <c r="I2077" s="5">
        <f>VLOOKUP(B2077,Sheet2!$J$4:$K$15,2,0)</f>
        <v>8</v>
      </c>
      <c r="J2077" s="5">
        <f>IFERROR(VLOOKUP(C2077,Sheet2!$M$4:$N$12,2,0),0)</f>
        <v>4000</v>
      </c>
      <c r="K2077" s="5" t="str">
        <f t="shared" si="32"/>
        <v>within budget</v>
      </c>
    </row>
    <row r="2078" spans="1:11" x14ac:dyDescent="0.3">
      <c r="A2078" s="6">
        <v>45309</v>
      </c>
      <c r="B2078" s="5" t="s">
        <v>37</v>
      </c>
      <c r="C2078" s="5" t="s">
        <v>13</v>
      </c>
      <c r="D2078" s="5" t="s">
        <v>26</v>
      </c>
      <c r="E2078" s="5" t="s">
        <v>32</v>
      </c>
      <c r="F2078" s="5">
        <v>4446</v>
      </c>
      <c r="G2078" s="5" t="str">
        <f>VLOOKUP(C2078,Sheet2!$C$3:$D$12,2,0)</f>
        <v>Variable</v>
      </c>
      <c r="H2078" s="5" t="str">
        <f>IFERROR(VLOOKUP(E2078,Sheet2!$G$3:$H$8,2,0),"unkwon")</f>
        <v>offline</v>
      </c>
      <c r="I2078" s="5">
        <f>VLOOKUP(B2078,Sheet2!$J$4:$K$15,2,0)</f>
        <v>1</v>
      </c>
      <c r="J2078" s="5">
        <f>IFERROR(VLOOKUP(C2078,Sheet2!$M$4:$N$12,2,0),0)</f>
        <v>5000</v>
      </c>
      <c r="K2078" s="5" t="str">
        <f t="shared" si="32"/>
        <v>within budget</v>
      </c>
    </row>
    <row r="2079" spans="1:11" x14ac:dyDescent="0.3">
      <c r="A2079" s="6">
        <v>45508</v>
      </c>
      <c r="B2079" s="5" t="s">
        <v>25</v>
      </c>
      <c r="C2079" s="5" t="s">
        <v>35</v>
      </c>
      <c r="D2079" s="5" t="s">
        <v>11</v>
      </c>
      <c r="E2079" s="5" t="s">
        <v>15</v>
      </c>
      <c r="F2079" s="5">
        <v>2647</v>
      </c>
      <c r="G2079" s="5" t="str">
        <f>VLOOKUP(C2079,Sheet2!$C$3:$D$12,2,0)</f>
        <v>Fixed</v>
      </c>
      <c r="H2079" s="5" t="str">
        <f>IFERROR(VLOOKUP(E2079,Sheet2!$G$3:$H$8,2,0),"unkwon")</f>
        <v>online</v>
      </c>
      <c r="I2079" s="5">
        <f>VLOOKUP(B2079,Sheet2!$J$4:$K$15,2,0)</f>
        <v>8</v>
      </c>
      <c r="J2079" s="5">
        <f>IFERROR(VLOOKUP(C2079,Sheet2!$M$4:$N$12,2,0),0)</f>
        <v>5500</v>
      </c>
      <c r="K2079" s="5" t="str">
        <f t="shared" si="32"/>
        <v>within budget</v>
      </c>
    </row>
    <row r="2080" spans="1:11" x14ac:dyDescent="0.3">
      <c r="A2080" s="6">
        <v>45055</v>
      </c>
      <c r="B2080" s="5" t="s">
        <v>28</v>
      </c>
      <c r="C2080" s="5" t="s">
        <v>13</v>
      </c>
      <c r="D2080" s="5" t="s">
        <v>31</v>
      </c>
      <c r="E2080" s="5" t="s">
        <v>32</v>
      </c>
      <c r="F2080" s="5">
        <v>2530</v>
      </c>
      <c r="G2080" s="5" t="str">
        <f>VLOOKUP(C2080,Sheet2!$C$3:$D$12,2,0)</f>
        <v>Variable</v>
      </c>
      <c r="H2080" s="5" t="str">
        <f>IFERROR(VLOOKUP(E2080,Sheet2!$G$3:$H$8,2,0),"unkwon")</f>
        <v>offline</v>
      </c>
      <c r="I2080" s="5">
        <f>VLOOKUP(B2080,Sheet2!$J$4:$K$15,2,0)</f>
        <v>5</v>
      </c>
      <c r="J2080" s="5">
        <f>IFERROR(VLOOKUP(C2080,Sheet2!$M$4:$N$12,2,0),0)</f>
        <v>5000</v>
      </c>
      <c r="K2080" s="5" t="str">
        <f t="shared" si="32"/>
        <v>within budget</v>
      </c>
    </row>
    <row r="2081" spans="1:11" x14ac:dyDescent="0.3">
      <c r="A2081" s="6">
        <v>45392</v>
      </c>
      <c r="B2081" s="5" t="s">
        <v>29</v>
      </c>
      <c r="C2081" s="5" t="s">
        <v>27</v>
      </c>
      <c r="D2081" s="5" t="s">
        <v>14</v>
      </c>
      <c r="E2081" s="5" t="s">
        <v>12</v>
      </c>
      <c r="F2081" s="5">
        <v>1349</v>
      </c>
      <c r="G2081" s="5" t="str">
        <f>VLOOKUP(C2081,Sheet2!$C$3:$D$12,2,0)</f>
        <v>Variable</v>
      </c>
      <c r="H2081" s="5" t="str">
        <f>IFERROR(VLOOKUP(E2081,Sheet2!$G$3:$H$8,2,0),"unkwon")</f>
        <v>online</v>
      </c>
      <c r="I2081" s="5">
        <f>VLOOKUP(B2081,Sheet2!$J$4:$K$15,2,0)</f>
        <v>4</v>
      </c>
      <c r="J2081" s="5">
        <f>IFERROR(VLOOKUP(C2081,Sheet2!$M$4:$N$12,2,0),0)</f>
        <v>4000</v>
      </c>
      <c r="K2081" s="5" t="str">
        <f t="shared" si="32"/>
        <v>within budget</v>
      </c>
    </row>
    <row r="2082" spans="1:11" x14ac:dyDescent="0.3">
      <c r="A2082" s="6">
        <v>45523</v>
      </c>
      <c r="B2082" s="5" t="s">
        <v>25</v>
      </c>
      <c r="C2082" s="5" t="s">
        <v>10</v>
      </c>
      <c r="D2082" s="5" t="s">
        <v>34</v>
      </c>
      <c r="E2082" s="5" t="s">
        <v>17</v>
      </c>
      <c r="F2082" s="5">
        <v>454</v>
      </c>
      <c r="G2082" s="5" t="str">
        <f>VLOOKUP(C2082,Sheet2!$C$3:$D$12,2,0)</f>
        <v>Variable</v>
      </c>
      <c r="H2082" s="5" t="str">
        <f>IFERROR(VLOOKUP(E2082,Sheet2!$G$3:$H$8,2,0),"unkwon")</f>
        <v>online</v>
      </c>
      <c r="I2082" s="5">
        <f>VLOOKUP(B2082,Sheet2!$J$4:$K$15,2,0)</f>
        <v>8</v>
      </c>
      <c r="J2082" s="5">
        <f>IFERROR(VLOOKUP(C2082,Sheet2!$M$4:$N$12,2,0),0)</f>
        <v>5000</v>
      </c>
      <c r="K2082" s="5" t="str">
        <f t="shared" si="32"/>
        <v>within budget</v>
      </c>
    </row>
    <row r="2083" spans="1:11" x14ac:dyDescent="0.3">
      <c r="A2083" s="6">
        <v>45321</v>
      </c>
      <c r="B2083" s="5" t="s">
        <v>37</v>
      </c>
      <c r="C2083" s="5" t="s">
        <v>10</v>
      </c>
      <c r="D2083" s="5" t="s">
        <v>24</v>
      </c>
      <c r="E2083" s="5" t="s">
        <v>32</v>
      </c>
      <c r="F2083" s="5">
        <v>4516</v>
      </c>
      <c r="G2083" s="5" t="str">
        <f>VLOOKUP(C2083,Sheet2!$C$3:$D$12,2,0)</f>
        <v>Variable</v>
      </c>
      <c r="H2083" s="5" t="str">
        <f>IFERROR(VLOOKUP(E2083,Sheet2!$G$3:$H$8,2,0),"unkwon")</f>
        <v>offline</v>
      </c>
      <c r="I2083" s="5">
        <f>VLOOKUP(B2083,Sheet2!$J$4:$K$15,2,0)</f>
        <v>1</v>
      </c>
      <c r="J2083" s="5">
        <f>IFERROR(VLOOKUP(C2083,Sheet2!$M$4:$N$12,2,0),0)</f>
        <v>5000</v>
      </c>
      <c r="K2083" s="5" t="str">
        <f t="shared" si="32"/>
        <v>within budget</v>
      </c>
    </row>
    <row r="2084" spans="1:11" x14ac:dyDescent="0.3">
      <c r="A2084" s="6">
        <v>45515</v>
      </c>
      <c r="B2084" s="5" t="s">
        <v>25</v>
      </c>
      <c r="C2084" s="5" t="s">
        <v>22</v>
      </c>
      <c r="D2084" s="5" t="s">
        <v>24</v>
      </c>
      <c r="E2084" s="5" t="s">
        <v>15</v>
      </c>
      <c r="F2084" s="5">
        <v>2943</v>
      </c>
      <c r="G2084" s="5" t="str">
        <f>VLOOKUP(C2084,Sheet2!$C$3:$D$12,2,0)</f>
        <v>Variable</v>
      </c>
      <c r="H2084" s="5" t="str">
        <f>IFERROR(VLOOKUP(E2084,Sheet2!$G$3:$H$8,2,0),"unkwon")</f>
        <v>online</v>
      </c>
      <c r="I2084" s="5">
        <f>VLOOKUP(B2084,Sheet2!$J$4:$K$15,2,0)</f>
        <v>8</v>
      </c>
      <c r="J2084" s="5">
        <f>IFERROR(VLOOKUP(C2084,Sheet2!$M$4:$N$12,2,0),0)</f>
        <v>1000</v>
      </c>
      <c r="K2084" s="5" t="str">
        <f t="shared" si="32"/>
        <v>over budget</v>
      </c>
    </row>
    <row r="2085" spans="1:11" x14ac:dyDescent="0.3">
      <c r="A2085" s="6">
        <v>45297</v>
      </c>
      <c r="B2085" s="5" t="s">
        <v>37</v>
      </c>
      <c r="C2085" s="5" t="s">
        <v>41</v>
      </c>
      <c r="D2085" s="5" t="s">
        <v>14</v>
      </c>
      <c r="E2085" s="5" t="s">
        <v>32</v>
      </c>
      <c r="F2085" s="5">
        <v>3631</v>
      </c>
      <c r="G2085" s="5" t="str">
        <f>VLOOKUP(C2085,Sheet2!$C$3:$D$12,2,0)</f>
        <v>Variable</v>
      </c>
      <c r="H2085" s="5" t="str">
        <f>IFERROR(VLOOKUP(E2085,Sheet2!$G$3:$H$8,2,0),"unkwon")</f>
        <v>offline</v>
      </c>
      <c r="I2085" s="5">
        <f>VLOOKUP(B2085,Sheet2!$J$4:$K$15,2,0)</f>
        <v>1</v>
      </c>
      <c r="J2085" s="5">
        <f>IFERROR(VLOOKUP(C2085,Sheet2!$M$4:$N$12,2,0),0)</f>
        <v>7000</v>
      </c>
      <c r="K2085" s="5" t="str">
        <f t="shared" si="32"/>
        <v>within budget</v>
      </c>
    </row>
    <row r="2086" spans="1:11" x14ac:dyDescent="0.3">
      <c r="A2086" s="6">
        <v>45346</v>
      </c>
      <c r="B2086" s="5" t="s">
        <v>33</v>
      </c>
      <c r="C2086" s="5" t="s">
        <v>7</v>
      </c>
      <c r="D2086" s="5" t="s">
        <v>31</v>
      </c>
      <c r="E2086" s="5" t="s">
        <v>15</v>
      </c>
      <c r="F2086" s="5">
        <v>3073</v>
      </c>
      <c r="G2086" s="5" t="str">
        <f>VLOOKUP(C2086,Sheet2!$C$3:$D$12,2,0)</f>
        <v>Fixed</v>
      </c>
      <c r="H2086" s="5" t="str">
        <f>IFERROR(VLOOKUP(E2086,Sheet2!$G$3:$H$8,2,0),"unkwon")</f>
        <v>online</v>
      </c>
      <c r="I2086" s="5">
        <f>VLOOKUP(B2086,Sheet2!$J$4:$K$15,2,0)</f>
        <v>2</v>
      </c>
      <c r="J2086" s="5">
        <f>IFERROR(VLOOKUP(C2086,Sheet2!$M$4:$N$12,2,0),0)</f>
        <v>2000</v>
      </c>
      <c r="K2086" s="5" t="str">
        <f t="shared" si="32"/>
        <v>over budget</v>
      </c>
    </row>
    <row r="2087" spans="1:11" x14ac:dyDescent="0.3">
      <c r="A2087" s="6">
        <v>45339</v>
      </c>
      <c r="B2087" s="5" t="s">
        <v>33</v>
      </c>
      <c r="C2087" s="5" t="s">
        <v>13</v>
      </c>
      <c r="D2087" s="5" t="s">
        <v>26</v>
      </c>
      <c r="E2087" s="5" t="s">
        <v>12</v>
      </c>
      <c r="F2087" s="5">
        <v>4132</v>
      </c>
      <c r="G2087" s="5" t="str">
        <f>VLOOKUP(C2087,Sheet2!$C$3:$D$12,2,0)</f>
        <v>Variable</v>
      </c>
      <c r="H2087" s="5" t="str">
        <f>IFERROR(VLOOKUP(E2087,Sheet2!$G$3:$H$8,2,0),"unkwon")</f>
        <v>online</v>
      </c>
      <c r="I2087" s="5">
        <f>VLOOKUP(B2087,Sheet2!$J$4:$K$15,2,0)</f>
        <v>2</v>
      </c>
      <c r="J2087" s="5">
        <f>IFERROR(VLOOKUP(C2087,Sheet2!$M$4:$N$12,2,0),0)</f>
        <v>5000</v>
      </c>
      <c r="K2087" s="5" t="str">
        <f t="shared" si="32"/>
        <v>within budget</v>
      </c>
    </row>
    <row r="2088" spans="1:11" x14ac:dyDescent="0.3">
      <c r="A2088" s="6">
        <v>45418</v>
      </c>
      <c r="B2088" s="5" t="s">
        <v>28</v>
      </c>
      <c r="C2088" s="5" t="s">
        <v>7</v>
      </c>
      <c r="D2088" s="5" t="s">
        <v>34</v>
      </c>
      <c r="E2088" s="5" t="s">
        <v>9</v>
      </c>
      <c r="F2088" s="5">
        <v>1354</v>
      </c>
      <c r="G2088" s="5" t="str">
        <f>VLOOKUP(C2088,Sheet2!$C$3:$D$12,2,0)</f>
        <v>Fixed</v>
      </c>
      <c r="H2088" s="5" t="str">
        <f>IFERROR(VLOOKUP(E2088,Sheet2!$G$3:$H$8,2,0),"unkwon")</f>
        <v>online</v>
      </c>
      <c r="I2088" s="5">
        <f>VLOOKUP(B2088,Sheet2!$J$4:$K$15,2,0)</f>
        <v>5</v>
      </c>
      <c r="J2088" s="5">
        <f>IFERROR(VLOOKUP(C2088,Sheet2!$M$4:$N$12,2,0),0)</f>
        <v>2000</v>
      </c>
      <c r="K2088" s="5" t="str">
        <f t="shared" si="32"/>
        <v>within budget</v>
      </c>
    </row>
    <row r="2089" spans="1:11" x14ac:dyDescent="0.3">
      <c r="A2089" s="6">
        <v>45019</v>
      </c>
      <c r="B2089" s="5" t="s">
        <v>29</v>
      </c>
      <c r="C2089" s="5" t="s">
        <v>27</v>
      </c>
      <c r="D2089" s="5" t="s">
        <v>31</v>
      </c>
      <c r="E2089" s="5" t="s">
        <v>32</v>
      </c>
      <c r="F2089" s="5">
        <v>1649</v>
      </c>
      <c r="G2089" s="5" t="str">
        <f>VLOOKUP(C2089,Sheet2!$C$3:$D$12,2,0)</f>
        <v>Variable</v>
      </c>
      <c r="H2089" s="5" t="str">
        <f>IFERROR(VLOOKUP(E2089,Sheet2!$G$3:$H$8,2,0),"unkwon")</f>
        <v>offline</v>
      </c>
      <c r="I2089" s="5">
        <f>VLOOKUP(B2089,Sheet2!$J$4:$K$15,2,0)</f>
        <v>4</v>
      </c>
      <c r="J2089" s="5">
        <f>IFERROR(VLOOKUP(C2089,Sheet2!$M$4:$N$12,2,0),0)</f>
        <v>4000</v>
      </c>
      <c r="K2089" s="5" t="str">
        <f t="shared" si="32"/>
        <v>within budget</v>
      </c>
    </row>
    <row r="2090" spans="1:11" x14ac:dyDescent="0.3">
      <c r="A2090" s="6">
        <v>45081</v>
      </c>
      <c r="B2090" s="5" t="s">
        <v>39</v>
      </c>
      <c r="C2090" s="5" t="s">
        <v>30</v>
      </c>
      <c r="D2090" s="5" t="s">
        <v>23</v>
      </c>
      <c r="E2090" s="5" t="s">
        <v>12</v>
      </c>
      <c r="F2090" s="5">
        <v>4513</v>
      </c>
      <c r="G2090" s="5" t="str">
        <f>VLOOKUP(C2090,Sheet2!$C$3:$D$12,2,0)</f>
        <v>Fixed</v>
      </c>
      <c r="H2090" s="5" t="str">
        <f>IFERROR(VLOOKUP(E2090,Sheet2!$G$3:$H$8,2,0),"unkwon")</f>
        <v>online</v>
      </c>
      <c r="I2090" s="5">
        <f>VLOOKUP(B2090,Sheet2!$J$4:$K$15,2,0)</f>
        <v>6</v>
      </c>
      <c r="J2090" s="5">
        <f>IFERROR(VLOOKUP(C2090,Sheet2!$M$4:$N$12,2,0),0)</f>
        <v>3000</v>
      </c>
      <c r="K2090" s="5" t="str">
        <f t="shared" si="32"/>
        <v>over budget</v>
      </c>
    </row>
    <row r="2091" spans="1:11" x14ac:dyDescent="0.3">
      <c r="A2091" s="6">
        <v>45644</v>
      </c>
      <c r="B2091" s="5" t="s">
        <v>16</v>
      </c>
      <c r="C2091" s="5" t="s">
        <v>7</v>
      </c>
      <c r="D2091" s="5" t="s">
        <v>11</v>
      </c>
      <c r="E2091" s="5" t="s">
        <v>9</v>
      </c>
      <c r="F2091" s="5">
        <v>1369</v>
      </c>
      <c r="G2091" s="5" t="str">
        <f>VLOOKUP(C2091,Sheet2!$C$3:$D$12,2,0)</f>
        <v>Fixed</v>
      </c>
      <c r="H2091" s="5" t="str">
        <f>IFERROR(VLOOKUP(E2091,Sheet2!$G$3:$H$8,2,0),"unkwon")</f>
        <v>online</v>
      </c>
      <c r="I2091" s="5">
        <f>VLOOKUP(B2091,Sheet2!$J$4:$K$15,2,0)</f>
        <v>12</v>
      </c>
      <c r="J2091" s="5">
        <f>IFERROR(VLOOKUP(C2091,Sheet2!$M$4:$N$12,2,0),0)</f>
        <v>2000</v>
      </c>
      <c r="K2091" s="5" t="str">
        <f t="shared" si="32"/>
        <v>within budget</v>
      </c>
    </row>
    <row r="2092" spans="1:11" x14ac:dyDescent="0.3">
      <c r="A2092" s="6">
        <v>45027</v>
      </c>
      <c r="B2092" s="5" t="s">
        <v>29</v>
      </c>
      <c r="C2092" s="5" t="s">
        <v>41</v>
      </c>
      <c r="D2092" s="5" t="s">
        <v>11</v>
      </c>
      <c r="E2092" s="5" t="s">
        <v>9</v>
      </c>
      <c r="F2092" s="5">
        <v>1397</v>
      </c>
      <c r="G2092" s="5" t="str">
        <f>VLOOKUP(C2092,Sheet2!$C$3:$D$12,2,0)</f>
        <v>Variable</v>
      </c>
      <c r="H2092" s="5" t="str">
        <f>IFERROR(VLOOKUP(E2092,Sheet2!$G$3:$H$8,2,0),"unkwon")</f>
        <v>online</v>
      </c>
      <c r="I2092" s="5">
        <f>VLOOKUP(B2092,Sheet2!$J$4:$K$15,2,0)</f>
        <v>4</v>
      </c>
      <c r="J2092" s="5">
        <f>IFERROR(VLOOKUP(C2092,Sheet2!$M$4:$N$12,2,0),0)</f>
        <v>7000</v>
      </c>
      <c r="K2092" s="5" t="str">
        <f t="shared" si="32"/>
        <v>within budget</v>
      </c>
    </row>
    <row r="2093" spans="1:11" x14ac:dyDescent="0.3">
      <c r="A2093" s="6">
        <v>45487</v>
      </c>
      <c r="B2093" s="5" t="s">
        <v>21</v>
      </c>
      <c r="C2093" s="5" t="s">
        <v>35</v>
      </c>
      <c r="D2093" s="5" t="s">
        <v>31</v>
      </c>
      <c r="E2093" s="5" t="s">
        <v>32</v>
      </c>
      <c r="F2093" s="5">
        <v>2138</v>
      </c>
      <c r="G2093" s="5" t="str">
        <f>VLOOKUP(C2093,Sheet2!$C$3:$D$12,2,0)</f>
        <v>Fixed</v>
      </c>
      <c r="H2093" s="5" t="str">
        <f>IFERROR(VLOOKUP(E2093,Sheet2!$G$3:$H$8,2,0),"unkwon")</f>
        <v>offline</v>
      </c>
      <c r="I2093" s="5">
        <f>VLOOKUP(B2093,Sheet2!$J$4:$K$15,2,0)</f>
        <v>7</v>
      </c>
      <c r="J2093" s="5">
        <f>IFERROR(VLOOKUP(C2093,Sheet2!$M$4:$N$12,2,0),0)</f>
        <v>5500</v>
      </c>
      <c r="K2093" s="5" t="str">
        <f t="shared" si="32"/>
        <v>within budget</v>
      </c>
    </row>
    <row r="2094" spans="1:11" x14ac:dyDescent="0.3">
      <c r="A2094" s="6">
        <v>45174</v>
      </c>
      <c r="B2094" s="5" t="s">
        <v>38</v>
      </c>
      <c r="C2094" s="5" t="s">
        <v>13</v>
      </c>
      <c r="D2094" s="5" t="s">
        <v>11</v>
      </c>
      <c r="E2094" s="5" t="s">
        <v>12</v>
      </c>
      <c r="F2094" s="5">
        <v>1209</v>
      </c>
      <c r="G2094" s="5" t="str">
        <f>VLOOKUP(C2094,Sheet2!$C$3:$D$12,2,0)</f>
        <v>Variable</v>
      </c>
      <c r="H2094" s="5" t="str">
        <f>IFERROR(VLOOKUP(E2094,Sheet2!$G$3:$H$8,2,0),"unkwon")</f>
        <v>online</v>
      </c>
      <c r="I2094" s="5">
        <f>VLOOKUP(B2094,Sheet2!$J$4:$K$15,2,0)</f>
        <v>9</v>
      </c>
      <c r="J2094" s="5">
        <f>IFERROR(VLOOKUP(C2094,Sheet2!$M$4:$N$12,2,0),0)</f>
        <v>5000</v>
      </c>
      <c r="K2094" s="5" t="str">
        <f t="shared" si="32"/>
        <v>within budget</v>
      </c>
    </row>
    <row r="2095" spans="1:11" x14ac:dyDescent="0.3">
      <c r="A2095" s="6">
        <v>45613</v>
      </c>
      <c r="B2095" s="5" t="s">
        <v>40</v>
      </c>
      <c r="C2095" s="5" t="s">
        <v>35</v>
      </c>
      <c r="D2095" s="5" t="s">
        <v>20</v>
      </c>
      <c r="E2095" s="5" t="s">
        <v>15</v>
      </c>
      <c r="F2095" s="5">
        <v>4326</v>
      </c>
      <c r="G2095" s="5" t="str">
        <f>VLOOKUP(C2095,Sheet2!$C$3:$D$12,2,0)</f>
        <v>Fixed</v>
      </c>
      <c r="H2095" s="5" t="str">
        <f>IFERROR(VLOOKUP(E2095,Sheet2!$G$3:$H$8,2,0),"unkwon")</f>
        <v>online</v>
      </c>
      <c r="I2095" s="5">
        <f>VLOOKUP(B2095,Sheet2!$J$4:$K$15,2,0)</f>
        <v>11</v>
      </c>
      <c r="J2095" s="5">
        <f>IFERROR(VLOOKUP(C2095,Sheet2!$M$4:$N$12,2,0),0)</f>
        <v>5500</v>
      </c>
      <c r="K2095" s="5" t="str">
        <f t="shared" si="32"/>
        <v>within budget</v>
      </c>
    </row>
    <row r="2096" spans="1:11" x14ac:dyDescent="0.3">
      <c r="A2096" s="6">
        <v>45363</v>
      </c>
      <c r="B2096" s="5" t="s">
        <v>19</v>
      </c>
      <c r="C2096" s="5" t="s">
        <v>35</v>
      </c>
      <c r="D2096" s="5" t="s">
        <v>8</v>
      </c>
      <c r="E2096" s="5" t="s">
        <v>15</v>
      </c>
      <c r="F2096" s="5">
        <v>3577</v>
      </c>
      <c r="G2096" s="5" t="str">
        <f>VLOOKUP(C2096,Sheet2!$C$3:$D$12,2,0)</f>
        <v>Fixed</v>
      </c>
      <c r="H2096" s="5" t="str">
        <f>IFERROR(VLOOKUP(E2096,Sheet2!$G$3:$H$8,2,0),"unkwon")</f>
        <v>online</v>
      </c>
      <c r="I2096" s="5">
        <f>VLOOKUP(B2096,Sheet2!$J$4:$K$15,2,0)</f>
        <v>3</v>
      </c>
      <c r="J2096" s="5">
        <f>IFERROR(VLOOKUP(C2096,Sheet2!$M$4:$N$12,2,0),0)</f>
        <v>5500</v>
      </c>
      <c r="K2096" s="5" t="str">
        <f t="shared" si="32"/>
        <v>within budget</v>
      </c>
    </row>
    <row r="2097" spans="1:11" x14ac:dyDescent="0.3">
      <c r="A2097" s="6">
        <v>45582</v>
      </c>
      <c r="B2097" s="5" t="s">
        <v>6</v>
      </c>
      <c r="C2097" s="5" t="s">
        <v>10</v>
      </c>
      <c r="D2097" s="5" t="s">
        <v>8</v>
      </c>
      <c r="E2097" s="5" t="s">
        <v>12</v>
      </c>
      <c r="F2097" s="5">
        <v>1849</v>
      </c>
      <c r="G2097" s="5" t="str">
        <f>VLOOKUP(C2097,Sheet2!$C$3:$D$12,2,0)</f>
        <v>Variable</v>
      </c>
      <c r="H2097" s="5" t="str">
        <f>IFERROR(VLOOKUP(E2097,Sheet2!$G$3:$H$8,2,0),"unkwon")</f>
        <v>online</v>
      </c>
      <c r="I2097" s="5">
        <f>VLOOKUP(B2097,Sheet2!$J$4:$K$15,2,0)</f>
        <v>10</v>
      </c>
      <c r="J2097" s="5">
        <f>IFERROR(VLOOKUP(C2097,Sheet2!$M$4:$N$12,2,0),0)</f>
        <v>5000</v>
      </c>
      <c r="K2097" s="5" t="str">
        <f t="shared" si="32"/>
        <v>within budget</v>
      </c>
    </row>
    <row r="2098" spans="1:11" x14ac:dyDescent="0.3">
      <c r="A2098" s="6">
        <v>45248</v>
      </c>
      <c r="B2098" s="5" t="s">
        <v>40</v>
      </c>
      <c r="C2098" s="5" t="s">
        <v>41</v>
      </c>
      <c r="D2098" s="5" t="s">
        <v>20</v>
      </c>
      <c r="E2098" s="5" t="s">
        <v>12</v>
      </c>
      <c r="F2098" s="5">
        <v>1089</v>
      </c>
      <c r="G2098" s="5" t="str">
        <f>VLOOKUP(C2098,Sheet2!$C$3:$D$12,2,0)</f>
        <v>Variable</v>
      </c>
      <c r="H2098" s="5" t="str">
        <f>IFERROR(VLOOKUP(E2098,Sheet2!$G$3:$H$8,2,0),"unkwon")</f>
        <v>online</v>
      </c>
      <c r="I2098" s="5">
        <f>VLOOKUP(B2098,Sheet2!$J$4:$K$15,2,0)</f>
        <v>11</v>
      </c>
      <c r="J2098" s="5">
        <f>IFERROR(VLOOKUP(C2098,Sheet2!$M$4:$N$12,2,0),0)</f>
        <v>7000</v>
      </c>
      <c r="K2098" s="5" t="str">
        <f t="shared" si="32"/>
        <v>within budget</v>
      </c>
    </row>
    <row r="2099" spans="1:11" x14ac:dyDescent="0.3">
      <c r="A2099" s="6">
        <v>45374</v>
      </c>
      <c r="B2099" s="5" t="s">
        <v>19</v>
      </c>
      <c r="C2099" s="5" t="s">
        <v>10</v>
      </c>
      <c r="D2099" s="5" t="s">
        <v>14</v>
      </c>
      <c r="E2099" s="5" t="s">
        <v>17</v>
      </c>
      <c r="F2099" s="5">
        <v>1032</v>
      </c>
      <c r="G2099" s="5" t="str">
        <f>VLOOKUP(C2099,Sheet2!$C$3:$D$12,2,0)</f>
        <v>Variable</v>
      </c>
      <c r="H2099" s="5" t="str">
        <f>IFERROR(VLOOKUP(E2099,Sheet2!$G$3:$H$8,2,0),"unkwon")</f>
        <v>online</v>
      </c>
      <c r="I2099" s="5">
        <f>VLOOKUP(B2099,Sheet2!$J$4:$K$15,2,0)</f>
        <v>3</v>
      </c>
      <c r="J2099" s="5">
        <f>IFERROR(VLOOKUP(C2099,Sheet2!$M$4:$N$12,2,0),0)</f>
        <v>5000</v>
      </c>
      <c r="K2099" s="5" t="str">
        <f t="shared" si="32"/>
        <v>within budget</v>
      </c>
    </row>
    <row r="2100" spans="1:11" x14ac:dyDescent="0.3">
      <c r="A2100" s="6">
        <v>45534</v>
      </c>
      <c r="B2100" s="5" t="s">
        <v>25</v>
      </c>
      <c r="C2100" s="5" t="s">
        <v>30</v>
      </c>
      <c r="D2100" s="5" t="s">
        <v>20</v>
      </c>
      <c r="E2100" s="5" t="s">
        <v>12</v>
      </c>
      <c r="F2100" s="5">
        <v>4497</v>
      </c>
      <c r="G2100" s="5" t="str">
        <f>VLOOKUP(C2100,Sheet2!$C$3:$D$12,2,0)</f>
        <v>Fixed</v>
      </c>
      <c r="H2100" s="5" t="str">
        <f>IFERROR(VLOOKUP(E2100,Sheet2!$G$3:$H$8,2,0),"unkwon")</f>
        <v>online</v>
      </c>
      <c r="I2100" s="5">
        <f>VLOOKUP(B2100,Sheet2!$J$4:$K$15,2,0)</f>
        <v>8</v>
      </c>
      <c r="J2100" s="5">
        <f>IFERROR(VLOOKUP(C2100,Sheet2!$M$4:$N$12,2,0),0)</f>
        <v>3000</v>
      </c>
      <c r="K2100" s="5" t="str">
        <f t="shared" si="32"/>
        <v>over budget</v>
      </c>
    </row>
    <row r="2101" spans="1:11" x14ac:dyDescent="0.3">
      <c r="A2101" s="6">
        <v>45063</v>
      </c>
      <c r="B2101" s="5" t="s">
        <v>28</v>
      </c>
      <c r="C2101" s="5" t="s">
        <v>30</v>
      </c>
      <c r="D2101" s="5" t="s">
        <v>34</v>
      </c>
      <c r="E2101" s="5" t="s">
        <v>12</v>
      </c>
      <c r="F2101" s="5">
        <v>4994</v>
      </c>
      <c r="G2101" s="5" t="str">
        <f>VLOOKUP(C2101,Sheet2!$C$3:$D$12,2,0)</f>
        <v>Fixed</v>
      </c>
      <c r="H2101" s="5" t="str">
        <f>IFERROR(VLOOKUP(E2101,Sheet2!$G$3:$H$8,2,0),"unkwon")</f>
        <v>online</v>
      </c>
      <c r="I2101" s="5">
        <f>VLOOKUP(B2101,Sheet2!$J$4:$K$15,2,0)</f>
        <v>5</v>
      </c>
      <c r="J2101" s="5">
        <f>IFERROR(VLOOKUP(C2101,Sheet2!$M$4:$N$12,2,0),0)</f>
        <v>3000</v>
      </c>
      <c r="K2101" s="5" t="str">
        <f t="shared" si="32"/>
        <v>over budget</v>
      </c>
    </row>
    <row r="2102" spans="1:11" x14ac:dyDescent="0.3">
      <c r="A2102" s="6">
        <v>45516</v>
      </c>
      <c r="B2102" s="5" t="s">
        <v>25</v>
      </c>
      <c r="C2102" s="5" t="s">
        <v>10</v>
      </c>
      <c r="D2102" s="5" t="s">
        <v>26</v>
      </c>
      <c r="E2102" s="5" t="s">
        <v>9</v>
      </c>
      <c r="F2102" s="5">
        <v>581</v>
      </c>
      <c r="G2102" s="5" t="str">
        <f>VLOOKUP(C2102,Sheet2!$C$3:$D$12,2,0)</f>
        <v>Variable</v>
      </c>
      <c r="H2102" s="5" t="str">
        <f>IFERROR(VLOOKUP(E2102,Sheet2!$G$3:$H$8,2,0),"unkwon")</f>
        <v>online</v>
      </c>
      <c r="I2102" s="5">
        <f>VLOOKUP(B2102,Sheet2!$J$4:$K$15,2,0)</f>
        <v>8</v>
      </c>
      <c r="J2102" s="5">
        <f>IFERROR(VLOOKUP(C2102,Sheet2!$M$4:$N$12,2,0),0)</f>
        <v>5000</v>
      </c>
      <c r="K2102" s="5" t="str">
        <f t="shared" si="32"/>
        <v>within budget</v>
      </c>
    </row>
    <row r="2103" spans="1:11" x14ac:dyDescent="0.3">
      <c r="A2103" s="6">
        <v>44959</v>
      </c>
      <c r="B2103" s="5" t="s">
        <v>33</v>
      </c>
      <c r="C2103" s="5" t="s">
        <v>22</v>
      </c>
      <c r="D2103" s="5" t="s">
        <v>34</v>
      </c>
      <c r="E2103" s="5" t="s">
        <v>9</v>
      </c>
      <c r="F2103" s="5">
        <v>4217</v>
      </c>
      <c r="G2103" s="5" t="str">
        <f>VLOOKUP(C2103,Sheet2!$C$3:$D$12,2,0)</f>
        <v>Variable</v>
      </c>
      <c r="H2103" s="5" t="str">
        <f>IFERROR(VLOOKUP(E2103,Sheet2!$G$3:$H$8,2,0),"unkwon")</f>
        <v>online</v>
      </c>
      <c r="I2103" s="5">
        <f>VLOOKUP(B2103,Sheet2!$J$4:$K$15,2,0)</f>
        <v>2</v>
      </c>
      <c r="J2103" s="5">
        <f>IFERROR(VLOOKUP(C2103,Sheet2!$M$4:$N$12,2,0),0)</f>
        <v>1000</v>
      </c>
      <c r="K2103" s="5" t="str">
        <f t="shared" si="32"/>
        <v>over budget</v>
      </c>
    </row>
    <row r="2104" spans="1:11" x14ac:dyDescent="0.3">
      <c r="A2104" s="6">
        <v>45478</v>
      </c>
      <c r="B2104" s="5" t="s">
        <v>21</v>
      </c>
      <c r="C2104" s="5" t="s">
        <v>7</v>
      </c>
      <c r="D2104" s="5" t="s">
        <v>20</v>
      </c>
      <c r="E2104" s="5" t="s">
        <v>32</v>
      </c>
      <c r="F2104" s="5">
        <v>4161</v>
      </c>
      <c r="G2104" s="5" t="str">
        <f>VLOOKUP(C2104,Sheet2!$C$3:$D$12,2,0)</f>
        <v>Fixed</v>
      </c>
      <c r="H2104" s="5" t="str">
        <f>IFERROR(VLOOKUP(E2104,Sheet2!$G$3:$H$8,2,0),"unkwon")</f>
        <v>offline</v>
      </c>
      <c r="I2104" s="5">
        <f>VLOOKUP(B2104,Sheet2!$J$4:$K$15,2,0)</f>
        <v>7</v>
      </c>
      <c r="J2104" s="5">
        <f>IFERROR(VLOOKUP(C2104,Sheet2!$M$4:$N$12,2,0),0)</f>
        <v>2000</v>
      </c>
      <c r="K2104" s="5" t="str">
        <f t="shared" si="32"/>
        <v>over budget</v>
      </c>
    </row>
    <row r="2105" spans="1:11" x14ac:dyDescent="0.3">
      <c r="A2105" s="6">
        <v>45423</v>
      </c>
      <c r="B2105" s="5" t="s">
        <v>28</v>
      </c>
      <c r="C2105" s="5" t="s">
        <v>35</v>
      </c>
      <c r="D2105" s="5" t="s">
        <v>23</v>
      </c>
      <c r="E2105" s="5" t="s">
        <v>15</v>
      </c>
      <c r="F2105" s="5">
        <v>4550</v>
      </c>
      <c r="G2105" s="5" t="str">
        <f>VLOOKUP(C2105,Sheet2!$C$3:$D$12,2,0)</f>
        <v>Fixed</v>
      </c>
      <c r="H2105" s="5" t="str">
        <f>IFERROR(VLOOKUP(E2105,Sheet2!$G$3:$H$8,2,0),"unkwon")</f>
        <v>online</v>
      </c>
      <c r="I2105" s="5">
        <f>VLOOKUP(B2105,Sheet2!$J$4:$K$15,2,0)</f>
        <v>5</v>
      </c>
      <c r="J2105" s="5">
        <f>IFERROR(VLOOKUP(C2105,Sheet2!$M$4:$N$12,2,0),0)</f>
        <v>5500</v>
      </c>
      <c r="K2105" s="5" t="str">
        <f t="shared" si="32"/>
        <v>within budget</v>
      </c>
    </row>
    <row r="2106" spans="1:11" x14ac:dyDescent="0.3">
      <c r="A2106" s="6">
        <v>45356</v>
      </c>
      <c r="B2106" s="5" t="s">
        <v>19</v>
      </c>
      <c r="C2106" s="5" t="s">
        <v>41</v>
      </c>
      <c r="D2106" s="5" t="s">
        <v>26</v>
      </c>
      <c r="E2106" s="5" t="s">
        <v>17</v>
      </c>
      <c r="F2106" s="5">
        <v>1543</v>
      </c>
      <c r="G2106" s="5" t="str">
        <f>VLOOKUP(C2106,Sheet2!$C$3:$D$12,2,0)</f>
        <v>Variable</v>
      </c>
      <c r="H2106" s="5" t="str">
        <f>IFERROR(VLOOKUP(E2106,Sheet2!$G$3:$H$8,2,0),"unkwon")</f>
        <v>online</v>
      </c>
      <c r="I2106" s="5">
        <f>VLOOKUP(B2106,Sheet2!$J$4:$K$15,2,0)</f>
        <v>3</v>
      </c>
      <c r="J2106" s="5">
        <f>IFERROR(VLOOKUP(C2106,Sheet2!$M$4:$N$12,2,0),0)</f>
        <v>7000</v>
      </c>
      <c r="K2106" s="5" t="str">
        <f t="shared" si="32"/>
        <v>within budget</v>
      </c>
    </row>
    <row r="2107" spans="1:11" x14ac:dyDescent="0.3">
      <c r="A2107" s="6">
        <v>45453</v>
      </c>
      <c r="B2107" s="5" t="s">
        <v>39</v>
      </c>
      <c r="C2107" s="5" t="s">
        <v>10</v>
      </c>
      <c r="D2107" s="5" t="s">
        <v>23</v>
      </c>
      <c r="E2107" s="5" t="s">
        <v>9</v>
      </c>
      <c r="F2107" s="5">
        <v>131</v>
      </c>
      <c r="G2107" s="5" t="str">
        <f>VLOOKUP(C2107,Sheet2!$C$3:$D$12,2,0)</f>
        <v>Variable</v>
      </c>
      <c r="H2107" s="5" t="str">
        <f>IFERROR(VLOOKUP(E2107,Sheet2!$G$3:$H$8,2,0),"unkwon")</f>
        <v>online</v>
      </c>
      <c r="I2107" s="5">
        <f>VLOOKUP(B2107,Sheet2!$J$4:$K$15,2,0)</f>
        <v>6</v>
      </c>
      <c r="J2107" s="5">
        <f>IFERROR(VLOOKUP(C2107,Sheet2!$M$4:$N$12,2,0),0)</f>
        <v>5000</v>
      </c>
      <c r="K2107" s="5" t="str">
        <f t="shared" si="32"/>
        <v>within budget</v>
      </c>
    </row>
    <row r="2108" spans="1:11" x14ac:dyDescent="0.3">
      <c r="A2108" s="6">
        <v>45160</v>
      </c>
      <c r="B2108" s="5" t="s">
        <v>25</v>
      </c>
      <c r="C2108" s="5" t="s">
        <v>27</v>
      </c>
      <c r="D2108" s="5" t="s">
        <v>11</v>
      </c>
      <c r="E2108" s="5" t="s">
        <v>9</v>
      </c>
      <c r="F2108" s="5">
        <v>4062</v>
      </c>
      <c r="G2108" s="5" t="str">
        <f>VLOOKUP(C2108,Sheet2!$C$3:$D$12,2,0)</f>
        <v>Variable</v>
      </c>
      <c r="H2108" s="5" t="str">
        <f>IFERROR(VLOOKUP(E2108,Sheet2!$G$3:$H$8,2,0),"unkwon")</f>
        <v>online</v>
      </c>
      <c r="I2108" s="5">
        <f>VLOOKUP(B2108,Sheet2!$J$4:$K$15,2,0)</f>
        <v>8</v>
      </c>
      <c r="J2108" s="5">
        <f>IFERROR(VLOOKUP(C2108,Sheet2!$M$4:$N$12,2,0),0)</f>
        <v>4000</v>
      </c>
      <c r="K2108" s="5" t="str">
        <f t="shared" si="32"/>
        <v>over budget</v>
      </c>
    </row>
    <row r="2109" spans="1:11" x14ac:dyDescent="0.3">
      <c r="A2109" s="6">
        <v>45287</v>
      </c>
      <c r="B2109" s="5" t="s">
        <v>16</v>
      </c>
      <c r="C2109" s="5" t="s">
        <v>22</v>
      </c>
      <c r="D2109" s="5" t="s">
        <v>11</v>
      </c>
      <c r="E2109" s="5" t="s">
        <v>9</v>
      </c>
      <c r="F2109" s="5">
        <v>1660</v>
      </c>
      <c r="G2109" s="5" t="str">
        <f>VLOOKUP(C2109,Sheet2!$C$3:$D$12,2,0)</f>
        <v>Variable</v>
      </c>
      <c r="H2109" s="5" t="str">
        <f>IFERROR(VLOOKUP(E2109,Sheet2!$G$3:$H$8,2,0),"unkwon")</f>
        <v>online</v>
      </c>
      <c r="I2109" s="5">
        <f>VLOOKUP(B2109,Sheet2!$J$4:$K$15,2,0)</f>
        <v>12</v>
      </c>
      <c r="J2109" s="5">
        <f>IFERROR(VLOOKUP(C2109,Sheet2!$M$4:$N$12,2,0),0)</f>
        <v>1000</v>
      </c>
      <c r="K2109" s="5" t="str">
        <f t="shared" si="32"/>
        <v>over budget</v>
      </c>
    </row>
    <row r="2110" spans="1:11" x14ac:dyDescent="0.3">
      <c r="A2110" s="6">
        <v>45362</v>
      </c>
      <c r="B2110" s="5" t="s">
        <v>19</v>
      </c>
      <c r="C2110" s="5" t="s">
        <v>13</v>
      </c>
      <c r="D2110" s="5" t="s">
        <v>18</v>
      </c>
      <c r="E2110" s="5" t="s">
        <v>17</v>
      </c>
      <c r="F2110" s="5">
        <v>1238</v>
      </c>
      <c r="G2110" s="5" t="str">
        <f>VLOOKUP(C2110,Sheet2!$C$3:$D$12,2,0)</f>
        <v>Variable</v>
      </c>
      <c r="H2110" s="5" t="str">
        <f>IFERROR(VLOOKUP(E2110,Sheet2!$G$3:$H$8,2,0),"unkwon")</f>
        <v>online</v>
      </c>
      <c r="I2110" s="5">
        <f>VLOOKUP(B2110,Sheet2!$J$4:$K$15,2,0)</f>
        <v>3</v>
      </c>
      <c r="J2110" s="5">
        <f>IFERROR(VLOOKUP(C2110,Sheet2!$M$4:$N$12,2,0),0)</f>
        <v>5000</v>
      </c>
      <c r="K2110" s="5" t="str">
        <f t="shared" si="32"/>
        <v>within budget</v>
      </c>
    </row>
    <row r="2111" spans="1:11" x14ac:dyDescent="0.3">
      <c r="A2111" s="6">
        <v>45278</v>
      </c>
      <c r="B2111" s="5" t="s">
        <v>16</v>
      </c>
      <c r="C2111" s="5" t="s">
        <v>41</v>
      </c>
      <c r="D2111" s="5" t="s">
        <v>8</v>
      </c>
      <c r="E2111" s="5" t="s">
        <v>32</v>
      </c>
      <c r="F2111" s="5">
        <v>387</v>
      </c>
      <c r="G2111" s="5" t="str">
        <f>VLOOKUP(C2111,Sheet2!$C$3:$D$12,2,0)</f>
        <v>Variable</v>
      </c>
      <c r="H2111" s="5" t="str">
        <f>IFERROR(VLOOKUP(E2111,Sheet2!$G$3:$H$8,2,0),"unkwon")</f>
        <v>offline</v>
      </c>
      <c r="I2111" s="5">
        <f>VLOOKUP(B2111,Sheet2!$J$4:$K$15,2,0)</f>
        <v>12</v>
      </c>
      <c r="J2111" s="5">
        <f>IFERROR(VLOOKUP(C2111,Sheet2!$M$4:$N$12,2,0),0)</f>
        <v>7000</v>
      </c>
      <c r="K2111" s="5" t="str">
        <f t="shared" si="32"/>
        <v>within budget</v>
      </c>
    </row>
    <row r="2112" spans="1:11" x14ac:dyDescent="0.3">
      <c r="A2112" s="6">
        <v>45167</v>
      </c>
      <c r="B2112" s="5" t="s">
        <v>25</v>
      </c>
      <c r="C2112" s="5" t="s">
        <v>27</v>
      </c>
      <c r="D2112" s="5" t="s">
        <v>14</v>
      </c>
      <c r="E2112" s="5" t="s">
        <v>32</v>
      </c>
      <c r="F2112" s="5">
        <v>4582</v>
      </c>
      <c r="G2112" s="5" t="str">
        <f>VLOOKUP(C2112,Sheet2!$C$3:$D$12,2,0)</f>
        <v>Variable</v>
      </c>
      <c r="H2112" s="5" t="str">
        <f>IFERROR(VLOOKUP(E2112,Sheet2!$G$3:$H$8,2,0),"unkwon")</f>
        <v>offline</v>
      </c>
      <c r="I2112" s="5">
        <f>VLOOKUP(B2112,Sheet2!$J$4:$K$15,2,0)</f>
        <v>8</v>
      </c>
      <c r="J2112" s="5">
        <f>IFERROR(VLOOKUP(C2112,Sheet2!$M$4:$N$12,2,0),0)</f>
        <v>4000</v>
      </c>
      <c r="K2112" s="5" t="str">
        <f t="shared" si="32"/>
        <v>over budget</v>
      </c>
    </row>
    <row r="2113" spans="1:11" x14ac:dyDescent="0.3">
      <c r="A2113" s="6">
        <v>45548</v>
      </c>
      <c r="B2113" s="5" t="s">
        <v>38</v>
      </c>
      <c r="C2113" s="5" t="s">
        <v>27</v>
      </c>
      <c r="D2113" s="5" t="s">
        <v>20</v>
      </c>
      <c r="E2113" s="5" t="s">
        <v>17</v>
      </c>
      <c r="F2113" s="5">
        <v>1178</v>
      </c>
      <c r="G2113" s="5" t="str">
        <f>VLOOKUP(C2113,Sheet2!$C$3:$D$12,2,0)</f>
        <v>Variable</v>
      </c>
      <c r="H2113" s="5" t="str">
        <f>IFERROR(VLOOKUP(E2113,Sheet2!$G$3:$H$8,2,0),"unkwon")</f>
        <v>online</v>
      </c>
      <c r="I2113" s="5">
        <f>VLOOKUP(B2113,Sheet2!$J$4:$K$15,2,0)</f>
        <v>9</v>
      </c>
      <c r="J2113" s="5">
        <f>IFERROR(VLOOKUP(C2113,Sheet2!$M$4:$N$12,2,0),0)</f>
        <v>4000</v>
      </c>
      <c r="K2113" s="5" t="str">
        <f t="shared" si="32"/>
        <v>within budget</v>
      </c>
    </row>
    <row r="2114" spans="1:11" x14ac:dyDescent="0.3">
      <c r="A2114" s="6">
        <v>45209</v>
      </c>
      <c r="B2114" s="5" t="s">
        <v>6</v>
      </c>
      <c r="C2114" s="5" t="s">
        <v>35</v>
      </c>
      <c r="D2114" s="5" t="s">
        <v>18</v>
      </c>
      <c r="E2114" s="5" t="s">
        <v>12</v>
      </c>
      <c r="F2114" s="5">
        <v>4286</v>
      </c>
      <c r="G2114" s="5" t="str">
        <f>VLOOKUP(C2114,Sheet2!$C$3:$D$12,2,0)</f>
        <v>Fixed</v>
      </c>
      <c r="H2114" s="5" t="str">
        <f>IFERROR(VLOOKUP(E2114,Sheet2!$G$3:$H$8,2,0),"unkwon")</f>
        <v>online</v>
      </c>
      <c r="I2114" s="5">
        <f>VLOOKUP(B2114,Sheet2!$J$4:$K$15,2,0)</f>
        <v>10</v>
      </c>
      <c r="J2114" s="5">
        <f>IFERROR(VLOOKUP(C2114,Sheet2!$M$4:$N$12,2,0),0)</f>
        <v>5500</v>
      </c>
      <c r="K2114" s="5" t="str">
        <f t="shared" si="32"/>
        <v>within budget</v>
      </c>
    </row>
    <row r="2115" spans="1:11" x14ac:dyDescent="0.3">
      <c r="A2115" s="6">
        <v>45430</v>
      </c>
      <c r="B2115" s="5" t="s">
        <v>28</v>
      </c>
      <c r="C2115" s="5" t="s">
        <v>35</v>
      </c>
      <c r="D2115" s="5" t="s">
        <v>8</v>
      </c>
      <c r="E2115" s="5" t="s">
        <v>32</v>
      </c>
      <c r="F2115" s="5">
        <v>3632</v>
      </c>
      <c r="G2115" s="5" t="str">
        <f>VLOOKUP(C2115,Sheet2!$C$3:$D$12,2,0)</f>
        <v>Fixed</v>
      </c>
      <c r="H2115" s="5" t="str">
        <f>IFERROR(VLOOKUP(E2115,Sheet2!$G$3:$H$8,2,0),"unkwon")</f>
        <v>offline</v>
      </c>
      <c r="I2115" s="5">
        <f>VLOOKUP(B2115,Sheet2!$J$4:$K$15,2,0)</f>
        <v>5</v>
      </c>
      <c r="J2115" s="5">
        <f>IFERROR(VLOOKUP(C2115,Sheet2!$M$4:$N$12,2,0),0)</f>
        <v>5500</v>
      </c>
      <c r="K2115" s="5" t="str">
        <f t="shared" ref="K2115:K2178" si="33">IF(F2115&gt;J2115,"over budget","within budget")</f>
        <v>within budget</v>
      </c>
    </row>
    <row r="2116" spans="1:11" x14ac:dyDescent="0.3">
      <c r="A2116" s="6">
        <v>45381</v>
      </c>
      <c r="B2116" s="5" t="s">
        <v>19</v>
      </c>
      <c r="C2116" s="5" t="s">
        <v>7</v>
      </c>
      <c r="D2116" s="5" t="s">
        <v>14</v>
      </c>
      <c r="E2116" s="5" t="s">
        <v>9</v>
      </c>
      <c r="F2116" s="5">
        <v>1798</v>
      </c>
      <c r="G2116" s="5" t="str">
        <f>VLOOKUP(C2116,Sheet2!$C$3:$D$12,2,0)</f>
        <v>Fixed</v>
      </c>
      <c r="H2116" s="5" t="str">
        <f>IFERROR(VLOOKUP(E2116,Sheet2!$G$3:$H$8,2,0),"unkwon")</f>
        <v>online</v>
      </c>
      <c r="I2116" s="5">
        <f>VLOOKUP(B2116,Sheet2!$J$4:$K$15,2,0)</f>
        <v>3</v>
      </c>
      <c r="J2116" s="5">
        <f>IFERROR(VLOOKUP(C2116,Sheet2!$M$4:$N$12,2,0),0)</f>
        <v>2000</v>
      </c>
      <c r="K2116" s="5" t="str">
        <f t="shared" si="33"/>
        <v>within budget</v>
      </c>
    </row>
    <row r="2117" spans="1:11" x14ac:dyDescent="0.3">
      <c r="A2117" s="6">
        <v>45534</v>
      </c>
      <c r="B2117" s="5" t="s">
        <v>25</v>
      </c>
      <c r="C2117" s="5" t="s">
        <v>22</v>
      </c>
      <c r="D2117" s="5" t="s">
        <v>14</v>
      </c>
      <c r="E2117" s="5" t="s">
        <v>12</v>
      </c>
      <c r="F2117" s="5">
        <v>540</v>
      </c>
      <c r="G2117" s="5" t="str">
        <f>VLOOKUP(C2117,Sheet2!$C$3:$D$12,2,0)</f>
        <v>Variable</v>
      </c>
      <c r="H2117" s="5" t="str">
        <f>IFERROR(VLOOKUP(E2117,Sheet2!$G$3:$H$8,2,0),"unkwon")</f>
        <v>online</v>
      </c>
      <c r="I2117" s="5">
        <f>VLOOKUP(B2117,Sheet2!$J$4:$K$15,2,0)</f>
        <v>8</v>
      </c>
      <c r="J2117" s="5">
        <f>IFERROR(VLOOKUP(C2117,Sheet2!$M$4:$N$12,2,0),0)</f>
        <v>1000</v>
      </c>
      <c r="K2117" s="5" t="str">
        <f t="shared" si="33"/>
        <v>within budget</v>
      </c>
    </row>
    <row r="2118" spans="1:11" x14ac:dyDescent="0.3">
      <c r="A2118" s="6">
        <v>45002</v>
      </c>
      <c r="B2118" s="5" t="s">
        <v>19</v>
      </c>
      <c r="C2118" s="5" t="s">
        <v>10</v>
      </c>
      <c r="D2118" s="5" t="s">
        <v>31</v>
      </c>
      <c r="E2118" s="5" t="s">
        <v>9</v>
      </c>
      <c r="F2118" s="5">
        <v>3132</v>
      </c>
      <c r="G2118" s="5" t="str">
        <f>VLOOKUP(C2118,Sheet2!$C$3:$D$12,2,0)</f>
        <v>Variable</v>
      </c>
      <c r="H2118" s="5" t="str">
        <f>IFERROR(VLOOKUP(E2118,Sheet2!$G$3:$H$8,2,0),"unkwon")</f>
        <v>online</v>
      </c>
      <c r="I2118" s="5">
        <f>VLOOKUP(B2118,Sheet2!$J$4:$K$15,2,0)</f>
        <v>3</v>
      </c>
      <c r="J2118" s="5">
        <f>IFERROR(VLOOKUP(C2118,Sheet2!$M$4:$N$12,2,0),0)</f>
        <v>5000</v>
      </c>
      <c r="K2118" s="5" t="str">
        <f t="shared" si="33"/>
        <v>within budget</v>
      </c>
    </row>
    <row r="2119" spans="1:11" x14ac:dyDescent="0.3">
      <c r="A2119" s="6">
        <v>45216</v>
      </c>
      <c r="B2119" s="5" t="s">
        <v>6</v>
      </c>
      <c r="C2119" s="5" t="s">
        <v>27</v>
      </c>
      <c r="D2119" s="5" t="s">
        <v>18</v>
      </c>
      <c r="E2119" s="5" t="s">
        <v>32</v>
      </c>
      <c r="F2119" s="5">
        <v>153</v>
      </c>
      <c r="G2119" s="5" t="str">
        <f>VLOOKUP(C2119,Sheet2!$C$3:$D$12,2,0)</f>
        <v>Variable</v>
      </c>
      <c r="H2119" s="5" t="str">
        <f>IFERROR(VLOOKUP(E2119,Sheet2!$G$3:$H$8,2,0),"unkwon")</f>
        <v>offline</v>
      </c>
      <c r="I2119" s="5">
        <f>VLOOKUP(B2119,Sheet2!$J$4:$K$15,2,0)</f>
        <v>10</v>
      </c>
      <c r="J2119" s="5">
        <f>IFERROR(VLOOKUP(C2119,Sheet2!$M$4:$N$12,2,0),0)</f>
        <v>4000</v>
      </c>
      <c r="K2119" s="5" t="str">
        <f t="shared" si="33"/>
        <v>within budget</v>
      </c>
    </row>
    <row r="2120" spans="1:11" x14ac:dyDescent="0.3">
      <c r="A2120" s="6">
        <v>45215</v>
      </c>
      <c r="B2120" s="5" t="s">
        <v>6</v>
      </c>
      <c r="C2120" s="5" t="s">
        <v>30</v>
      </c>
      <c r="D2120" s="5" t="s">
        <v>24</v>
      </c>
      <c r="E2120" s="5" t="s">
        <v>9</v>
      </c>
      <c r="F2120" s="5">
        <v>3097</v>
      </c>
      <c r="G2120" s="5" t="str">
        <f>VLOOKUP(C2120,Sheet2!$C$3:$D$12,2,0)</f>
        <v>Fixed</v>
      </c>
      <c r="H2120" s="5" t="str">
        <f>IFERROR(VLOOKUP(E2120,Sheet2!$G$3:$H$8,2,0),"unkwon")</f>
        <v>online</v>
      </c>
      <c r="I2120" s="5">
        <f>VLOOKUP(B2120,Sheet2!$J$4:$K$15,2,0)</f>
        <v>10</v>
      </c>
      <c r="J2120" s="5">
        <f>IFERROR(VLOOKUP(C2120,Sheet2!$M$4:$N$12,2,0),0)</f>
        <v>3000</v>
      </c>
      <c r="K2120" s="5" t="str">
        <f t="shared" si="33"/>
        <v>over budget</v>
      </c>
    </row>
    <row r="2121" spans="1:11" x14ac:dyDescent="0.3">
      <c r="A2121" s="6">
        <v>45215</v>
      </c>
      <c r="B2121" s="5" t="s">
        <v>6</v>
      </c>
      <c r="C2121" s="5" t="s">
        <v>35</v>
      </c>
      <c r="D2121" s="5" t="s">
        <v>8</v>
      </c>
      <c r="E2121" s="5" t="s">
        <v>9</v>
      </c>
      <c r="F2121" s="5">
        <v>3610</v>
      </c>
      <c r="G2121" s="5" t="str">
        <f>VLOOKUP(C2121,Sheet2!$C$3:$D$12,2,0)</f>
        <v>Fixed</v>
      </c>
      <c r="H2121" s="5" t="str">
        <f>IFERROR(VLOOKUP(E2121,Sheet2!$G$3:$H$8,2,0),"unkwon")</f>
        <v>online</v>
      </c>
      <c r="I2121" s="5">
        <f>VLOOKUP(B2121,Sheet2!$J$4:$K$15,2,0)</f>
        <v>10</v>
      </c>
      <c r="J2121" s="5">
        <f>IFERROR(VLOOKUP(C2121,Sheet2!$M$4:$N$12,2,0),0)</f>
        <v>5500</v>
      </c>
      <c r="K2121" s="5" t="str">
        <f t="shared" si="33"/>
        <v>within budget</v>
      </c>
    </row>
    <row r="2122" spans="1:11" x14ac:dyDescent="0.3">
      <c r="A2122" s="6">
        <v>45183</v>
      </c>
      <c r="B2122" s="5" t="s">
        <v>38</v>
      </c>
      <c r="C2122" s="5" t="s">
        <v>41</v>
      </c>
      <c r="D2122" s="5" t="s">
        <v>26</v>
      </c>
      <c r="E2122" s="5" t="s">
        <v>9</v>
      </c>
      <c r="F2122" s="5">
        <v>3404</v>
      </c>
      <c r="G2122" s="5" t="str">
        <f>VLOOKUP(C2122,Sheet2!$C$3:$D$12,2,0)</f>
        <v>Variable</v>
      </c>
      <c r="H2122" s="5" t="str">
        <f>IFERROR(VLOOKUP(E2122,Sheet2!$G$3:$H$8,2,0),"unkwon")</f>
        <v>online</v>
      </c>
      <c r="I2122" s="5">
        <f>VLOOKUP(B2122,Sheet2!$J$4:$K$15,2,0)</f>
        <v>9</v>
      </c>
      <c r="J2122" s="5">
        <f>IFERROR(VLOOKUP(C2122,Sheet2!$M$4:$N$12,2,0),0)</f>
        <v>7000</v>
      </c>
      <c r="K2122" s="5" t="str">
        <f t="shared" si="33"/>
        <v>within budget</v>
      </c>
    </row>
    <row r="2123" spans="1:11" x14ac:dyDescent="0.3">
      <c r="A2123" s="6">
        <v>45390</v>
      </c>
      <c r="B2123" s="5" t="s">
        <v>29</v>
      </c>
      <c r="C2123" s="5" t="s">
        <v>10</v>
      </c>
      <c r="D2123" s="5" t="s">
        <v>26</v>
      </c>
      <c r="E2123" s="5" t="s">
        <v>15</v>
      </c>
      <c r="F2123" s="5">
        <v>3344</v>
      </c>
      <c r="G2123" s="5" t="str">
        <f>VLOOKUP(C2123,Sheet2!$C$3:$D$12,2,0)</f>
        <v>Variable</v>
      </c>
      <c r="H2123" s="5" t="str">
        <f>IFERROR(VLOOKUP(E2123,Sheet2!$G$3:$H$8,2,0),"unkwon")</f>
        <v>online</v>
      </c>
      <c r="I2123" s="5">
        <f>VLOOKUP(B2123,Sheet2!$J$4:$K$15,2,0)</f>
        <v>4</v>
      </c>
      <c r="J2123" s="5">
        <f>IFERROR(VLOOKUP(C2123,Sheet2!$M$4:$N$12,2,0),0)</f>
        <v>5000</v>
      </c>
      <c r="K2123" s="5" t="str">
        <f t="shared" si="33"/>
        <v>within budget</v>
      </c>
    </row>
    <row r="2124" spans="1:11" x14ac:dyDescent="0.3">
      <c r="A2124" s="6">
        <v>44953</v>
      </c>
      <c r="B2124" s="5" t="s">
        <v>37</v>
      </c>
      <c r="C2124" s="5" t="s">
        <v>13</v>
      </c>
      <c r="D2124" s="5" t="s">
        <v>18</v>
      </c>
      <c r="E2124" s="5" t="s">
        <v>17</v>
      </c>
      <c r="F2124" s="5">
        <v>2731</v>
      </c>
      <c r="G2124" s="5" t="str">
        <f>VLOOKUP(C2124,Sheet2!$C$3:$D$12,2,0)</f>
        <v>Variable</v>
      </c>
      <c r="H2124" s="5" t="str">
        <f>IFERROR(VLOOKUP(E2124,Sheet2!$G$3:$H$8,2,0),"unkwon")</f>
        <v>online</v>
      </c>
      <c r="I2124" s="5">
        <f>VLOOKUP(B2124,Sheet2!$J$4:$K$15,2,0)</f>
        <v>1</v>
      </c>
      <c r="J2124" s="5">
        <f>IFERROR(VLOOKUP(C2124,Sheet2!$M$4:$N$12,2,0),0)</f>
        <v>5000</v>
      </c>
      <c r="K2124" s="5" t="str">
        <f t="shared" si="33"/>
        <v>within budget</v>
      </c>
    </row>
    <row r="2125" spans="1:11" x14ac:dyDescent="0.3">
      <c r="A2125" s="6">
        <v>45335</v>
      </c>
      <c r="B2125" s="5" t="s">
        <v>33</v>
      </c>
      <c r="C2125" s="5" t="s">
        <v>22</v>
      </c>
      <c r="D2125" s="5" t="s">
        <v>11</v>
      </c>
      <c r="E2125" s="5" t="s">
        <v>9</v>
      </c>
      <c r="F2125" s="5">
        <v>1002</v>
      </c>
      <c r="G2125" s="5" t="str">
        <f>VLOOKUP(C2125,Sheet2!$C$3:$D$12,2,0)</f>
        <v>Variable</v>
      </c>
      <c r="H2125" s="5" t="str">
        <f>IFERROR(VLOOKUP(E2125,Sheet2!$G$3:$H$8,2,0),"unkwon")</f>
        <v>online</v>
      </c>
      <c r="I2125" s="5">
        <f>VLOOKUP(B2125,Sheet2!$J$4:$K$15,2,0)</f>
        <v>2</v>
      </c>
      <c r="J2125" s="5">
        <f>IFERROR(VLOOKUP(C2125,Sheet2!$M$4:$N$12,2,0),0)</f>
        <v>1000</v>
      </c>
      <c r="K2125" s="5" t="str">
        <f t="shared" si="33"/>
        <v>over budget</v>
      </c>
    </row>
    <row r="2126" spans="1:11" x14ac:dyDescent="0.3">
      <c r="A2126" s="6">
        <v>45097</v>
      </c>
      <c r="B2126" s="5" t="s">
        <v>39</v>
      </c>
      <c r="C2126" s="5" t="s">
        <v>10</v>
      </c>
      <c r="D2126" s="5" t="s">
        <v>8</v>
      </c>
      <c r="E2126" s="5" t="s">
        <v>9</v>
      </c>
      <c r="F2126" s="5">
        <v>1162</v>
      </c>
      <c r="G2126" s="5" t="str">
        <f>VLOOKUP(C2126,Sheet2!$C$3:$D$12,2,0)</f>
        <v>Variable</v>
      </c>
      <c r="H2126" s="5" t="str">
        <f>IFERROR(VLOOKUP(E2126,Sheet2!$G$3:$H$8,2,0),"unkwon")</f>
        <v>online</v>
      </c>
      <c r="I2126" s="5">
        <f>VLOOKUP(B2126,Sheet2!$J$4:$K$15,2,0)</f>
        <v>6</v>
      </c>
      <c r="J2126" s="5">
        <f>IFERROR(VLOOKUP(C2126,Sheet2!$M$4:$N$12,2,0),0)</f>
        <v>5000</v>
      </c>
      <c r="K2126" s="5" t="str">
        <f t="shared" si="33"/>
        <v>within budget</v>
      </c>
    </row>
    <row r="2127" spans="1:11" x14ac:dyDescent="0.3">
      <c r="A2127" s="6">
        <v>45424</v>
      </c>
      <c r="B2127" s="5" t="s">
        <v>28</v>
      </c>
      <c r="C2127" s="5" t="s">
        <v>13</v>
      </c>
      <c r="D2127" s="5" t="s">
        <v>18</v>
      </c>
      <c r="E2127" s="5" t="s">
        <v>15</v>
      </c>
      <c r="F2127" s="5">
        <v>4054</v>
      </c>
      <c r="G2127" s="5" t="str">
        <f>VLOOKUP(C2127,Sheet2!$C$3:$D$12,2,0)</f>
        <v>Variable</v>
      </c>
      <c r="H2127" s="5" t="str">
        <f>IFERROR(VLOOKUP(E2127,Sheet2!$G$3:$H$8,2,0),"unkwon")</f>
        <v>online</v>
      </c>
      <c r="I2127" s="5">
        <f>VLOOKUP(B2127,Sheet2!$J$4:$K$15,2,0)</f>
        <v>5</v>
      </c>
      <c r="J2127" s="5">
        <f>IFERROR(VLOOKUP(C2127,Sheet2!$M$4:$N$12,2,0),0)</f>
        <v>5000</v>
      </c>
      <c r="K2127" s="5" t="str">
        <f t="shared" si="33"/>
        <v>within budget</v>
      </c>
    </row>
    <row r="2128" spans="1:11" x14ac:dyDescent="0.3">
      <c r="A2128" s="6">
        <v>45342</v>
      </c>
      <c r="B2128" s="5" t="s">
        <v>33</v>
      </c>
      <c r="C2128" s="5" t="s">
        <v>22</v>
      </c>
      <c r="D2128" s="5" t="s">
        <v>18</v>
      </c>
      <c r="E2128" s="5" t="s">
        <v>15</v>
      </c>
      <c r="F2128" s="5">
        <v>4008</v>
      </c>
      <c r="G2128" s="5" t="str">
        <f>VLOOKUP(C2128,Sheet2!$C$3:$D$12,2,0)</f>
        <v>Variable</v>
      </c>
      <c r="H2128" s="5" t="str">
        <f>IFERROR(VLOOKUP(E2128,Sheet2!$G$3:$H$8,2,0),"unkwon")</f>
        <v>online</v>
      </c>
      <c r="I2128" s="5">
        <f>VLOOKUP(B2128,Sheet2!$J$4:$K$15,2,0)</f>
        <v>2</v>
      </c>
      <c r="J2128" s="5">
        <f>IFERROR(VLOOKUP(C2128,Sheet2!$M$4:$N$12,2,0),0)</f>
        <v>1000</v>
      </c>
      <c r="K2128" s="5" t="str">
        <f t="shared" si="33"/>
        <v>over budget</v>
      </c>
    </row>
    <row r="2129" spans="1:11" x14ac:dyDescent="0.3">
      <c r="A2129" s="6">
        <v>45641</v>
      </c>
      <c r="B2129" s="5" t="s">
        <v>16</v>
      </c>
      <c r="C2129" s="5" t="s">
        <v>27</v>
      </c>
      <c r="D2129" s="5" t="s">
        <v>8</v>
      </c>
      <c r="E2129" s="5" t="s">
        <v>32</v>
      </c>
      <c r="F2129" s="5">
        <v>4939</v>
      </c>
      <c r="G2129" s="5" t="str">
        <f>VLOOKUP(C2129,Sheet2!$C$3:$D$12,2,0)</f>
        <v>Variable</v>
      </c>
      <c r="H2129" s="5" t="str">
        <f>IFERROR(VLOOKUP(E2129,Sheet2!$G$3:$H$8,2,0),"unkwon")</f>
        <v>offline</v>
      </c>
      <c r="I2129" s="5">
        <f>VLOOKUP(B2129,Sheet2!$J$4:$K$15,2,0)</f>
        <v>12</v>
      </c>
      <c r="J2129" s="5">
        <f>IFERROR(VLOOKUP(C2129,Sheet2!$M$4:$N$12,2,0),0)</f>
        <v>4000</v>
      </c>
      <c r="K2129" s="5" t="str">
        <f t="shared" si="33"/>
        <v>over budget</v>
      </c>
    </row>
    <row r="2130" spans="1:11" x14ac:dyDescent="0.3">
      <c r="A2130" s="6">
        <v>45465</v>
      </c>
      <c r="B2130" s="5" t="s">
        <v>39</v>
      </c>
      <c r="C2130" s="5" t="s">
        <v>7</v>
      </c>
      <c r="D2130" s="5" t="s">
        <v>14</v>
      </c>
      <c r="E2130" s="5" t="s">
        <v>32</v>
      </c>
      <c r="F2130" s="5">
        <v>1637</v>
      </c>
      <c r="G2130" s="5" t="str">
        <f>VLOOKUP(C2130,Sheet2!$C$3:$D$12,2,0)</f>
        <v>Fixed</v>
      </c>
      <c r="H2130" s="5" t="str">
        <f>IFERROR(VLOOKUP(E2130,Sheet2!$G$3:$H$8,2,0),"unkwon")</f>
        <v>offline</v>
      </c>
      <c r="I2130" s="5">
        <f>VLOOKUP(B2130,Sheet2!$J$4:$K$15,2,0)</f>
        <v>6</v>
      </c>
      <c r="J2130" s="5">
        <f>IFERROR(VLOOKUP(C2130,Sheet2!$M$4:$N$12,2,0),0)</f>
        <v>2000</v>
      </c>
      <c r="K2130" s="5" t="str">
        <f t="shared" si="33"/>
        <v>within budget</v>
      </c>
    </row>
    <row r="2131" spans="1:11" x14ac:dyDescent="0.3">
      <c r="A2131" s="6">
        <v>45408</v>
      </c>
      <c r="B2131" s="5" t="s">
        <v>29</v>
      </c>
      <c r="C2131" s="5" t="s">
        <v>27</v>
      </c>
      <c r="D2131" s="5" t="s">
        <v>31</v>
      </c>
      <c r="E2131" s="5" t="s">
        <v>32</v>
      </c>
      <c r="F2131" s="5">
        <v>2493</v>
      </c>
      <c r="G2131" s="5" t="str">
        <f>VLOOKUP(C2131,Sheet2!$C$3:$D$12,2,0)</f>
        <v>Variable</v>
      </c>
      <c r="H2131" s="5" t="str">
        <f>IFERROR(VLOOKUP(E2131,Sheet2!$G$3:$H$8,2,0),"unkwon")</f>
        <v>offline</v>
      </c>
      <c r="I2131" s="5">
        <f>VLOOKUP(B2131,Sheet2!$J$4:$K$15,2,0)</f>
        <v>4</v>
      </c>
      <c r="J2131" s="5">
        <f>IFERROR(VLOOKUP(C2131,Sheet2!$M$4:$N$12,2,0),0)</f>
        <v>4000</v>
      </c>
      <c r="K2131" s="5" t="str">
        <f t="shared" si="33"/>
        <v>within budget</v>
      </c>
    </row>
    <row r="2132" spans="1:11" x14ac:dyDescent="0.3">
      <c r="A2132" s="6">
        <v>45337</v>
      </c>
      <c r="B2132" s="5" t="s">
        <v>33</v>
      </c>
      <c r="C2132" s="5" t="s">
        <v>30</v>
      </c>
      <c r="D2132" s="5" t="s">
        <v>31</v>
      </c>
      <c r="E2132" s="5" t="s">
        <v>9</v>
      </c>
      <c r="F2132" s="5">
        <v>2300</v>
      </c>
      <c r="G2132" s="5" t="str">
        <f>VLOOKUP(C2132,Sheet2!$C$3:$D$12,2,0)</f>
        <v>Fixed</v>
      </c>
      <c r="H2132" s="5" t="str">
        <f>IFERROR(VLOOKUP(E2132,Sheet2!$G$3:$H$8,2,0),"unkwon")</f>
        <v>online</v>
      </c>
      <c r="I2132" s="5">
        <f>VLOOKUP(B2132,Sheet2!$J$4:$K$15,2,0)</f>
        <v>2</v>
      </c>
      <c r="J2132" s="5">
        <f>IFERROR(VLOOKUP(C2132,Sheet2!$M$4:$N$12,2,0),0)</f>
        <v>3000</v>
      </c>
      <c r="K2132" s="5" t="str">
        <f t="shared" si="33"/>
        <v>within budget</v>
      </c>
    </row>
    <row r="2133" spans="1:11" x14ac:dyDescent="0.3">
      <c r="A2133" s="6">
        <v>45354</v>
      </c>
      <c r="B2133" s="5" t="s">
        <v>19</v>
      </c>
      <c r="C2133" s="5" t="s">
        <v>35</v>
      </c>
      <c r="D2133" s="5" t="s">
        <v>23</v>
      </c>
      <c r="E2133" s="5" t="s">
        <v>32</v>
      </c>
      <c r="F2133" s="5">
        <v>4936</v>
      </c>
      <c r="G2133" s="5" t="str">
        <f>VLOOKUP(C2133,Sheet2!$C$3:$D$12,2,0)</f>
        <v>Fixed</v>
      </c>
      <c r="H2133" s="5" t="str">
        <f>IFERROR(VLOOKUP(E2133,Sheet2!$G$3:$H$8,2,0),"unkwon")</f>
        <v>offline</v>
      </c>
      <c r="I2133" s="5">
        <f>VLOOKUP(B2133,Sheet2!$J$4:$K$15,2,0)</f>
        <v>3</v>
      </c>
      <c r="J2133" s="5">
        <f>IFERROR(VLOOKUP(C2133,Sheet2!$M$4:$N$12,2,0),0)</f>
        <v>5500</v>
      </c>
      <c r="K2133" s="5" t="str">
        <f t="shared" si="33"/>
        <v>within budget</v>
      </c>
    </row>
    <row r="2134" spans="1:11" x14ac:dyDescent="0.3">
      <c r="A2134" s="6">
        <v>45565</v>
      </c>
      <c r="B2134" s="5" t="s">
        <v>38</v>
      </c>
      <c r="C2134" s="5" t="s">
        <v>13</v>
      </c>
      <c r="D2134" s="5" t="s">
        <v>20</v>
      </c>
      <c r="E2134" s="5" t="s">
        <v>15</v>
      </c>
      <c r="F2134" s="5">
        <v>2789</v>
      </c>
      <c r="G2134" s="5" t="str">
        <f>VLOOKUP(C2134,Sheet2!$C$3:$D$12,2,0)</f>
        <v>Variable</v>
      </c>
      <c r="H2134" s="5" t="str">
        <f>IFERROR(VLOOKUP(E2134,Sheet2!$G$3:$H$8,2,0),"unkwon")</f>
        <v>online</v>
      </c>
      <c r="I2134" s="5">
        <f>VLOOKUP(B2134,Sheet2!$J$4:$K$15,2,0)</f>
        <v>9</v>
      </c>
      <c r="J2134" s="5">
        <f>IFERROR(VLOOKUP(C2134,Sheet2!$M$4:$N$12,2,0),0)</f>
        <v>5000</v>
      </c>
      <c r="K2134" s="5" t="str">
        <f t="shared" si="33"/>
        <v>within budget</v>
      </c>
    </row>
    <row r="2135" spans="1:11" x14ac:dyDescent="0.3">
      <c r="A2135" s="6">
        <v>45359</v>
      </c>
      <c r="B2135" s="5" t="s">
        <v>19</v>
      </c>
      <c r="C2135" s="5" t="s">
        <v>30</v>
      </c>
      <c r="D2135" s="5" t="s">
        <v>18</v>
      </c>
      <c r="E2135" s="5" t="s">
        <v>32</v>
      </c>
      <c r="F2135" s="5">
        <v>3653</v>
      </c>
      <c r="G2135" s="5" t="str">
        <f>VLOOKUP(C2135,Sheet2!$C$3:$D$12,2,0)</f>
        <v>Fixed</v>
      </c>
      <c r="H2135" s="5" t="str">
        <f>IFERROR(VLOOKUP(E2135,Sheet2!$G$3:$H$8,2,0),"unkwon")</f>
        <v>offline</v>
      </c>
      <c r="I2135" s="5">
        <f>VLOOKUP(B2135,Sheet2!$J$4:$K$15,2,0)</f>
        <v>3</v>
      </c>
      <c r="J2135" s="5">
        <f>IFERROR(VLOOKUP(C2135,Sheet2!$M$4:$N$12,2,0),0)</f>
        <v>3000</v>
      </c>
      <c r="K2135" s="5" t="str">
        <f t="shared" si="33"/>
        <v>over budget</v>
      </c>
    </row>
    <row r="2136" spans="1:11" x14ac:dyDescent="0.3">
      <c r="A2136" s="6">
        <v>44995</v>
      </c>
      <c r="B2136" s="5" t="s">
        <v>19</v>
      </c>
      <c r="C2136" s="5" t="s">
        <v>10</v>
      </c>
      <c r="D2136" s="5" t="s">
        <v>34</v>
      </c>
      <c r="E2136" s="5" t="s">
        <v>32</v>
      </c>
      <c r="F2136" s="5">
        <v>4548</v>
      </c>
      <c r="G2136" s="5" t="str">
        <f>VLOOKUP(C2136,Sheet2!$C$3:$D$12,2,0)</f>
        <v>Variable</v>
      </c>
      <c r="H2136" s="5" t="str">
        <f>IFERROR(VLOOKUP(E2136,Sheet2!$G$3:$H$8,2,0),"unkwon")</f>
        <v>offline</v>
      </c>
      <c r="I2136" s="5">
        <f>VLOOKUP(B2136,Sheet2!$J$4:$K$15,2,0)</f>
        <v>3</v>
      </c>
      <c r="J2136" s="5">
        <f>IFERROR(VLOOKUP(C2136,Sheet2!$M$4:$N$12,2,0),0)</f>
        <v>5000</v>
      </c>
      <c r="K2136" s="5" t="str">
        <f t="shared" si="33"/>
        <v>within budget</v>
      </c>
    </row>
    <row r="2137" spans="1:11" x14ac:dyDescent="0.3">
      <c r="A2137" s="6">
        <v>45201</v>
      </c>
      <c r="B2137" s="5" t="s">
        <v>6</v>
      </c>
      <c r="C2137" s="5" t="s">
        <v>22</v>
      </c>
      <c r="D2137" s="5" t="s">
        <v>34</v>
      </c>
      <c r="E2137" s="5" t="s">
        <v>17</v>
      </c>
      <c r="F2137" s="5">
        <v>4210</v>
      </c>
      <c r="G2137" s="5" t="str">
        <f>VLOOKUP(C2137,Sheet2!$C$3:$D$12,2,0)</f>
        <v>Variable</v>
      </c>
      <c r="H2137" s="5" t="str">
        <f>IFERROR(VLOOKUP(E2137,Sheet2!$G$3:$H$8,2,0),"unkwon")</f>
        <v>online</v>
      </c>
      <c r="I2137" s="5">
        <f>VLOOKUP(B2137,Sheet2!$J$4:$K$15,2,0)</f>
        <v>10</v>
      </c>
      <c r="J2137" s="5">
        <f>IFERROR(VLOOKUP(C2137,Sheet2!$M$4:$N$12,2,0),0)</f>
        <v>1000</v>
      </c>
      <c r="K2137" s="5" t="str">
        <f t="shared" si="33"/>
        <v>over budget</v>
      </c>
    </row>
    <row r="2138" spans="1:11" x14ac:dyDescent="0.3">
      <c r="A2138" s="6">
        <v>44997</v>
      </c>
      <c r="B2138" s="5" t="s">
        <v>19</v>
      </c>
      <c r="C2138" s="5" t="s">
        <v>7</v>
      </c>
      <c r="D2138" s="5" t="s">
        <v>20</v>
      </c>
      <c r="E2138" s="5" t="s">
        <v>32</v>
      </c>
      <c r="F2138" s="5">
        <v>4812</v>
      </c>
      <c r="G2138" s="5" t="str">
        <f>VLOOKUP(C2138,Sheet2!$C$3:$D$12,2,0)</f>
        <v>Fixed</v>
      </c>
      <c r="H2138" s="5" t="str">
        <f>IFERROR(VLOOKUP(E2138,Sheet2!$G$3:$H$8,2,0),"unkwon")</f>
        <v>offline</v>
      </c>
      <c r="I2138" s="5">
        <f>VLOOKUP(B2138,Sheet2!$J$4:$K$15,2,0)</f>
        <v>3</v>
      </c>
      <c r="J2138" s="5">
        <f>IFERROR(VLOOKUP(C2138,Sheet2!$M$4:$N$12,2,0),0)</f>
        <v>2000</v>
      </c>
      <c r="K2138" s="5" t="str">
        <f t="shared" si="33"/>
        <v>over budget</v>
      </c>
    </row>
    <row r="2139" spans="1:11" x14ac:dyDescent="0.3">
      <c r="A2139" s="6">
        <v>45234</v>
      </c>
      <c r="B2139" s="5" t="s">
        <v>40</v>
      </c>
      <c r="C2139" s="5" t="s">
        <v>10</v>
      </c>
      <c r="D2139" s="5" t="s">
        <v>23</v>
      </c>
      <c r="E2139" s="5" t="s">
        <v>15</v>
      </c>
      <c r="F2139" s="5">
        <v>84</v>
      </c>
      <c r="G2139" s="5" t="str">
        <f>VLOOKUP(C2139,Sheet2!$C$3:$D$12,2,0)</f>
        <v>Variable</v>
      </c>
      <c r="H2139" s="5" t="str">
        <f>IFERROR(VLOOKUP(E2139,Sheet2!$G$3:$H$8,2,0),"unkwon")</f>
        <v>online</v>
      </c>
      <c r="I2139" s="5">
        <f>VLOOKUP(B2139,Sheet2!$J$4:$K$15,2,0)</f>
        <v>11</v>
      </c>
      <c r="J2139" s="5">
        <f>IFERROR(VLOOKUP(C2139,Sheet2!$M$4:$N$12,2,0),0)</f>
        <v>5000</v>
      </c>
      <c r="K2139" s="5" t="str">
        <f t="shared" si="33"/>
        <v>within budget</v>
      </c>
    </row>
    <row r="2140" spans="1:11" x14ac:dyDescent="0.3">
      <c r="A2140" s="6">
        <v>44998</v>
      </c>
      <c r="B2140" s="5" t="s">
        <v>19</v>
      </c>
      <c r="C2140" s="5" t="s">
        <v>41</v>
      </c>
      <c r="D2140" s="5" t="s">
        <v>8</v>
      </c>
      <c r="E2140" s="5" t="s">
        <v>9</v>
      </c>
      <c r="F2140" s="5">
        <v>1676</v>
      </c>
      <c r="G2140" s="5" t="str">
        <f>VLOOKUP(C2140,Sheet2!$C$3:$D$12,2,0)</f>
        <v>Variable</v>
      </c>
      <c r="H2140" s="5" t="str">
        <f>IFERROR(VLOOKUP(E2140,Sheet2!$G$3:$H$8,2,0),"unkwon")</f>
        <v>online</v>
      </c>
      <c r="I2140" s="5">
        <f>VLOOKUP(B2140,Sheet2!$J$4:$K$15,2,0)</f>
        <v>3</v>
      </c>
      <c r="J2140" s="5">
        <f>IFERROR(VLOOKUP(C2140,Sheet2!$M$4:$N$12,2,0),0)</f>
        <v>7000</v>
      </c>
      <c r="K2140" s="5" t="str">
        <f t="shared" si="33"/>
        <v>within budget</v>
      </c>
    </row>
    <row r="2141" spans="1:11" x14ac:dyDescent="0.3">
      <c r="A2141" s="6">
        <v>45192</v>
      </c>
      <c r="B2141" s="5" t="s">
        <v>38</v>
      </c>
      <c r="C2141" s="5" t="s">
        <v>27</v>
      </c>
      <c r="D2141" s="5" t="s">
        <v>14</v>
      </c>
      <c r="E2141" s="5" t="s">
        <v>32</v>
      </c>
      <c r="F2141" s="5">
        <v>898</v>
      </c>
      <c r="G2141" s="5" t="str">
        <f>VLOOKUP(C2141,Sheet2!$C$3:$D$12,2,0)</f>
        <v>Variable</v>
      </c>
      <c r="H2141" s="5" t="str">
        <f>IFERROR(VLOOKUP(E2141,Sheet2!$G$3:$H$8,2,0),"unkwon")</f>
        <v>offline</v>
      </c>
      <c r="I2141" s="5">
        <f>VLOOKUP(B2141,Sheet2!$J$4:$K$15,2,0)</f>
        <v>9</v>
      </c>
      <c r="J2141" s="5">
        <f>IFERROR(VLOOKUP(C2141,Sheet2!$M$4:$N$12,2,0),0)</f>
        <v>4000</v>
      </c>
      <c r="K2141" s="5" t="str">
        <f t="shared" si="33"/>
        <v>within budget</v>
      </c>
    </row>
    <row r="2142" spans="1:11" x14ac:dyDescent="0.3">
      <c r="A2142" s="6">
        <v>45378</v>
      </c>
      <c r="B2142" s="5" t="s">
        <v>19</v>
      </c>
      <c r="C2142" s="5" t="s">
        <v>13</v>
      </c>
      <c r="D2142" s="5" t="s">
        <v>11</v>
      </c>
      <c r="E2142" s="5" t="s">
        <v>12</v>
      </c>
      <c r="F2142" s="5">
        <v>4098</v>
      </c>
      <c r="G2142" s="5" t="str">
        <f>VLOOKUP(C2142,Sheet2!$C$3:$D$12,2,0)</f>
        <v>Variable</v>
      </c>
      <c r="H2142" s="5" t="str">
        <f>IFERROR(VLOOKUP(E2142,Sheet2!$G$3:$H$8,2,0),"unkwon")</f>
        <v>online</v>
      </c>
      <c r="I2142" s="5">
        <f>VLOOKUP(B2142,Sheet2!$J$4:$K$15,2,0)</f>
        <v>3</v>
      </c>
      <c r="J2142" s="5">
        <f>IFERROR(VLOOKUP(C2142,Sheet2!$M$4:$N$12,2,0),0)</f>
        <v>5000</v>
      </c>
      <c r="K2142" s="5" t="str">
        <f t="shared" si="33"/>
        <v>within budget</v>
      </c>
    </row>
    <row r="2143" spans="1:11" x14ac:dyDescent="0.3">
      <c r="A2143" s="6">
        <v>45372</v>
      </c>
      <c r="B2143" s="5" t="s">
        <v>19</v>
      </c>
      <c r="C2143" s="5" t="s">
        <v>30</v>
      </c>
      <c r="D2143" s="5" t="s">
        <v>8</v>
      </c>
      <c r="E2143" s="5" t="s">
        <v>17</v>
      </c>
      <c r="F2143" s="5">
        <v>2071</v>
      </c>
      <c r="G2143" s="5" t="str">
        <f>VLOOKUP(C2143,Sheet2!$C$3:$D$12,2,0)</f>
        <v>Fixed</v>
      </c>
      <c r="H2143" s="5" t="str">
        <f>IFERROR(VLOOKUP(E2143,Sheet2!$G$3:$H$8,2,0),"unkwon")</f>
        <v>online</v>
      </c>
      <c r="I2143" s="5">
        <f>VLOOKUP(B2143,Sheet2!$J$4:$K$15,2,0)</f>
        <v>3</v>
      </c>
      <c r="J2143" s="5">
        <f>IFERROR(VLOOKUP(C2143,Sheet2!$M$4:$N$12,2,0),0)</f>
        <v>3000</v>
      </c>
      <c r="K2143" s="5" t="str">
        <f t="shared" si="33"/>
        <v>within budget</v>
      </c>
    </row>
    <row r="2144" spans="1:11" x14ac:dyDescent="0.3">
      <c r="A2144" s="6">
        <v>45006</v>
      </c>
      <c r="B2144" s="5" t="s">
        <v>19</v>
      </c>
      <c r="C2144" s="5" t="s">
        <v>36</v>
      </c>
      <c r="D2144" s="5" t="s">
        <v>11</v>
      </c>
      <c r="E2144" s="5" t="s">
        <v>12</v>
      </c>
      <c r="F2144" s="5">
        <v>2502</v>
      </c>
      <c r="G2144" s="5" t="str">
        <f>VLOOKUP(C2144,Sheet2!$C$3:$D$12,2,0)</f>
        <v>Variable</v>
      </c>
      <c r="H2144" s="5" t="str">
        <f>IFERROR(VLOOKUP(E2144,Sheet2!$G$3:$H$8,2,0),"unkwon")</f>
        <v>online</v>
      </c>
      <c r="I2144" s="5">
        <f>VLOOKUP(B2144,Sheet2!$J$4:$K$15,2,0)</f>
        <v>3</v>
      </c>
      <c r="J2144" s="5">
        <f>IFERROR(VLOOKUP(C2144,Sheet2!$M$4:$N$12,2,0),0)</f>
        <v>10000</v>
      </c>
      <c r="K2144" s="5" t="str">
        <f t="shared" si="33"/>
        <v>within budget</v>
      </c>
    </row>
    <row r="2145" spans="1:11" x14ac:dyDescent="0.3">
      <c r="A2145" s="6">
        <v>45543</v>
      </c>
      <c r="B2145" s="5" t="s">
        <v>38</v>
      </c>
      <c r="C2145" s="5" t="s">
        <v>10</v>
      </c>
      <c r="D2145" s="5" t="s">
        <v>14</v>
      </c>
      <c r="E2145" s="5" t="s">
        <v>9</v>
      </c>
      <c r="F2145" s="5">
        <v>666</v>
      </c>
      <c r="G2145" s="5" t="str">
        <f>VLOOKUP(C2145,Sheet2!$C$3:$D$12,2,0)</f>
        <v>Variable</v>
      </c>
      <c r="H2145" s="5" t="str">
        <f>IFERROR(VLOOKUP(E2145,Sheet2!$G$3:$H$8,2,0),"unkwon")</f>
        <v>online</v>
      </c>
      <c r="I2145" s="5">
        <f>VLOOKUP(B2145,Sheet2!$J$4:$K$15,2,0)</f>
        <v>9</v>
      </c>
      <c r="J2145" s="5">
        <f>IFERROR(VLOOKUP(C2145,Sheet2!$M$4:$N$12,2,0),0)</f>
        <v>5000</v>
      </c>
      <c r="K2145" s="5" t="str">
        <f t="shared" si="33"/>
        <v>within budget</v>
      </c>
    </row>
    <row r="2146" spans="1:11" x14ac:dyDescent="0.3">
      <c r="A2146" s="6">
        <v>45204</v>
      </c>
      <c r="B2146" s="5" t="s">
        <v>6</v>
      </c>
      <c r="C2146" s="5" t="s">
        <v>13</v>
      </c>
      <c r="D2146" s="5" t="s">
        <v>24</v>
      </c>
      <c r="E2146" s="5" t="s">
        <v>15</v>
      </c>
      <c r="F2146" s="5">
        <v>2636</v>
      </c>
      <c r="G2146" s="5" t="str">
        <f>VLOOKUP(C2146,Sheet2!$C$3:$D$12,2,0)</f>
        <v>Variable</v>
      </c>
      <c r="H2146" s="5" t="str">
        <f>IFERROR(VLOOKUP(E2146,Sheet2!$G$3:$H$8,2,0),"unkwon")</f>
        <v>online</v>
      </c>
      <c r="I2146" s="5">
        <f>VLOOKUP(B2146,Sheet2!$J$4:$K$15,2,0)</f>
        <v>10</v>
      </c>
      <c r="J2146" s="5">
        <f>IFERROR(VLOOKUP(C2146,Sheet2!$M$4:$N$12,2,0),0)</f>
        <v>5000</v>
      </c>
      <c r="K2146" s="5" t="str">
        <f t="shared" si="33"/>
        <v>within budget</v>
      </c>
    </row>
    <row r="2147" spans="1:11" x14ac:dyDescent="0.3">
      <c r="A2147" s="6">
        <v>45201</v>
      </c>
      <c r="B2147" s="5" t="s">
        <v>6</v>
      </c>
      <c r="C2147" s="5" t="s">
        <v>36</v>
      </c>
      <c r="D2147" s="5" t="s">
        <v>20</v>
      </c>
      <c r="E2147" s="5" t="s">
        <v>17</v>
      </c>
      <c r="F2147" s="5">
        <v>487</v>
      </c>
      <c r="G2147" s="5" t="str">
        <f>VLOOKUP(C2147,Sheet2!$C$3:$D$12,2,0)</f>
        <v>Variable</v>
      </c>
      <c r="H2147" s="5" t="str">
        <f>IFERROR(VLOOKUP(E2147,Sheet2!$G$3:$H$8,2,0),"unkwon")</f>
        <v>online</v>
      </c>
      <c r="I2147" s="5">
        <f>VLOOKUP(B2147,Sheet2!$J$4:$K$15,2,0)</f>
        <v>10</v>
      </c>
      <c r="J2147" s="5">
        <f>IFERROR(VLOOKUP(C2147,Sheet2!$M$4:$N$12,2,0),0)</f>
        <v>10000</v>
      </c>
      <c r="K2147" s="5" t="str">
        <f t="shared" si="33"/>
        <v>within budget</v>
      </c>
    </row>
    <row r="2148" spans="1:11" x14ac:dyDescent="0.3">
      <c r="A2148" s="6">
        <v>45524</v>
      </c>
      <c r="B2148" s="5" t="s">
        <v>25</v>
      </c>
      <c r="C2148" s="5" t="s">
        <v>30</v>
      </c>
      <c r="D2148" s="5" t="s">
        <v>23</v>
      </c>
      <c r="E2148" s="5" t="s">
        <v>15</v>
      </c>
      <c r="F2148" s="5">
        <v>3338</v>
      </c>
      <c r="G2148" s="5" t="str">
        <f>VLOOKUP(C2148,Sheet2!$C$3:$D$12,2,0)</f>
        <v>Fixed</v>
      </c>
      <c r="H2148" s="5" t="str">
        <f>IFERROR(VLOOKUP(E2148,Sheet2!$G$3:$H$8,2,0),"unkwon")</f>
        <v>online</v>
      </c>
      <c r="I2148" s="5">
        <f>VLOOKUP(B2148,Sheet2!$J$4:$K$15,2,0)</f>
        <v>8</v>
      </c>
      <c r="J2148" s="5">
        <f>IFERROR(VLOOKUP(C2148,Sheet2!$M$4:$N$12,2,0),0)</f>
        <v>3000</v>
      </c>
      <c r="K2148" s="5" t="str">
        <f t="shared" si="33"/>
        <v>over budget</v>
      </c>
    </row>
    <row r="2149" spans="1:11" x14ac:dyDescent="0.3">
      <c r="A2149" s="6">
        <v>45207</v>
      </c>
      <c r="B2149" s="5" t="s">
        <v>6</v>
      </c>
      <c r="C2149" s="5" t="s">
        <v>27</v>
      </c>
      <c r="D2149" s="5" t="s">
        <v>31</v>
      </c>
      <c r="E2149" s="5" t="s">
        <v>9</v>
      </c>
      <c r="F2149" s="5">
        <v>3429</v>
      </c>
      <c r="G2149" s="5" t="str">
        <f>VLOOKUP(C2149,Sheet2!$C$3:$D$12,2,0)</f>
        <v>Variable</v>
      </c>
      <c r="H2149" s="5" t="str">
        <f>IFERROR(VLOOKUP(E2149,Sheet2!$G$3:$H$8,2,0),"unkwon")</f>
        <v>online</v>
      </c>
      <c r="I2149" s="5">
        <f>VLOOKUP(B2149,Sheet2!$J$4:$K$15,2,0)</f>
        <v>10</v>
      </c>
      <c r="J2149" s="5">
        <f>IFERROR(VLOOKUP(C2149,Sheet2!$M$4:$N$12,2,0),0)</f>
        <v>4000</v>
      </c>
      <c r="K2149" s="5" t="str">
        <f t="shared" si="33"/>
        <v>within budget</v>
      </c>
    </row>
    <row r="2150" spans="1:11" x14ac:dyDescent="0.3">
      <c r="A2150" s="6">
        <v>45395</v>
      </c>
      <c r="B2150" s="5" t="s">
        <v>29</v>
      </c>
      <c r="C2150" s="5" t="s">
        <v>22</v>
      </c>
      <c r="D2150" s="5" t="s">
        <v>23</v>
      </c>
      <c r="E2150" s="5" t="s">
        <v>15</v>
      </c>
      <c r="F2150" s="5">
        <v>916</v>
      </c>
      <c r="G2150" s="5" t="str">
        <f>VLOOKUP(C2150,Sheet2!$C$3:$D$12,2,0)</f>
        <v>Variable</v>
      </c>
      <c r="H2150" s="5" t="str">
        <f>IFERROR(VLOOKUP(E2150,Sheet2!$G$3:$H$8,2,0),"unkwon")</f>
        <v>online</v>
      </c>
      <c r="I2150" s="5">
        <f>VLOOKUP(B2150,Sheet2!$J$4:$K$15,2,0)</f>
        <v>4</v>
      </c>
      <c r="J2150" s="5">
        <f>IFERROR(VLOOKUP(C2150,Sheet2!$M$4:$N$12,2,0),0)</f>
        <v>1000</v>
      </c>
      <c r="K2150" s="5" t="str">
        <f t="shared" si="33"/>
        <v>within budget</v>
      </c>
    </row>
    <row r="2151" spans="1:11" x14ac:dyDescent="0.3">
      <c r="A2151" s="6">
        <v>45574</v>
      </c>
      <c r="B2151" s="5" t="s">
        <v>6</v>
      </c>
      <c r="C2151" s="5" t="s">
        <v>13</v>
      </c>
      <c r="D2151" s="5" t="s">
        <v>14</v>
      </c>
      <c r="E2151" s="5" t="s">
        <v>12</v>
      </c>
      <c r="F2151" s="5">
        <v>4419</v>
      </c>
      <c r="G2151" s="5" t="str">
        <f>VLOOKUP(C2151,Sheet2!$C$3:$D$12,2,0)</f>
        <v>Variable</v>
      </c>
      <c r="H2151" s="5" t="str">
        <f>IFERROR(VLOOKUP(E2151,Sheet2!$G$3:$H$8,2,0),"unkwon")</f>
        <v>online</v>
      </c>
      <c r="I2151" s="5">
        <f>VLOOKUP(B2151,Sheet2!$J$4:$K$15,2,0)</f>
        <v>10</v>
      </c>
      <c r="J2151" s="5">
        <f>IFERROR(VLOOKUP(C2151,Sheet2!$M$4:$N$12,2,0),0)</f>
        <v>5000</v>
      </c>
      <c r="K2151" s="5" t="str">
        <f t="shared" si="33"/>
        <v>within budget</v>
      </c>
    </row>
    <row r="2152" spans="1:11" x14ac:dyDescent="0.3">
      <c r="A2152" s="6">
        <v>45534</v>
      </c>
      <c r="B2152" s="5" t="s">
        <v>25</v>
      </c>
      <c r="C2152" s="5" t="s">
        <v>41</v>
      </c>
      <c r="D2152" s="5" t="s">
        <v>14</v>
      </c>
      <c r="E2152" s="5" t="s">
        <v>9</v>
      </c>
      <c r="F2152" s="5">
        <v>1752</v>
      </c>
      <c r="G2152" s="5" t="str">
        <f>VLOOKUP(C2152,Sheet2!$C$3:$D$12,2,0)</f>
        <v>Variable</v>
      </c>
      <c r="H2152" s="5" t="str">
        <f>IFERROR(VLOOKUP(E2152,Sheet2!$G$3:$H$8,2,0),"unkwon")</f>
        <v>online</v>
      </c>
      <c r="I2152" s="5">
        <f>VLOOKUP(B2152,Sheet2!$J$4:$K$15,2,0)</f>
        <v>8</v>
      </c>
      <c r="J2152" s="5">
        <f>IFERROR(VLOOKUP(C2152,Sheet2!$M$4:$N$12,2,0),0)</f>
        <v>7000</v>
      </c>
      <c r="K2152" s="5" t="str">
        <f t="shared" si="33"/>
        <v>within budget</v>
      </c>
    </row>
    <row r="2153" spans="1:11" x14ac:dyDescent="0.3">
      <c r="A2153" s="6">
        <v>45253</v>
      </c>
      <c r="B2153" s="5" t="s">
        <v>40</v>
      </c>
      <c r="C2153" s="5" t="s">
        <v>36</v>
      </c>
      <c r="D2153" s="5" t="s">
        <v>23</v>
      </c>
      <c r="E2153" s="5" t="s">
        <v>12</v>
      </c>
      <c r="F2153" s="5">
        <v>3888</v>
      </c>
      <c r="G2153" s="5" t="str">
        <f>VLOOKUP(C2153,Sheet2!$C$3:$D$12,2,0)</f>
        <v>Variable</v>
      </c>
      <c r="H2153" s="5" t="str">
        <f>IFERROR(VLOOKUP(E2153,Sheet2!$G$3:$H$8,2,0),"unkwon")</f>
        <v>online</v>
      </c>
      <c r="I2153" s="5">
        <f>VLOOKUP(B2153,Sheet2!$J$4:$K$15,2,0)</f>
        <v>11</v>
      </c>
      <c r="J2153" s="5">
        <f>IFERROR(VLOOKUP(C2153,Sheet2!$M$4:$N$12,2,0),0)</f>
        <v>10000</v>
      </c>
      <c r="K2153" s="5" t="str">
        <f t="shared" si="33"/>
        <v>within budget</v>
      </c>
    </row>
    <row r="2154" spans="1:11" x14ac:dyDescent="0.3">
      <c r="A2154" s="6">
        <v>45216</v>
      </c>
      <c r="B2154" s="5" t="s">
        <v>6</v>
      </c>
      <c r="C2154" s="5" t="s">
        <v>27</v>
      </c>
      <c r="D2154" s="5" t="s">
        <v>24</v>
      </c>
      <c r="E2154" s="5" t="s">
        <v>9</v>
      </c>
      <c r="F2154" s="5">
        <v>4677</v>
      </c>
      <c r="G2154" s="5" t="str">
        <f>VLOOKUP(C2154,Sheet2!$C$3:$D$12,2,0)</f>
        <v>Variable</v>
      </c>
      <c r="H2154" s="5" t="str">
        <f>IFERROR(VLOOKUP(E2154,Sheet2!$G$3:$H$8,2,0),"unkwon")</f>
        <v>online</v>
      </c>
      <c r="I2154" s="5">
        <f>VLOOKUP(B2154,Sheet2!$J$4:$K$15,2,0)</f>
        <v>10</v>
      </c>
      <c r="J2154" s="5">
        <f>IFERROR(VLOOKUP(C2154,Sheet2!$M$4:$N$12,2,0),0)</f>
        <v>4000</v>
      </c>
      <c r="K2154" s="5" t="str">
        <f t="shared" si="33"/>
        <v>over budget</v>
      </c>
    </row>
    <row r="2155" spans="1:11" x14ac:dyDescent="0.3">
      <c r="A2155" s="6">
        <v>45229</v>
      </c>
      <c r="B2155" s="5" t="s">
        <v>6</v>
      </c>
      <c r="C2155" s="5" t="s">
        <v>30</v>
      </c>
      <c r="D2155" s="5" t="s">
        <v>14</v>
      </c>
      <c r="E2155" s="5" t="s">
        <v>12</v>
      </c>
      <c r="F2155" s="5">
        <v>2894</v>
      </c>
      <c r="G2155" s="5" t="str">
        <f>VLOOKUP(C2155,Sheet2!$C$3:$D$12,2,0)</f>
        <v>Fixed</v>
      </c>
      <c r="H2155" s="5" t="str">
        <f>IFERROR(VLOOKUP(E2155,Sheet2!$G$3:$H$8,2,0),"unkwon")</f>
        <v>online</v>
      </c>
      <c r="I2155" s="5">
        <f>VLOOKUP(B2155,Sheet2!$J$4:$K$15,2,0)</f>
        <v>10</v>
      </c>
      <c r="J2155" s="5">
        <f>IFERROR(VLOOKUP(C2155,Sheet2!$M$4:$N$12,2,0),0)</f>
        <v>3000</v>
      </c>
      <c r="K2155" s="5" t="str">
        <f t="shared" si="33"/>
        <v>within budget</v>
      </c>
    </row>
    <row r="2156" spans="1:11" x14ac:dyDescent="0.3">
      <c r="A2156" s="6">
        <v>45444</v>
      </c>
      <c r="B2156" s="5" t="s">
        <v>39</v>
      </c>
      <c r="C2156" s="5" t="s">
        <v>35</v>
      </c>
      <c r="D2156" s="5" t="s">
        <v>14</v>
      </c>
      <c r="E2156" s="5" t="s">
        <v>17</v>
      </c>
      <c r="F2156" s="5">
        <v>3419</v>
      </c>
      <c r="G2156" s="5" t="str">
        <f>VLOOKUP(C2156,Sheet2!$C$3:$D$12,2,0)</f>
        <v>Fixed</v>
      </c>
      <c r="H2156" s="5" t="str">
        <f>IFERROR(VLOOKUP(E2156,Sheet2!$G$3:$H$8,2,0),"unkwon")</f>
        <v>online</v>
      </c>
      <c r="I2156" s="5">
        <f>VLOOKUP(B2156,Sheet2!$J$4:$K$15,2,0)</f>
        <v>6</v>
      </c>
      <c r="J2156" s="5">
        <f>IFERROR(VLOOKUP(C2156,Sheet2!$M$4:$N$12,2,0),0)</f>
        <v>5500</v>
      </c>
      <c r="K2156" s="5" t="str">
        <f t="shared" si="33"/>
        <v>within budget</v>
      </c>
    </row>
    <row r="2157" spans="1:11" x14ac:dyDescent="0.3">
      <c r="A2157" s="6">
        <v>45460</v>
      </c>
      <c r="B2157" s="5" t="s">
        <v>39</v>
      </c>
      <c r="C2157" s="5" t="s">
        <v>13</v>
      </c>
      <c r="D2157" s="5" t="s">
        <v>14</v>
      </c>
      <c r="E2157" s="5" t="s">
        <v>15</v>
      </c>
      <c r="F2157" s="5">
        <v>3265</v>
      </c>
      <c r="G2157" s="5" t="str">
        <f>VLOOKUP(C2157,Sheet2!$C$3:$D$12,2,0)</f>
        <v>Variable</v>
      </c>
      <c r="H2157" s="5" t="str">
        <f>IFERROR(VLOOKUP(E2157,Sheet2!$G$3:$H$8,2,0),"unkwon")</f>
        <v>online</v>
      </c>
      <c r="I2157" s="5">
        <f>VLOOKUP(B2157,Sheet2!$J$4:$K$15,2,0)</f>
        <v>6</v>
      </c>
      <c r="J2157" s="5">
        <f>IFERROR(VLOOKUP(C2157,Sheet2!$M$4:$N$12,2,0),0)</f>
        <v>5000</v>
      </c>
      <c r="K2157" s="5" t="str">
        <f t="shared" si="33"/>
        <v>within budget</v>
      </c>
    </row>
    <row r="2158" spans="1:11" x14ac:dyDescent="0.3">
      <c r="A2158" s="6">
        <v>45373</v>
      </c>
      <c r="B2158" s="5" t="s">
        <v>19</v>
      </c>
      <c r="C2158" s="5" t="s">
        <v>22</v>
      </c>
      <c r="D2158" s="5" t="s">
        <v>26</v>
      </c>
      <c r="E2158" s="5" t="s">
        <v>32</v>
      </c>
      <c r="F2158" s="5">
        <v>3582</v>
      </c>
      <c r="G2158" s="5" t="str">
        <f>VLOOKUP(C2158,Sheet2!$C$3:$D$12,2,0)</f>
        <v>Variable</v>
      </c>
      <c r="H2158" s="5" t="str">
        <f>IFERROR(VLOOKUP(E2158,Sheet2!$G$3:$H$8,2,0),"unkwon")</f>
        <v>offline</v>
      </c>
      <c r="I2158" s="5">
        <f>VLOOKUP(B2158,Sheet2!$J$4:$K$15,2,0)</f>
        <v>3</v>
      </c>
      <c r="J2158" s="5">
        <f>IFERROR(VLOOKUP(C2158,Sheet2!$M$4:$N$12,2,0),0)</f>
        <v>1000</v>
      </c>
      <c r="K2158" s="5" t="str">
        <f t="shared" si="33"/>
        <v>over budget</v>
      </c>
    </row>
    <row r="2159" spans="1:11" x14ac:dyDescent="0.3">
      <c r="A2159" s="6">
        <v>45459</v>
      </c>
      <c r="B2159" s="5" t="s">
        <v>39</v>
      </c>
      <c r="C2159" s="5" t="s">
        <v>41</v>
      </c>
      <c r="D2159" s="5" t="s">
        <v>23</v>
      </c>
      <c r="E2159" s="5" t="s">
        <v>32</v>
      </c>
      <c r="F2159" s="5">
        <v>2043</v>
      </c>
      <c r="G2159" s="5" t="str">
        <f>VLOOKUP(C2159,Sheet2!$C$3:$D$12,2,0)</f>
        <v>Variable</v>
      </c>
      <c r="H2159" s="5" t="str">
        <f>IFERROR(VLOOKUP(E2159,Sheet2!$G$3:$H$8,2,0),"unkwon")</f>
        <v>offline</v>
      </c>
      <c r="I2159" s="5">
        <f>VLOOKUP(B2159,Sheet2!$J$4:$K$15,2,0)</f>
        <v>6</v>
      </c>
      <c r="J2159" s="5">
        <f>IFERROR(VLOOKUP(C2159,Sheet2!$M$4:$N$12,2,0),0)</f>
        <v>7000</v>
      </c>
      <c r="K2159" s="5" t="str">
        <f t="shared" si="33"/>
        <v>within budget</v>
      </c>
    </row>
    <row r="2160" spans="1:11" x14ac:dyDescent="0.3">
      <c r="A2160" s="6">
        <v>45595</v>
      </c>
      <c r="B2160" s="5" t="s">
        <v>6</v>
      </c>
      <c r="C2160" s="5" t="s">
        <v>22</v>
      </c>
      <c r="D2160" s="5" t="s">
        <v>14</v>
      </c>
      <c r="E2160" s="5" t="s">
        <v>17</v>
      </c>
      <c r="F2160" s="5">
        <v>915</v>
      </c>
      <c r="G2160" s="5" t="str">
        <f>VLOOKUP(C2160,Sheet2!$C$3:$D$12,2,0)</f>
        <v>Variable</v>
      </c>
      <c r="H2160" s="5" t="str">
        <f>IFERROR(VLOOKUP(E2160,Sheet2!$G$3:$H$8,2,0),"unkwon")</f>
        <v>online</v>
      </c>
      <c r="I2160" s="5">
        <f>VLOOKUP(B2160,Sheet2!$J$4:$K$15,2,0)</f>
        <v>10</v>
      </c>
      <c r="J2160" s="5">
        <f>IFERROR(VLOOKUP(C2160,Sheet2!$M$4:$N$12,2,0),0)</f>
        <v>1000</v>
      </c>
      <c r="K2160" s="5" t="str">
        <f t="shared" si="33"/>
        <v>within budget</v>
      </c>
    </row>
    <row r="2161" spans="1:11" x14ac:dyDescent="0.3">
      <c r="A2161" s="6">
        <v>45598</v>
      </c>
      <c r="B2161" s="5" t="s">
        <v>40</v>
      </c>
      <c r="C2161" s="5" t="s">
        <v>41</v>
      </c>
      <c r="D2161" s="5" t="s">
        <v>14</v>
      </c>
      <c r="E2161" s="5" t="s">
        <v>17</v>
      </c>
      <c r="F2161" s="5">
        <v>3307</v>
      </c>
      <c r="G2161" s="5" t="str">
        <f>VLOOKUP(C2161,Sheet2!$C$3:$D$12,2,0)</f>
        <v>Variable</v>
      </c>
      <c r="H2161" s="5" t="str">
        <f>IFERROR(VLOOKUP(E2161,Sheet2!$G$3:$H$8,2,0),"unkwon")</f>
        <v>online</v>
      </c>
      <c r="I2161" s="5">
        <f>VLOOKUP(B2161,Sheet2!$J$4:$K$15,2,0)</f>
        <v>11</v>
      </c>
      <c r="J2161" s="5">
        <f>IFERROR(VLOOKUP(C2161,Sheet2!$M$4:$N$12,2,0),0)</f>
        <v>7000</v>
      </c>
      <c r="K2161" s="5" t="str">
        <f t="shared" si="33"/>
        <v>within budget</v>
      </c>
    </row>
    <row r="2162" spans="1:11" x14ac:dyDescent="0.3">
      <c r="A2162" s="6">
        <v>45385</v>
      </c>
      <c r="B2162" s="5" t="s">
        <v>29</v>
      </c>
      <c r="C2162" s="5" t="s">
        <v>7</v>
      </c>
      <c r="D2162" s="5" t="s">
        <v>34</v>
      </c>
      <c r="E2162" s="5" t="s">
        <v>32</v>
      </c>
      <c r="F2162" s="5">
        <v>3673</v>
      </c>
      <c r="G2162" s="5" t="str">
        <f>VLOOKUP(C2162,Sheet2!$C$3:$D$12,2,0)</f>
        <v>Fixed</v>
      </c>
      <c r="H2162" s="5" t="str">
        <f>IFERROR(VLOOKUP(E2162,Sheet2!$G$3:$H$8,2,0),"unkwon")</f>
        <v>offline</v>
      </c>
      <c r="I2162" s="5">
        <f>VLOOKUP(B2162,Sheet2!$J$4:$K$15,2,0)</f>
        <v>4</v>
      </c>
      <c r="J2162" s="5">
        <f>IFERROR(VLOOKUP(C2162,Sheet2!$M$4:$N$12,2,0),0)</f>
        <v>2000</v>
      </c>
      <c r="K2162" s="5" t="str">
        <f t="shared" si="33"/>
        <v>over budget</v>
      </c>
    </row>
    <row r="2163" spans="1:11" x14ac:dyDescent="0.3">
      <c r="A2163" s="6">
        <v>45007</v>
      </c>
      <c r="B2163" s="5" t="s">
        <v>19</v>
      </c>
      <c r="C2163" s="5" t="s">
        <v>30</v>
      </c>
      <c r="D2163" s="5" t="s">
        <v>18</v>
      </c>
      <c r="E2163" s="5" t="s">
        <v>17</v>
      </c>
      <c r="F2163" s="5">
        <v>4933</v>
      </c>
      <c r="G2163" s="5" t="str">
        <f>VLOOKUP(C2163,Sheet2!$C$3:$D$12,2,0)</f>
        <v>Fixed</v>
      </c>
      <c r="H2163" s="5" t="str">
        <f>IFERROR(VLOOKUP(E2163,Sheet2!$G$3:$H$8,2,0),"unkwon")</f>
        <v>online</v>
      </c>
      <c r="I2163" s="5">
        <f>VLOOKUP(B2163,Sheet2!$J$4:$K$15,2,0)</f>
        <v>3</v>
      </c>
      <c r="J2163" s="5">
        <f>IFERROR(VLOOKUP(C2163,Sheet2!$M$4:$N$12,2,0),0)</f>
        <v>3000</v>
      </c>
      <c r="K2163" s="5" t="str">
        <f t="shared" si="33"/>
        <v>over budget</v>
      </c>
    </row>
    <row r="2164" spans="1:11" x14ac:dyDescent="0.3">
      <c r="A2164" s="6">
        <v>45239</v>
      </c>
      <c r="B2164" s="5" t="s">
        <v>40</v>
      </c>
      <c r="C2164" s="5" t="s">
        <v>7</v>
      </c>
      <c r="D2164" s="5" t="s">
        <v>34</v>
      </c>
      <c r="E2164" s="5" t="s">
        <v>17</v>
      </c>
      <c r="F2164" s="5">
        <v>686</v>
      </c>
      <c r="G2164" s="5" t="str">
        <f>VLOOKUP(C2164,Sheet2!$C$3:$D$12,2,0)</f>
        <v>Fixed</v>
      </c>
      <c r="H2164" s="5" t="str">
        <f>IFERROR(VLOOKUP(E2164,Sheet2!$G$3:$H$8,2,0),"unkwon")</f>
        <v>online</v>
      </c>
      <c r="I2164" s="5">
        <f>VLOOKUP(B2164,Sheet2!$J$4:$K$15,2,0)</f>
        <v>11</v>
      </c>
      <c r="J2164" s="5">
        <f>IFERROR(VLOOKUP(C2164,Sheet2!$M$4:$N$12,2,0),0)</f>
        <v>2000</v>
      </c>
      <c r="K2164" s="5" t="str">
        <f t="shared" si="33"/>
        <v>within budget</v>
      </c>
    </row>
    <row r="2165" spans="1:11" x14ac:dyDescent="0.3">
      <c r="A2165" s="6">
        <v>45154</v>
      </c>
      <c r="B2165" s="5" t="s">
        <v>25</v>
      </c>
      <c r="C2165" s="5" t="s">
        <v>41</v>
      </c>
      <c r="D2165" s="5" t="s">
        <v>24</v>
      </c>
      <c r="E2165" s="5" t="s">
        <v>17</v>
      </c>
      <c r="F2165" s="5">
        <v>3459</v>
      </c>
      <c r="G2165" s="5" t="str">
        <f>VLOOKUP(C2165,Sheet2!$C$3:$D$12,2,0)</f>
        <v>Variable</v>
      </c>
      <c r="H2165" s="5" t="str">
        <f>IFERROR(VLOOKUP(E2165,Sheet2!$G$3:$H$8,2,0),"unkwon")</f>
        <v>online</v>
      </c>
      <c r="I2165" s="5">
        <f>VLOOKUP(B2165,Sheet2!$J$4:$K$15,2,0)</f>
        <v>8</v>
      </c>
      <c r="J2165" s="5">
        <f>IFERROR(VLOOKUP(C2165,Sheet2!$M$4:$N$12,2,0),0)</f>
        <v>7000</v>
      </c>
      <c r="K2165" s="5" t="str">
        <f t="shared" si="33"/>
        <v>within budget</v>
      </c>
    </row>
    <row r="2166" spans="1:11" x14ac:dyDescent="0.3">
      <c r="A2166" s="6">
        <v>45350</v>
      </c>
      <c r="B2166" s="5" t="s">
        <v>33</v>
      </c>
      <c r="C2166" s="5" t="s">
        <v>13</v>
      </c>
      <c r="D2166" s="5" t="s">
        <v>23</v>
      </c>
      <c r="E2166" s="5" t="s">
        <v>12</v>
      </c>
      <c r="F2166" s="5">
        <v>2431</v>
      </c>
      <c r="G2166" s="5" t="str">
        <f>VLOOKUP(C2166,Sheet2!$C$3:$D$12,2,0)</f>
        <v>Variable</v>
      </c>
      <c r="H2166" s="5" t="str">
        <f>IFERROR(VLOOKUP(E2166,Sheet2!$G$3:$H$8,2,0),"unkwon")</f>
        <v>online</v>
      </c>
      <c r="I2166" s="5">
        <f>VLOOKUP(B2166,Sheet2!$J$4:$K$15,2,0)</f>
        <v>2</v>
      </c>
      <c r="J2166" s="5">
        <f>IFERROR(VLOOKUP(C2166,Sheet2!$M$4:$N$12,2,0),0)</f>
        <v>5000</v>
      </c>
      <c r="K2166" s="5" t="str">
        <f t="shared" si="33"/>
        <v>within budget</v>
      </c>
    </row>
    <row r="2167" spans="1:11" x14ac:dyDescent="0.3">
      <c r="A2167" s="6">
        <v>45017</v>
      </c>
      <c r="B2167" s="5" t="s">
        <v>29</v>
      </c>
      <c r="C2167" s="5" t="s">
        <v>10</v>
      </c>
      <c r="D2167" s="5" t="s">
        <v>26</v>
      </c>
      <c r="E2167" s="5" t="s">
        <v>17</v>
      </c>
      <c r="F2167" s="5">
        <v>3644</v>
      </c>
      <c r="G2167" s="5" t="str">
        <f>VLOOKUP(C2167,Sheet2!$C$3:$D$12,2,0)</f>
        <v>Variable</v>
      </c>
      <c r="H2167" s="5" t="str">
        <f>IFERROR(VLOOKUP(E2167,Sheet2!$G$3:$H$8,2,0),"unkwon")</f>
        <v>online</v>
      </c>
      <c r="I2167" s="5">
        <f>VLOOKUP(B2167,Sheet2!$J$4:$K$15,2,0)</f>
        <v>4</v>
      </c>
      <c r="J2167" s="5">
        <f>IFERROR(VLOOKUP(C2167,Sheet2!$M$4:$N$12,2,0),0)</f>
        <v>5000</v>
      </c>
      <c r="K2167" s="5" t="str">
        <f t="shared" si="33"/>
        <v>within budget</v>
      </c>
    </row>
    <row r="2168" spans="1:11" x14ac:dyDescent="0.3">
      <c r="A2168" s="6">
        <v>45631</v>
      </c>
      <c r="B2168" s="5" t="s">
        <v>16</v>
      </c>
      <c r="C2168" s="5" t="s">
        <v>41</v>
      </c>
      <c r="D2168" s="5" t="s">
        <v>20</v>
      </c>
      <c r="E2168" s="5" t="s">
        <v>12</v>
      </c>
      <c r="F2168" s="5">
        <v>4344</v>
      </c>
      <c r="G2168" s="5" t="str">
        <f>VLOOKUP(C2168,Sheet2!$C$3:$D$12,2,0)</f>
        <v>Variable</v>
      </c>
      <c r="H2168" s="5" t="str">
        <f>IFERROR(VLOOKUP(E2168,Sheet2!$G$3:$H$8,2,0),"unkwon")</f>
        <v>online</v>
      </c>
      <c r="I2168" s="5">
        <f>VLOOKUP(B2168,Sheet2!$J$4:$K$15,2,0)</f>
        <v>12</v>
      </c>
      <c r="J2168" s="5">
        <f>IFERROR(VLOOKUP(C2168,Sheet2!$M$4:$N$12,2,0),0)</f>
        <v>7000</v>
      </c>
      <c r="K2168" s="5" t="str">
        <f t="shared" si="33"/>
        <v>within budget</v>
      </c>
    </row>
    <row r="2169" spans="1:11" x14ac:dyDescent="0.3">
      <c r="A2169" s="6">
        <v>45209</v>
      </c>
      <c r="B2169" s="5" t="s">
        <v>6</v>
      </c>
      <c r="C2169" s="5" t="s">
        <v>22</v>
      </c>
      <c r="D2169" s="5" t="s">
        <v>8</v>
      </c>
      <c r="E2169" s="5" t="s">
        <v>9</v>
      </c>
      <c r="F2169" s="5">
        <v>1816</v>
      </c>
      <c r="G2169" s="5" t="str">
        <f>VLOOKUP(C2169,Sheet2!$C$3:$D$12,2,0)</f>
        <v>Variable</v>
      </c>
      <c r="H2169" s="5" t="str">
        <f>IFERROR(VLOOKUP(E2169,Sheet2!$G$3:$H$8,2,0),"unkwon")</f>
        <v>online</v>
      </c>
      <c r="I2169" s="5">
        <f>VLOOKUP(B2169,Sheet2!$J$4:$K$15,2,0)</f>
        <v>10</v>
      </c>
      <c r="J2169" s="5">
        <f>IFERROR(VLOOKUP(C2169,Sheet2!$M$4:$N$12,2,0),0)</f>
        <v>1000</v>
      </c>
      <c r="K2169" s="5" t="str">
        <f t="shared" si="33"/>
        <v>over budget</v>
      </c>
    </row>
    <row r="2170" spans="1:11" x14ac:dyDescent="0.3">
      <c r="A2170" s="6">
        <v>45410</v>
      </c>
      <c r="B2170" s="5" t="s">
        <v>29</v>
      </c>
      <c r="C2170" s="5" t="s">
        <v>35</v>
      </c>
      <c r="D2170" s="5" t="s">
        <v>31</v>
      </c>
      <c r="E2170" s="5" t="s">
        <v>12</v>
      </c>
      <c r="F2170" s="5">
        <v>232</v>
      </c>
      <c r="G2170" s="5" t="str">
        <f>VLOOKUP(C2170,Sheet2!$C$3:$D$12,2,0)</f>
        <v>Fixed</v>
      </c>
      <c r="H2170" s="5" t="str">
        <f>IFERROR(VLOOKUP(E2170,Sheet2!$G$3:$H$8,2,0),"unkwon")</f>
        <v>online</v>
      </c>
      <c r="I2170" s="5">
        <f>VLOOKUP(B2170,Sheet2!$J$4:$K$15,2,0)</f>
        <v>4</v>
      </c>
      <c r="J2170" s="5">
        <f>IFERROR(VLOOKUP(C2170,Sheet2!$M$4:$N$12,2,0),0)</f>
        <v>5500</v>
      </c>
      <c r="K2170" s="5" t="str">
        <f t="shared" si="33"/>
        <v>within budget</v>
      </c>
    </row>
    <row r="2171" spans="1:11" x14ac:dyDescent="0.3">
      <c r="A2171" s="6">
        <v>45348</v>
      </c>
      <c r="B2171" s="5" t="s">
        <v>33</v>
      </c>
      <c r="C2171" s="5" t="s">
        <v>22</v>
      </c>
      <c r="D2171" s="5" t="s">
        <v>14</v>
      </c>
      <c r="E2171" s="5" t="s">
        <v>17</v>
      </c>
      <c r="F2171" s="5">
        <v>3920</v>
      </c>
      <c r="G2171" s="5" t="str">
        <f>VLOOKUP(C2171,Sheet2!$C$3:$D$12,2,0)</f>
        <v>Variable</v>
      </c>
      <c r="H2171" s="5" t="str">
        <f>IFERROR(VLOOKUP(E2171,Sheet2!$G$3:$H$8,2,0),"unkwon")</f>
        <v>online</v>
      </c>
      <c r="I2171" s="5">
        <f>VLOOKUP(B2171,Sheet2!$J$4:$K$15,2,0)</f>
        <v>2</v>
      </c>
      <c r="J2171" s="5">
        <f>IFERROR(VLOOKUP(C2171,Sheet2!$M$4:$N$12,2,0),0)</f>
        <v>1000</v>
      </c>
      <c r="K2171" s="5" t="str">
        <f t="shared" si="33"/>
        <v>over budget</v>
      </c>
    </row>
    <row r="2172" spans="1:11" x14ac:dyDescent="0.3">
      <c r="A2172" s="6">
        <v>45130</v>
      </c>
      <c r="B2172" s="5" t="s">
        <v>21</v>
      </c>
      <c r="C2172" s="5" t="s">
        <v>36</v>
      </c>
      <c r="D2172" s="5" t="s">
        <v>20</v>
      </c>
      <c r="E2172" s="5" t="s">
        <v>12</v>
      </c>
      <c r="F2172" s="5">
        <v>2583</v>
      </c>
      <c r="G2172" s="5" t="str">
        <f>VLOOKUP(C2172,Sheet2!$C$3:$D$12,2,0)</f>
        <v>Variable</v>
      </c>
      <c r="H2172" s="5" t="str">
        <f>IFERROR(VLOOKUP(E2172,Sheet2!$G$3:$H$8,2,0),"unkwon")</f>
        <v>online</v>
      </c>
      <c r="I2172" s="5">
        <f>VLOOKUP(B2172,Sheet2!$J$4:$K$15,2,0)</f>
        <v>7</v>
      </c>
      <c r="J2172" s="5">
        <f>IFERROR(VLOOKUP(C2172,Sheet2!$M$4:$N$12,2,0),0)</f>
        <v>10000</v>
      </c>
      <c r="K2172" s="5" t="str">
        <f t="shared" si="33"/>
        <v>within budget</v>
      </c>
    </row>
    <row r="2173" spans="1:11" x14ac:dyDescent="0.3">
      <c r="A2173" s="6">
        <v>45457</v>
      </c>
      <c r="B2173" s="5" t="s">
        <v>39</v>
      </c>
      <c r="C2173" s="5" t="s">
        <v>22</v>
      </c>
      <c r="D2173" s="5" t="s">
        <v>34</v>
      </c>
      <c r="E2173" s="5" t="s">
        <v>15</v>
      </c>
      <c r="F2173" s="5">
        <v>62</v>
      </c>
      <c r="G2173" s="5" t="str">
        <f>VLOOKUP(C2173,Sheet2!$C$3:$D$12,2,0)</f>
        <v>Variable</v>
      </c>
      <c r="H2173" s="5" t="str">
        <f>IFERROR(VLOOKUP(E2173,Sheet2!$G$3:$H$8,2,0),"unkwon")</f>
        <v>online</v>
      </c>
      <c r="I2173" s="5">
        <f>VLOOKUP(B2173,Sheet2!$J$4:$K$15,2,0)</f>
        <v>6</v>
      </c>
      <c r="J2173" s="5">
        <f>IFERROR(VLOOKUP(C2173,Sheet2!$M$4:$N$12,2,0),0)</f>
        <v>1000</v>
      </c>
      <c r="K2173" s="5" t="str">
        <f t="shared" si="33"/>
        <v>within budget</v>
      </c>
    </row>
    <row r="2174" spans="1:11" x14ac:dyDescent="0.3">
      <c r="A2174" s="6">
        <v>45465</v>
      </c>
      <c r="B2174" s="5" t="s">
        <v>39</v>
      </c>
      <c r="C2174" s="5" t="s">
        <v>13</v>
      </c>
      <c r="D2174" s="5" t="s">
        <v>31</v>
      </c>
      <c r="E2174" s="5" t="s">
        <v>12</v>
      </c>
      <c r="F2174" s="5">
        <v>112</v>
      </c>
      <c r="G2174" s="5" t="str">
        <f>VLOOKUP(C2174,Sheet2!$C$3:$D$12,2,0)</f>
        <v>Variable</v>
      </c>
      <c r="H2174" s="5" t="str">
        <f>IFERROR(VLOOKUP(E2174,Sheet2!$G$3:$H$8,2,0),"unkwon")</f>
        <v>online</v>
      </c>
      <c r="I2174" s="5">
        <f>VLOOKUP(B2174,Sheet2!$J$4:$K$15,2,0)</f>
        <v>6</v>
      </c>
      <c r="J2174" s="5">
        <f>IFERROR(VLOOKUP(C2174,Sheet2!$M$4:$N$12,2,0),0)</f>
        <v>5000</v>
      </c>
      <c r="K2174" s="5" t="str">
        <f t="shared" si="33"/>
        <v>within budget</v>
      </c>
    </row>
    <row r="2175" spans="1:11" x14ac:dyDescent="0.3">
      <c r="A2175" s="6">
        <v>45384</v>
      </c>
      <c r="B2175" s="5" t="s">
        <v>29</v>
      </c>
      <c r="C2175" s="5" t="s">
        <v>13</v>
      </c>
      <c r="D2175" s="5" t="s">
        <v>8</v>
      </c>
      <c r="E2175" s="5" t="s">
        <v>32</v>
      </c>
      <c r="F2175" s="5">
        <v>3123</v>
      </c>
      <c r="G2175" s="5" t="str">
        <f>VLOOKUP(C2175,Sheet2!$C$3:$D$12,2,0)</f>
        <v>Variable</v>
      </c>
      <c r="H2175" s="5" t="str">
        <f>IFERROR(VLOOKUP(E2175,Sheet2!$G$3:$H$8,2,0),"unkwon")</f>
        <v>offline</v>
      </c>
      <c r="I2175" s="5">
        <f>VLOOKUP(B2175,Sheet2!$J$4:$K$15,2,0)</f>
        <v>4</v>
      </c>
      <c r="J2175" s="5">
        <f>IFERROR(VLOOKUP(C2175,Sheet2!$M$4:$N$12,2,0),0)</f>
        <v>5000</v>
      </c>
      <c r="K2175" s="5" t="str">
        <f t="shared" si="33"/>
        <v>within budget</v>
      </c>
    </row>
    <row r="2176" spans="1:11" x14ac:dyDescent="0.3">
      <c r="A2176" s="6">
        <v>45574</v>
      </c>
      <c r="B2176" s="5" t="s">
        <v>6</v>
      </c>
      <c r="C2176" s="5" t="s">
        <v>22</v>
      </c>
      <c r="D2176" s="5" t="s">
        <v>20</v>
      </c>
      <c r="E2176" s="5" t="s">
        <v>12</v>
      </c>
      <c r="F2176" s="5">
        <v>799</v>
      </c>
      <c r="G2176" s="5" t="str">
        <f>VLOOKUP(C2176,Sheet2!$C$3:$D$12,2,0)</f>
        <v>Variable</v>
      </c>
      <c r="H2176" s="5" t="str">
        <f>IFERROR(VLOOKUP(E2176,Sheet2!$G$3:$H$8,2,0),"unkwon")</f>
        <v>online</v>
      </c>
      <c r="I2176" s="5">
        <f>VLOOKUP(B2176,Sheet2!$J$4:$K$15,2,0)</f>
        <v>10</v>
      </c>
      <c r="J2176" s="5">
        <f>IFERROR(VLOOKUP(C2176,Sheet2!$M$4:$N$12,2,0),0)</f>
        <v>1000</v>
      </c>
      <c r="K2176" s="5" t="str">
        <f t="shared" si="33"/>
        <v>within budget</v>
      </c>
    </row>
    <row r="2177" spans="1:11" x14ac:dyDescent="0.3">
      <c r="A2177" s="6">
        <v>44952</v>
      </c>
      <c r="B2177" s="5" t="s">
        <v>37</v>
      </c>
      <c r="C2177" s="5" t="s">
        <v>35</v>
      </c>
      <c r="D2177" s="5" t="s">
        <v>34</v>
      </c>
      <c r="E2177" s="5" t="s">
        <v>9</v>
      </c>
      <c r="F2177" s="5">
        <v>2197</v>
      </c>
      <c r="G2177" s="5" t="str">
        <f>VLOOKUP(C2177,Sheet2!$C$3:$D$12,2,0)</f>
        <v>Fixed</v>
      </c>
      <c r="H2177" s="5" t="str">
        <f>IFERROR(VLOOKUP(E2177,Sheet2!$G$3:$H$8,2,0),"unkwon")</f>
        <v>online</v>
      </c>
      <c r="I2177" s="5">
        <f>VLOOKUP(B2177,Sheet2!$J$4:$K$15,2,0)</f>
        <v>1</v>
      </c>
      <c r="J2177" s="5">
        <f>IFERROR(VLOOKUP(C2177,Sheet2!$M$4:$N$12,2,0),0)</f>
        <v>5500</v>
      </c>
      <c r="K2177" s="5" t="str">
        <f t="shared" si="33"/>
        <v>within budget</v>
      </c>
    </row>
    <row r="2178" spans="1:11" x14ac:dyDescent="0.3">
      <c r="A2178" s="6">
        <v>45616</v>
      </c>
      <c r="B2178" s="5" t="s">
        <v>40</v>
      </c>
      <c r="C2178" s="5" t="s">
        <v>7</v>
      </c>
      <c r="D2178" s="5" t="s">
        <v>31</v>
      </c>
      <c r="E2178" s="5" t="s">
        <v>17</v>
      </c>
      <c r="F2178" s="5">
        <v>1742</v>
      </c>
      <c r="G2178" s="5" t="str">
        <f>VLOOKUP(C2178,Sheet2!$C$3:$D$12,2,0)</f>
        <v>Fixed</v>
      </c>
      <c r="H2178" s="5" t="str">
        <f>IFERROR(VLOOKUP(E2178,Sheet2!$G$3:$H$8,2,0),"unkwon")</f>
        <v>online</v>
      </c>
      <c r="I2178" s="5">
        <f>VLOOKUP(B2178,Sheet2!$J$4:$K$15,2,0)</f>
        <v>11</v>
      </c>
      <c r="J2178" s="5">
        <f>IFERROR(VLOOKUP(C2178,Sheet2!$M$4:$N$12,2,0),0)</f>
        <v>2000</v>
      </c>
      <c r="K2178" s="5" t="str">
        <f t="shared" si="33"/>
        <v>within budget</v>
      </c>
    </row>
    <row r="2179" spans="1:11" x14ac:dyDescent="0.3">
      <c r="A2179" s="6">
        <v>45446</v>
      </c>
      <c r="B2179" s="5" t="s">
        <v>39</v>
      </c>
      <c r="C2179" s="5" t="s">
        <v>36</v>
      </c>
      <c r="D2179" s="5" t="s">
        <v>18</v>
      </c>
      <c r="E2179" s="5" t="s">
        <v>32</v>
      </c>
      <c r="F2179" s="5">
        <v>181</v>
      </c>
      <c r="G2179" s="5" t="str">
        <f>VLOOKUP(C2179,Sheet2!$C$3:$D$12,2,0)</f>
        <v>Variable</v>
      </c>
      <c r="H2179" s="5" t="str">
        <f>IFERROR(VLOOKUP(E2179,Sheet2!$G$3:$H$8,2,0),"unkwon")</f>
        <v>offline</v>
      </c>
      <c r="I2179" s="5">
        <f>VLOOKUP(B2179,Sheet2!$J$4:$K$15,2,0)</f>
        <v>6</v>
      </c>
      <c r="J2179" s="5">
        <f>IFERROR(VLOOKUP(C2179,Sheet2!$M$4:$N$12,2,0),0)</f>
        <v>10000</v>
      </c>
      <c r="K2179" s="5" t="str">
        <f t="shared" ref="K2179:K2201" si="34">IF(F2179&gt;J2179,"over budget","within budget")</f>
        <v>within budget</v>
      </c>
    </row>
    <row r="2180" spans="1:11" x14ac:dyDescent="0.3">
      <c r="A2180" s="6">
        <v>45317</v>
      </c>
      <c r="B2180" s="5" t="s">
        <v>37</v>
      </c>
      <c r="C2180" s="5" t="s">
        <v>30</v>
      </c>
      <c r="D2180" s="5" t="s">
        <v>31</v>
      </c>
      <c r="E2180" s="5" t="s">
        <v>32</v>
      </c>
      <c r="F2180" s="5">
        <v>3879</v>
      </c>
      <c r="G2180" s="5" t="str">
        <f>VLOOKUP(C2180,Sheet2!$C$3:$D$12,2,0)</f>
        <v>Fixed</v>
      </c>
      <c r="H2180" s="5" t="str">
        <f>IFERROR(VLOOKUP(E2180,Sheet2!$G$3:$H$8,2,0),"unkwon")</f>
        <v>offline</v>
      </c>
      <c r="I2180" s="5">
        <f>VLOOKUP(B2180,Sheet2!$J$4:$K$15,2,0)</f>
        <v>1</v>
      </c>
      <c r="J2180" s="5">
        <f>IFERROR(VLOOKUP(C2180,Sheet2!$M$4:$N$12,2,0),0)</f>
        <v>3000</v>
      </c>
      <c r="K2180" s="5" t="str">
        <f t="shared" si="34"/>
        <v>over budget</v>
      </c>
    </row>
    <row r="2181" spans="1:11" x14ac:dyDescent="0.3">
      <c r="A2181" s="6">
        <v>45598</v>
      </c>
      <c r="B2181" s="5" t="s">
        <v>40</v>
      </c>
      <c r="C2181" s="5" t="s">
        <v>22</v>
      </c>
      <c r="D2181" s="5" t="s">
        <v>14</v>
      </c>
      <c r="E2181" s="5" t="s">
        <v>12</v>
      </c>
      <c r="F2181" s="5">
        <v>3187</v>
      </c>
      <c r="G2181" s="5" t="str">
        <f>VLOOKUP(C2181,Sheet2!$C$3:$D$12,2,0)</f>
        <v>Variable</v>
      </c>
      <c r="H2181" s="5" t="str">
        <f>IFERROR(VLOOKUP(E2181,Sheet2!$G$3:$H$8,2,0),"unkwon")</f>
        <v>online</v>
      </c>
      <c r="I2181" s="5">
        <f>VLOOKUP(B2181,Sheet2!$J$4:$K$15,2,0)</f>
        <v>11</v>
      </c>
      <c r="J2181" s="5">
        <f>IFERROR(VLOOKUP(C2181,Sheet2!$M$4:$N$12,2,0),0)</f>
        <v>1000</v>
      </c>
      <c r="K2181" s="5" t="str">
        <f t="shared" si="34"/>
        <v>over budget</v>
      </c>
    </row>
    <row r="2182" spans="1:11" x14ac:dyDescent="0.3">
      <c r="A2182" s="6">
        <v>44976</v>
      </c>
      <c r="B2182" s="5" t="s">
        <v>33</v>
      </c>
      <c r="C2182" s="5" t="s">
        <v>30</v>
      </c>
      <c r="D2182" s="5" t="s">
        <v>14</v>
      </c>
      <c r="E2182" s="5" t="s">
        <v>17</v>
      </c>
      <c r="F2182" s="5">
        <v>3194</v>
      </c>
      <c r="G2182" s="5" t="str">
        <f>VLOOKUP(C2182,Sheet2!$C$3:$D$12,2,0)</f>
        <v>Fixed</v>
      </c>
      <c r="H2182" s="5" t="str">
        <f>IFERROR(VLOOKUP(E2182,Sheet2!$G$3:$H$8,2,0),"unkwon")</f>
        <v>online</v>
      </c>
      <c r="I2182" s="5">
        <f>VLOOKUP(B2182,Sheet2!$J$4:$K$15,2,0)</f>
        <v>2</v>
      </c>
      <c r="J2182" s="5">
        <f>IFERROR(VLOOKUP(C2182,Sheet2!$M$4:$N$12,2,0),0)</f>
        <v>3000</v>
      </c>
      <c r="K2182" s="5" t="str">
        <f t="shared" si="34"/>
        <v>over budget</v>
      </c>
    </row>
    <row r="2183" spans="1:11" x14ac:dyDescent="0.3">
      <c r="A2183" s="6">
        <v>44950</v>
      </c>
      <c r="B2183" s="5" t="s">
        <v>37</v>
      </c>
      <c r="C2183" s="5" t="s">
        <v>10</v>
      </c>
      <c r="D2183" s="5" t="s">
        <v>34</v>
      </c>
      <c r="E2183" s="5" t="s">
        <v>15</v>
      </c>
      <c r="F2183" s="5">
        <v>1306</v>
      </c>
      <c r="G2183" s="5" t="str">
        <f>VLOOKUP(C2183,Sheet2!$C$3:$D$12,2,0)</f>
        <v>Variable</v>
      </c>
      <c r="H2183" s="5" t="str">
        <f>IFERROR(VLOOKUP(E2183,Sheet2!$G$3:$H$8,2,0),"unkwon")</f>
        <v>online</v>
      </c>
      <c r="I2183" s="5">
        <f>VLOOKUP(B2183,Sheet2!$J$4:$K$15,2,0)</f>
        <v>1</v>
      </c>
      <c r="J2183" s="5">
        <f>IFERROR(VLOOKUP(C2183,Sheet2!$M$4:$N$12,2,0),0)</f>
        <v>5000</v>
      </c>
      <c r="K2183" s="5" t="str">
        <f t="shared" si="34"/>
        <v>within budget</v>
      </c>
    </row>
    <row r="2184" spans="1:11" x14ac:dyDescent="0.3">
      <c r="A2184" s="6">
        <v>45153</v>
      </c>
      <c r="B2184" s="5" t="s">
        <v>25</v>
      </c>
      <c r="C2184" s="5" t="s">
        <v>13</v>
      </c>
      <c r="D2184" s="5" t="s">
        <v>24</v>
      </c>
      <c r="E2184" s="5" t="s">
        <v>9</v>
      </c>
      <c r="F2184" s="5">
        <v>1988</v>
      </c>
      <c r="G2184" s="5" t="str">
        <f>VLOOKUP(C2184,Sheet2!$C$3:$D$12,2,0)</f>
        <v>Variable</v>
      </c>
      <c r="H2184" s="5" t="str">
        <f>IFERROR(VLOOKUP(E2184,Sheet2!$G$3:$H$8,2,0),"unkwon")</f>
        <v>online</v>
      </c>
      <c r="I2184" s="5">
        <f>VLOOKUP(B2184,Sheet2!$J$4:$K$15,2,0)</f>
        <v>8</v>
      </c>
      <c r="J2184" s="5">
        <f>IFERROR(VLOOKUP(C2184,Sheet2!$M$4:$N$12,2,0),0)</f>
        <v>5000</v>
      </c>
      <c r="K2184" s="5" t="str">
        <f t="shared" si="34"/>
        <v>within budget</v>
      </c>
    </row>
    <row r="2185" spans="1:11" x14ac:dyDescent="0.3">
      <c r="A2185" s="6">
        <v>45474</v>
      </c>
      <c r="B2185" s="5" t="s">
        <v>21</v>
      </c>
      <c r="C2185" s="5" t="s">
        <v>30</v>
      </c>
      <c r="D2185" s="5" t="s">
        <v>31</v>
      </c>
      <c r="E2185" s="5" t="s">
        <v>32</v>
      </c>
      <c r="F2185" s="5">
        <v>3658</v>
      </c>
      <c r="G2185" s="5" t="str">
        <f>VLOOKUP(C2185,Sheet2!$C$3:$D$12,2,0)</f>
        <v>Fixed</v>
      </c>
      <c r="H2185" s="5" t="str">
        <f>IFERROR(VLOOKUP(E2185,Sheet2!$G$3:$H$8,2,0),"unkwon")</f>
        <v>offline</v>
      </c>
      <c r="I2185" s="5">
        <f>VLOOKUP(B2185,Sheet2!$J$4:$K$15,2,0)</f>
        <v>7</v>
      </c>
      <c r="J2185" s="5">
        <f>IFERROR(VLOOKUP(C2185,Sheet2!$M$4:$N$12,2,0),0)</f>
        <v>3000</v>
      </c>
      <c r="K2185" s="5" t="str">
        <f t="shared" si="34"/>
        <v>over budget</v>
      </c>
    </row>
    <row r="2186" spans="1:11" x14ac:dyDescent="0.3">
      <c r="A2186" s="6">
        <v>45037</v>
      </c>
      <c r="B2186" s="5" t="s">
        <v>29</v>
      </c>
      <c r="C2186" s="5" t="s">
        <v>27</v>
      </c>
      <c r="D2186" s="5" t="s">
        <v>11</v>
      </c>
      <c r="E2186" s="5" t="s">
        <v>17</v>
      </c>
      <c r="F2186" s="5">
        <v>107</v>
      </c>
      <c r="G2186" s="5" t="str">
        <f>VLOOKUP(C2186,Sheet2!$C$3:$D$12,2,0)</f>
        <v>Variable</v>
      </c>
      <c r="H2186" s="5" t="str">
        <f>IFERROR(VLOOKUP(E2186,Sheet2!$G$3:$H$8,2,0),"unkwon")</f>
        <v>online</v>
      </c>
      <c r="I2186" s="5">
        <f>VLOOKUP(B2186,Sheet2!$J$4:$K$15,2,0)</f>
        <v>4</v>
      </c>
      <c r="J2186" s="5">
        <f>IFERROR(VLOOKUP(C2186,Sheet2!$M$4:$N$12,2,0),0)</f>
        <v>4000</v>
      </c>
      <c r="K2186" s="5" t="str">
        <f t="shared" si="34"/>
        <v>within budget</v>
      </c>
    </row>
    <row r="2187" spans="1:11" x14ac:dyDescent="0.3">
      <c r="A2187" s="6">
        <v>44969</v>
      </c>
      <c r="B2187" s="5" t="s">
        <v>33</v>
      </c>
      <c r="C2187" s="5" t="s">
        <v>36</v>
      </c>
      <c r="D2187" s="5" t="s">
        <v>26</v>
      </c>
      <c r="E2187" s="5" t="s">
        <v>15</v>
      </c>
      <c r="F2187" s="5">
        <v>3249</v>
      </c>
      <c r="G2187" s="5" t="str">
        <f>VLOOKUP(C2187,Sheet2!$C$3:$D$12,2,0)</f>
        <v>Variable</v>
      </c>
      <c r="H2187" s="5" t="str">
        <f>IFERROR(VLOOKUP(E2187,Sheet2!$G$3:$H$8,2,0),"unkwon")</f>
        <v>online</v>
      </c>
      <c r="I2187" s="5">
        <f>VLOOKUP(B2187,Sheet2!$J$4:$K$15,2,0)</f>
        <v>2</v>
      </c>
      <c r="J2187" s="5">
        <f>IFERROR(VLOOKUP(C2187,Sheet2!$M$4:$N$12,2,0),0)</f>
        <v>10000</v>
      </c>
      <c r="K2187" s="5" t="str">
        <f t="shared" si="34"/>
        <v>within budget</v>
      </c>
    </row>
    <row r="2188" spans="1:11" x14ac:dyDescent="0.3">
      <c r="A2188" s="6">
        <v>44983</v>
      </c>
      <c r="B2188" s="5" t="s">
        <v>33</v>
      </c>
      <c r="C2188" s="5" t="s">
        <v>13</v>
      </c>
      <c r="D2188" s="5" t="s">
        <v>18</v>
      </c>
      <c r="E2188" s="5" t="s">
        <v>9</v>
      </c>
      <c r="F2188" s="5">
        <v>2304</v>
      </c>
      <c r="G2188" s="5" t="str">
        <f>VLOOKUP(C2188,Sheet2!$C$3:$D$12,2,0)</f>
        <v>Variable</v>
      </c>
      <c r="H2188" s="5" t="str">
        <f>IFERROR(VLOOKUP(E2188,Sheet2!$G$3:$H$8,2,0),"unkwon")</f>
        <v>online</v>
      </c>
      <c r="I2188" s="5">
        <f>VLOOKUP(B2188,Sheet2!$J$4:$K$15,2,0)</f>
        <v>2</v>
      </c>
      <c r="J2188" s="5">
        <f>IFERROR(VLOOKUP(C2188,Sheet2!$M$4:$N$12,2,0),0)</f>
        <v>5000</v>
      </c>
      <c r="K2188" s="5" t="str">
        <f t="shared" si="34"/>
        <v>within budget</v>
      </c>
    </row>
    <row r="2189" spans="1:11" x14ac:dyDescent="0.3">
      <c r="A2189" s="6">
        <v>45425</v>
      </c>
      <c r="B2189" s="5" t="s">
        <v>28</v>
      </c>
      <c r="C2189" s="5" t="s">
        <v>22</v>
      </c>
      <c r="D2189" s="5" t="s">
        <v>8</v>
      </c>
      <c r="E2189" s="5" t="s">
        <v>17</v>
      </c>
      <c r="F2189" s="5">
        <v>3385</v>
      </c>
      <c r="G2189" s="5" t="str">
        <f>VLOOKUP(C2189,Sheet2!$C$3:$D$12,2,0)</f>
        <v>Variable</v>
      </c>
      <c r="H2189" s="5" t="str">
        <f>IFERROR(VLOOKUP(E2189,Sheet2!$G$3:$H$8,2,0),"unkwon")</f>
        <v>online</v>
      </c>
      <c r="I2189" s="5">
        <f>VLOOKUP(B2189,Sheet2!$J$4:$K$15,2,0)</f>
        <v>5</v>
      </c>
      <c r="J2189" s="5">
        <f>IFERROR(VLOOKUP(C2189,Sheet2!$M$4:$N$12,2,0),0)</f>
        <v>1000</v>
      </c>
      <c r="K2189" s="5" t="str">
        <f t="shared" si="34"/>
        <v>over budget</v>
      </c>
    </row>
    <row r="2190" spans="1:11" x14ac:dyDescent="0.3">
      <c r="A2190" s="6">
        <v>45290</v>
      </c>
      <c r="B2190" s="5" t="s">
        <v>16</v>
      </c>
      <c r="C2190" s="5" t="s">
        <v>10</v>
      </c>
      <c r="D2190" s="5" t="s">
        <v>34</v>
      </c>
      <c r="E2190" s="5" t="s">
        <v>12</v>
      </c>
      <c r="F2190" s="5">
        <v>2494</v>
      </c>
      <c r="G2190" s="5" t="str">
        <f>VLOOKUP(C2190,Sheet2!$C$3:$D$12,2,0)</f>
        <v>Variable</v>
      </c>
      <c r="H2190" s="5" t="str">
        <f>IFERROR(VLOOKUP(E2190,Sheet2!$G$3:$H$8,2,0),"unkwon")</f>
        <v>online</v>
      </c>
      <c r="I2190" s="5">
        <f>VLOOKUP(B2190,Sheet2!$J$4:$K$15,2,0)</f>
        <v>12</v>
      </c>
      <c r="J2190" s="5">
        <f>IFERROR(VLOOKUP(C2190,Sheet2!$M$4:$N$12,2,0),0)</f>
        <v>5000</v>
      </c>
      <c r="K2190" s="5" t="str">
        <f t="shared" si="34"/>
        <v>within budget</v>
      </c>
    </row>
    <row r="2191" spans="1:11" x14ac:dyDescent="0.3">
      <c r="A2191" s="6">
        <v>45468</v>
      </c>
      <c r="B2191" s="5" t="s">
        <v>39</v>
      </c>
      <c r="C2191" s="5" t="s">
        <v>27</v>
      </c>
      <c r="D2191" s="5" t="s">
        <v>18</v>
      </c>
      <c r="E2191" s="5" t="s">
        <v>17</v>
      </c>
      <c r="F2191" s="5">
        <v>2565</v>
      </c>
      <c r="G2191" s="5" t="str">
        <f>VLOOKUP(C2191,Sheet2!$C$3:$D$12,2,0)</f>
        <v>Variable</v>
      </c>
      <c r="H2191" s="5" t="str">
        <f>IFERROR(VLOOKUP(E2191,Sheet2!$G$3:$H$8,2,0),"unkwon")</f>
        <v>online</v>
      </c>
      <c r="I2191" s="5">
        <f>VLOOKUP(B2191,Sheet2!$J$4:$K$15,2,0)</f>
        <v>6</v>
      </c>
      <c r="J2191" s="5">
        <f>IFERROR(VLOOKUP(C2191,Sheet2!$M$4:$N$12,2,0),0)</f>
        <v>4000</v>
      </c>
      <c r="K2191" s="5" t="str">
        <f t="shared" si="34"/>
        <v>within budget</v>
      </c>
    </row>
    <row r="2192" spans="1:11" x14ac:dyDescent="0.3">
      <c r="A2192" s="6">
        <v>45573</v>
      </c>
      <c r="B2192" s="5" t="s">
        <v>6</v>
      </c>
      <c r="C2192" s="5" t="s">
        <v>13</v>
      </c>
      <c r="D2192" s="5" t="s">
        <v>14</v>
      </c>
      <c r="E2192" s="5" t="s">
        <v>32</v>
      </c>
      <c r="F2192" s="5">
        <v>2924</v>
      </c>
      <c r="G2192" s="5" t="str">
        <f>VLOOKUP(C2192,Sheet2!$C$3:$D$12,2,0)</f>
        <v>Variable</v>
      </c>
      <c r="H2192" s="5" t="str">
        <f>IFERROR(VLOOKUP(E2192,Sheet2!$G$3:$H$8,2,0),"unkwon")</f>
        <v>offline</v>
      </c>
      <c r="I2192" s="5">
        <f>VLOOKUP(B2192,Sheet2!$J$4:$K$15,2,0)</f>
        <v>10</v>
      </c>
      <c r="J2192" s="5">
        <f>IFERROR(VLOOKUP(C2192,Sheet2!$M$4:$N$12,2,0),0)</f>
        <v>5000</v>
      </c>
      <c r="K2192" s="5" t="str">
        <f t="shared" si="34"/>
        <v>within budget</v>
      </c>
    </row>
    <row r="2193" spans="1:11" x14ac:dyDescent="0.3">
      <c r="A2193" s="6">
        <v>45391</v>
      </c>
      <c r="B2193" s="5" t="s">
        <v>29</v>
      </c>
      <c r="C2193" s="5" t="s">
        <v>13</v>
      </c>
      <c r="D2193" s="5" t="s">
        <v>20</v>
      </c>
      <c r="E2193" s="5" t="s">
        <v>32</v>
      </c>
      <c r="F2193" s="5">
        <v>297</v>
      </c>
      <c r="G2193" s="5" t="str">
        <f>VLOOKUP(C2193,Sheet2!$C$3:$D$12,2,0)</f>
        <v>Variable</v>
      </c>
      <c r="H2193" s="5" t="str">
        <f>IFERROR(VLOOKUP(E2193,Sheet2!$G$3:$H$8,2,0),"unkwon")</f>
        <v>offline</v>
      </c>
      <c r="I2193" s="5">
        <f>VLOOKUP(B2193,Sheet2!$J$4:$K$15,2,0)</f>
        <v>4</v>
      </c>
      <c r="J2193" s="5">
        <f>IFERROR(VLOOKUP(C2193,Sheet2!$M$4:$N$12,2,0),0)</f>
        <v>5000</v>
      </c>
      <c r="K2193" s="5" t="str">
        <f t="shared" si="34"/>
        <v>within budget</v>
      </c>
    </row>
    <row r="2194" spans="1:11" x14ac:dyDescent="0.3">
      <c r="A2194" s="6">
        <v>45539</v>
      </c>
      <c r="B2194" s="5" t="s">
        <v>38</v>
      </c>
      <c r="C2194" s="5" t="s">
        <v>36</v>
      </c>
      <c r="D2194" s="5" t="s">
        <v>24</v>
      </c>
      <c r="E2194" s="5" t="s">
        <v>12</v>
      </c>
      <c r="F2194" s="5">
        <v>1019</v>
      </c>
      <c r="G2194" s="5" t="str">
        <f>VLOOKUP(C2194,Sheet2!$C$3:$D$12,2,0)</f>
        <v>Variable</v>
      </c>
      <c r="H2194" s="5" t="str">
        <f>IFERROR(VLOOKUP(E2194,Sheet2!$G$3:$H$8,2,0),"unkwon")</f>
        <v>online</v>
      </c>
      <c r="I2194" s="5">
        <f>VLOOKUP(B2194,Sheet2!$J$4:$K$15,2,0)</f>
        <v>9</v>
      </c>
      <c r="J2194" s="5">
        <f>IFERROR(VLOOKUP(C2194,Sheet2!$M$4:$N$12,2,0),0)</f>
        <v>10000</v>
      </c>
      <c r="K2194" s="5" t="str">
        <f t="shared" si="34"/>
        <v>within budget</v>
      </c>
    </row>
    <row r="2195" spans="1:11" x14ac:dyDescent="0.3">
      <c r="A2195" s="6">
        <v>45434</v>
      </c>
      <c r="B2195" s="5" t="s">
        <v>28</v>
      </c>
      <c r="C2195" s="5" t="s">
        <v>27</v>
      </c>
      <c r="D2195" s="5" t="s">
        <v>31</v>
      </c>
      <c r="E2195" s="5" t="s">
        <v>17</v>
      </c>
      <c r="F2195" s="5">
        <v>1800</v>
      </c>
      <c r="G2195" s="5" t="str">
        <f>VLOOKUP(C2195,Sheet2!$C$3:$D$12,2,0)</f>
        <v>Variable</v>
      </c>
      <c r="H2195" s="5" t="str">
        <f>IFERROR(VLOOKUP(E2195,Sheet2!$G$3:$H$8,2,0),"unkwon")</f>
        <v>online</v>
      </c>
      <c r="I2195" s="5">
        <f>VLOOKUP(B2195,Sheet2!$J$4:$K$15,2,0)</f>
        <v>5</v>
      </c>
      <c r="J2195" s="5">
        <f>IFERROR(VLOOKUP(C2195,Sheet2!$M$4:$N$12,2,0),0)</f>
        <v>4000</v>
      </c>
      <c r="K2195" s="5" t="str">
        <f t="shared" si="34"/>
        <v>within budget</v>
      </c>
    </row>
    <row r="2196" spans="1:11" x14ac:dyDescent="0.3">
      <c r="A2196" s="6">
        <v>45295</v>
      </c>
      <c r="B2196" s="5" t="s">
        <v>37</v>
      </c>
      <c r="C2196" s="5" t="s">
        <v>41</v>
      </c>
      <c r="D2196" s="5" t="s">
        <v>14</v>
      </c>
      <c r="E2196" s="5" t="s">
        <v>15</v>
      </c>
      <c r="F2196" s="5">
        <v>2274</v>
      </c>
      <c r="G2196" s="5" t="str">
        <f>VLOOKUP(C2196,Sheet2!$C$3:$D$12,2,0)</f>
        <v>Variable</v>
      </c>
      <c r="H2196" s="5" t="str">
        <f>IFERROR(VLOOKUP(E2196,Sheet2!$G$3:$H$8,2,0),"unkwon")</f>
        <v>online</v>
      </c>
      <c r="I2196" s="5">
        <f>VLOOKUP(B2196,Sheet2!$J$4:$K$15,2,0)</f>
        <v>1</v>
      </c>
      <c r="J2196" s="5">
        <f>IFERROR(VLOOKUP(C2196,Sheet2!$M$4:$N$12,2,0),0)</f>
        <v>7000</v>
      </c>
      <c r="K2196" s="5" t="str">
        <f t="shared" si="34"/>
        <v>within budget</v>
      </c>
    </row>
    <row r="2197" spans="1:11" x14ac:dyDescent="0.3">
      <c r="A2197" s="6">
        <v>45112</v>
      </c>
      <c r="B2197" s="5" t="s">
        <v>21</v>
      </c>
      <c r="C2197" s="5" t="s">
        <v>13</v>
      </c>
      <c r="D2197" s="5" t="s">
        <v>11</v>
      </c>
      <c r="E2197" s="5" t="s">
        <v>9</v>
      </c>
      <c r="F2197" s="5">
        <v>2268</v>
      </c>
      <c r="G2197" s="5" t="str">
        <f>VLOOKUP(C2197,Sheet2!$C$3:$D$12,2,0)</f>
        <v>Variable</v>
      </c>
      <c r="H2197" s="5" t="str">
        <f>IFERROR(VLOOKUP(E2197,Sheet2!$G$3:$H$8,2,0),"unkwon")</f>
        <v>online</v>
      </c>
      <c r="I2197" s="5">
        <f>VLOOKUP(B2197,Sheet2!$J$4:$K$15,2,0)</f>
        <v>7</v>
      </c>
      <c r="J2197" s="5">
        <f>IFERROR(VLOOKUP(C2197,Sheet2!$M$4:$N$12,2,0),0)</f>
        <v>5000</v>
      </c>
      <c r="K2197" s="5" t="str">
        <f t="shared" si="34"/>
        <v>within budget</v>
      </c>
    </row>
    <row r="2198" spans="1:11" x14ac:dyDescent="0.3">
      <c r="A2198" s="6">
        <v>45203</v>
      </c>
      <c r="B2198" s="5" t="s">
        <v>6</v>
      </c>
      <c r="C2198" s="5" t="s">
        <v>41</v>
      </c>
      <c r="D2198" s="5" t="s">
        <v>20</v>
      </c>
      <c r="E2198" s="5" t="s">
        <v>17</v>
      </c>
      <c r="F2198" s="5">
        <v>2633</v>
      </c>
      <c r="G2198" s="5" t="str">
        <f>VLOOKUP(C2198,Sheet2!$C$3:$D$12,2,0)</f>
        <v>Variable</v>
      </c>
      <c r="H2198" s="5" t="str">
        <f>IFERROR(VLOOKUP(E2198,Sheet2!$G$3:$H$8,2,0),"unkwon")</f>
        <v>online</v>
      </c>
      <c r="I2198" s="5">
        <f>VLOOKUP(B2198,Sheet2!$J$4:$K$15,2,0)</f>
        <v>10</v>
      </c>
      <c r="J2198" s="5">
        <f>IFERROR(VLOOKUP(C2198,Sheet2!$M$4:$N$12,2,0),0)</f>
        <v>7000</v>
      </c>
      <c r="K2198" s="5" t="str">
        <f t="shared" si="34"/>
        <v>within budget</v>
      </c>
    </row>
    <row r="2199" spans="1:11" x14ac:dyDescent="0.3">
      <c r="A2199" s="6">
        <v>45254</v>
      </c>
      <c r="B2199" s="5" t="s">
        <v>40</v>
      </c>
      <c r="C2199" s="5" t="s">
        <v>35</v>
      </c>
      <c r="D2199" s="5" t="s">
        <v>26</v>
      </c>
      <c r="E2199" s="5" t="s">
        <v>15</v>
      </c>
      <c r="F2199" s="5">
        <v>1444</v>
      </c>
      <c r="G2199" s="5" t="str">
        <f>VLOOKUP(C2199,Sheet2!$C$3:$D$12,2,0)</f>
        <v>Fixed</v>
      </c>
      <c r="H2199" s="5" t="str">
        <f>IFERROR(VLOOKUP(E2199,Sheet2!$G$3:$H$8,2,0),"unkwon")</f>
        <v>online</v>
      </c>
      <c r="I2199" s="5">
        <f>VLOOKUP(B2199,Sheet2!$J$4:$K$15,2,0)</f>
        <v>11</v>
      </c>
      <c r="J2199" s="5">
        <f>IFERROR(VLOOKUP(C2199,Sheet2!$M$4:$N$12,2,0),0)</f>
        <v>5500</v>
      </c>
      <c r="K2199" s="5" t="str">
        <f t="shared" si="34"/>
        <v>within budget</v>
      </c>
    </row>
    <row r="2200" spans="1:11" x14ac:dyDescent="0.3">
      <c r="A2200" s="6">
        <v>45114</v>
      </c>
      <c r="B2200" s="5" t="s">
        <v>21</v>
      </c>
      <c r="C2200" s="5" t="s">
        <v>35</v>
      </c>
      <c r="D2200" s="5" t="s">
        <v>26</v>
      </c>
      <c r="E2200" s="5" t="s">
        <v>17</v>
      </c>
      <c r="F2200" s="5">
        <v>1019</v>
      </c>
      <c r="G2200" s="5" t="str">
        <f>VLOOKUP(C2200,Sheet2!$C$3:$D$12,2,0)</f>
        <v>Fixed</v>
      </c>
      <c r="H2200" s="5" t="str">
        <f>IFERROR(VLOOKUP(E2200,Sheet2!$G$3:$H$8,2,0),"unkwon")</f>
        <v>online</v>
      </c>
      <c r="I2200" s="5">
        <f>VLOOKUP(B2200,Sheet2!$J$4:$K$15,2,0)</f>
        <v>7</v>
      </c>
      <c r="J2200" s="5">
        <f>IFERROR(VLOOKUP(C2200,Sheet2!$M$4:$N$12,2,0),0)</f>
        <v>5500</v>
      </c>
      <c r="K2200" s="5" t="str">
        <f t="shared" si="34"/>
        <v>within budget</v>
      </c>
    </row>
    <row r="2201" spans="1:11" x14ac:dyDescent="0.3">
      <c r="A2201" s="6">
        <v>45195</v>
      </c>
      <c r="B2201" s="5" t="s">
        <v>38</v>
      </c>
      <c r="C2201" s="5" t="s">
        <v>27</v>
      </c>
      <c r="D2201" s="5" t="s">
        <v>26</v>
      </c>
      <c r="E2201" s="5" t="s">
        <v>9</v>
      </c>
      <c r="F2201" s="5">
        <v>4898</v>
      </c>
      <c r="G2201" s="5" t="str">
        <f>VLOOKUP(C2201,Sheet2!$C$3:$D$12,2,0)</f>
        <v>Variable</v>
      </c>
      <c r="H2201" s="5" t="str">
        <f>IFERROR(VLOOKUP(E2201,Sheet2!$G$3:$H$8,2,0),"unkwon")</f>
        <v>online</v>
      </c>
      <c r="I2201" s="5">
        <f>VLOOKUP(B2201,Sheet2!$J$4:$K$15,2,0)</f>
        <v>9</v>
      </c>
      <c r="J2201" s="5">
        <f>IFERROR(VLOOKUP(C2201,Sheet2!$M$4:$N$12,2,0),0)</f>
        <v>4000</v>
      </c>
      <c r="K2201" s="5" t="str">
        <f t="shared" si="34"/>
        <v>over budget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E2EB-66D8-4AB5-9262-57A2A95D9BD4}">
  <dimension ref="C3:N15"/>
  <sheetViews>
    <sheetView workbookViewId="0">
      <selection activeCell="N13" sqref="N13"/>
    </sheetView>
  </sheetViews>
  <sheetFormatPr defaultRowHeight="14.4" x14ac:dyDescent="0.3"/>
  <cols>
    <col min="3" max="3" width="13" customWidth="1"/>
    <col min="4" max="4" width="11.88671875" customWidth="1"/>
    <col min="7" max="7" width="13.33203125" customWidth="1"/>
    <col min="8" max="8" width="12.5546875" customWidth="1"/>
    <col min="10" max="10" width="11.44140625" customWidth="1"/>
    <col min="11" max="11" width="10.44140625" customWidth="1"/>
    <col min="13" max="13" width="13.5546875" customWidth="1"/>
    <col min="14" max="14" width="13.88671875" customWidth="1"/>
  </cols>
  <sheetData>
    <row r="3" spans="3:14" x14ac:dyDescent="0.3">
      <c r="C3" t="s">
        <v>43</v>
      </c>
      <c r="D3" t="s">
        <v>42</v>
      </c>
      <c r="G3" t="s">
        <v>46</v>
      </c>
      <c r="H3" t="s">
        <v>47</v>
      </c>
      <c r="J3" t="s">
        <v>52</v>
      </c>
      <c r="K3" t="s">
        <v>53</v>
      </c>
      <c r="M3" t="s">
        <v>43</v>
      </c>
      <c r="N3" t="s">
        <v>66</v>
      </c>
    </row>
    <row r="4" spans="3:14" x14ac:dyDescent="0.3">
      <c r="C4" t="str" cm="1">
        <f t="array" ref="C4:C12">_xlfn.UNIQUE(Expense_Tracker_2000_Plus_Data!$C$2:$C$2201)</f>
        <v>Bills</v>
      </c>
      <c r="D4" t="s">
        <v>44</v>
      </c>
      <c r="G4" t="str" cm="1">
        <f t="array" ref="G4:G8">_xlfn.UNIQUE(Expense_Tracker_2000_Plus_Data!E2:E2201)</f>
        <v>Debit Card</v>
      </c>
      <c r="H4" t="s">
        <v>48</v>
      </c>
      <c r="J4" t="s">
        <v>54</v>
      </c>
      <c r="K4">
        <v>1</v>
      </c>
      <c r="M4" t="str" cm="1">
        <f t="array" ref="M4:M12">_xlfn.UNIQUE(Expense_Tracker_2000_Plus_Data!$C$2:$C$2201)</f>
        <v>Bills</v>
      </c>
      <c r="N4">
        <v>2000</v>
      </c>
    </row>
    <row r="5" spans="3:14" x14ac:dyDescent="0.3">
      <c r="C5" t="str">
        <v>Health</v>
      </c>
      <c r="D5" t="s">
        <v>45</v>
      </c>
      <c r="G5" t="str">
        <v>Credit Card</v>
      </c>
      <c r="H5" t="s">
        <v>48</v>
      </c>
      <c r="J5" t="s">
        <v>55</v>
      </c>
      <c r="K5">
        <v>2</v>
      </c>
      <c r="M5" t="str">
        <v>Health</v>
      </c>
      <c r="N5">
        <v>5000</v>
      </c>
    </row>
    <row r="6" spans="3:14" x14ac:dyDescent="0.3">
      <c r="C6" t="str">
        <v>Travel</v>
      </c>
      <c r="D6" t="s">
        <v>45</v>
      </c>
      <c r="G6" t="str">
        <v>UPI</v>
      </c>
      <c r="H6" t="s">
        <v>48</v>
      </c>
      <c r="J6" t="s">
        <v>56</v>
      </c>
      <c r="K6">
        <v>3</v>
      </c>
      <c r="M6" t="str">
        <v>Travel</v>
      </c>
      <c r="N6">
        <v>5000</v>
      </c>
    </row>
    <row r="7" spans="3:14" x14ac:dyDescent="0.3">
      <c r="C7" t="str">
        <v>Entertainment</v>
      </c>
      <c r="D7" t="s">
        <v>45</v>
      </c>
      <c r="G7" t="str">
        <v>Net Banking</v>
      </c>
      <c r="H7" t="s">
        <v>48</v>
      </c>
      <c r="J7" t="s">
        <v>57</v>
      </c>
      <c r="K7">
        <v>4</v>
      </c>
      <c r="M7" t="str">
        <v>Entertainment</v>
      </c>
      <c r="N7">
        <v>1000</v>
      </c>
    </row>
    <row r="8" spans="3:14" x14ac:dyDescent="0.3">
      <c r="C8" t="str">
        <v>Transport</v>
      </c>
      <c r="D8" t="s">
        <v>45</v>
      </c>
      <c r="G8" t="str">
        <v>Cash</v>
      </c>
      <c r="H8" t="s">
        <v>49</v>
      </c>
      <c r="J8" t="s">
        <v>58</v>
      </c>
      <c r="K8">
        <v>5</v>
      </c>
      <c r="M8" t="str">
        <v>Transport</v>
      </c>
      <c r="N8">
        <v>4000</v>
      </c>
    </row>
    <row r="9" spans="3:14" x14ac:dyDescent="0.3">
      <c r="C9" t="str">
        <v>Food</v>
      </c>
      <c r="D9" t="s">
        <v>44</v>
      </c>
      <c r="J9" t="s">
        <v>59</v>
      </c>
      <c r="K9">
        <v>6</v>
      </c>
      <c r="M9" t="str">
        <v>Food</v>
      </c>
      <c r="N9">
        <v>3000</v>
      </c>
    </row>
    <row r="10" spans="3:14" x14ac:dyDescent="0.3">
      <c r="C10" t="str">
        <v>Rent</v>
      </c>
      <c r="D10" t="s">
        <v>44</v>
      </c>
      <c r="J10" t="s">
        <v>60</v>
      </c>
      <c r="K10">
        <v>7</v>
      </c>
      <c r="M10" t="str">
        <v>Rent</v>
      </c>
      <c r="N10">
        <v>5500</v>
      </c>
    </row>
    <row r="11" spans="3:14" x14ac:dyDescent="0.3">
      <c r="C11" t="str">
        <v>Shopping</v>
      </c>
      <c r="D11" t="s">
        <v>45</v>
      </c>
      <c r="J11" t="s">
        <v>61</v>
      </c>
      <c r="K11">
        <v>8</v>
      </c>
      <c r="M11" t="str">
        <v>Shopping</v>
      </c>
      <c r="N11">
        <v>10000</v>
      </c>
    </row>
    <row r="12" spans="3:14" x14ac:dyDescent="0.3">
      <c r="C12" t="str">
        <v>Education</v>
      </c>
      <c r="D12" t="s">
        <v>45</v>
      </c>
      <c r="J12" t="s">
        <v>62</v>
      </c>
      <c r="K12">
        <v>9</v>
      </c>
      <c r="M12" t="str">
        <v>Education</v>
      </c>
      <c r="N12">
        <v>7000</v>
      </c>
    </row>
    <row r="13" spans="3:14" x14ac:dyDescent="0.3">
      <c r="J13" t="s">
        <v>63</v>
      </c>
      <c r="K13">
        <v>10</v>
      </c>
    </row>
    <row r="14" spans="3:14" x14ac:dyDescent="0.3">
      <c r="J14" t="s">
        <v>64</v>
      </c>
      <c r="K14">
        <v>11</v>
      </c>
    </row>
    <row r="15" spans="3:14" x14ac:dyDescent="0.3">
      <c r="J15" t="s">
        <v>65</v>
      </c>
      <c r="K15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Expense_Tracker_2000_Plus_Data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Chouhan</dc:creator>
  <cp:lastModifiedBy>Bharti Chouhan</cp:lastModifiedBy>
  <dcterms:created xsi:type="dcterms:W3CDTF">2025-12-29T10:14:39Z</dcterms:created>
  <dcterms:modified xsi:type="dcterms:W3CDTF">2025-12-29T12:21:09Z</dcterms:modified>
</cp:coreProperties>
</file>